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zeusk\Desktop\Assenza2015-ABM-Framework\"/>
    </mc:Choice>
  </mc:AlternateContent>
  <xr:revisionPtr revIDLastSave="0" documentId="13_ncr:1_{54372E72-69CC-4F9D-9789-6ECD37DBD06E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FIRM" sheetId="3" r:id="rId1"/>
    <sheet name="WORKER" sheetId="5" r:id="rId2"/>
    <sheet name="CAPITALIST" sheetId="7" r:id="rId3"/>
    <sheet name="MONEY" sheetId="9" r:id="rId4"/>
    <sheet name="k_firm_data" sheetId="11" r:id="rId5"/>
    <sheet name="bank_data" sheetId="12" r:id="rId6"/>
    <sheet name="liquidity_data" sheetId="8" r:id="rId7"/>
    <sheet name="worker_data" sheetId="4" r:id="rId8"/>
    <sheet name="capitalist_data" sheetId="6" r:id="rId9"/>
    <sheet name="firm_data" sheetId="2" r:id="rId10"/>
    <sheet name="Sheet1" sheetId="1" r:id="rId11"/>
  </sheets>
  <definedNames>
    <definedName name="ExternalData_1" localSheetId="9" hidden="1">firm_data!$A$1:$AB$601</definedName>
    <definedName name="ExternalData_1" localSheetId="6" hidden="1">liquidity_data!$A$1:$I$601</definedName>
    <definedName name="ExternalData_2" localSheetId="5" hidden="1">bank_data!$A$1:$H$601</definedName>
    <definedName name="ExternalData_2" localSheetId="8" hidden="1">'capitalist_data'!$A$1:$G$601</definedName>
    <definedName name="ExternalData_2" localSheetId="4" hidden="1">k_firm_data!$A$1:$U$601</definedName>
    <definedName name="ExternalData_2" localSheetId="7" hidden="1">worker_data!$A$1:$J$601</definedName>
  </definedNames>
  <calcPr calcId="191029"/>
  <pivotCaches>
    <pivotCache cacheId="455" r:id="rId12"/>
    <pivotCache cacheId="459" r:id="rId13"/>
    <pivotCache cacheId="463" r:id="rId14"/>
    <pivotCache cacheId="467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J2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J237" i="8"/>
  <c r="J238" i="8"/>
  <c r="J239" i="8"/>
  <c r="J240" i="8"/>
  <c r="J241" i="8"/>
  <c r="J242" i="8"/>
  <c r="J243" i="8"/>
  <c r="J244" i="8"/>
  <c r="J245" i="8"/>
  <c r="J246" i="8"/>
  <c r="J247" i="8"/>
  <c r="J248" i="8"/>
  <c r="J249" i="8"/>
  <c r="J250" i="8"/>
  <c r="J251" i="8"/>
  <c r="J252" i="8"/>
  <c r="J253" i="8"/>
  <c r="J254" i="8"/>
  <c r="J255" i="8"/>
  <c r="J256" i="8"/>
  <c r="J257" i="8"/>
  <c r="J258" i="8"/>
  <c r="J259" i="8"/>
  <c r="J260" i="8"/>
  <c r="J261" i="8"/>
  <c r="J262" i="8"/>
  <c r="J263" i="8"/>
  <c r="J264" i="8"/>
  <c r="J265" i="8"/>
  <c r="J266" i="8"/>
  <c r="J267" i="8"/>
  <c r="J268" i="8"/>
  <c r="J269" i="8"/>
  <c r="J270" i="8"/>
  <c r="J271" i="8"/>
  <c r="J272" i="8"/>
  <c r="J273" i="8"/>
  <c r="J274" i="8"/>
  <c r="J275" i="8"/>
  <c r="J276" i="8"/>
  <c r="J277" i="8"/>
  <c r="J278" i="8"/>
  <c r="J279" i="8"/>
  <c r="J280" i="8"/>
  <c r="J281" i="8"/>
  <c r="J282" i="8"/>
  <c r="J283" i="8"/>
  <c r="J284" i="8"/>
  <c r="J285" i="8"/>
  <c r="J286" i="8"/>
  <c r="J287" i="8"/>
  <c r="J288" i="8"/>
  <c r="J289" i="8"/>
  <c r="J290" i="8"/>
  <c r="J291" i="8"/>
  <c r="J292" i="8"/>
  <c r="J293" i="8"/>
  <c r="J294" i="8"/>
  <c r="J295" i="8"/>
  <c r="J296" i="8"/>
  <c r="J297" i="8"/>
  <c r="J298" i="8"/>
  <c r="J299" i="8"/>
  <c r="J300" i="8"/>
  <c r="J301" i="8"/>
  <c r="J302" i="8"/>
  <c r="J303" i="8"/>
  <c r="J304" i="8"/>
  <c r="J305" i="8"/>
  <c r="J306" i="8"/>
  <c r="J307" i="8"/>
  <c r="J308" i="8"/>
  <c r="J309" i="8"/>
  <c r="J310" i="8"/>
  <c r="J311" i="8"/>
  <c r="J312" i="8"/>
  <c r="J313" i="8"/>
  <c r="J314" i="8"/>
  <c r="J315" i="8"/>
  <c r="J316" i="8"/>
  <c r="J317" i="8"/>
  <c r="J318" i="8"/>
  <c r="J319" i="8"/>
  <c r="J320" i="8"/>
  <c r="J321" i="8"/>
  <c r="J322" i="8"/>
  <c r="J323" i="8"/>
  <c r="J324" i="8"/>
  <c r="J325" i="8"/>
  <c r="J326" i="8"/>
  <c r="J327" i="8"/>
  <c r="J328" i="8"/>
  <c r="J329" i="8"/>
  <c r="J330" i="8"/>
  <c r="J331" i="8"/>
  <c r="J332" i="8"/>
  <c r="J333" i="8"/>
  <c r="J334" i="8"/>
  <c r="J335" i="8"/>
  <c r="J336" i="8"/>
  <c r="J337" i="8"/>
  <c r="J338" i="8"/>
  <c r="J339" i="8"/>
  <c r="J340" i="8"/>
  <c r="J341" i="8"/>
  <c r="J342" i="8"/>
  <c r="J343" i="8"/>
  <c r="J344" i="8"/>
  <c r="J345" i="8"/>
  <c r="J346" i="8"/>
  <c r="J347" i="8"/>
  <c r="J348" i="8"/>
  <c r="J349" i="8"/>
  <c r="J350" i="8"/>
  <c r="J351" i="8"/>
  <c r="J352" i="8"/>
  <c r="J353" i="8"/>
  <c r="J354" i="8"/>
  <c r="J355" i="8"/>
  <c r="J356" i="8"/>
  <c r="J357" i="8"/>
  <c r="J358" i="8"/>
  <c r="J359" i="8"/>
  <c r="J360" i="8"/>
  <c r="J361" i="8"/>
  <c r="J362" i="8"/>
  <c r="J363" i="8"/>
  <c r="J364" i="8"/>
  <c r="J365" i="8"/>
  <c r="J366" i="8"/>
  <c r="J367" i="8"/>
  <c r="J368" i="8"/>
  <c r="J369" i="8"/>
  <c r="J370" i="8"/>
  <c r="J371" i="8"/>
  <c r="J372" i="8"/>
  <c r="J373" i="8"/>
  <c r="J374" i="8"/>
  <c r="J375" i="8"/>
  <c r="J376" i="8"/>
  <c r="J377" i="8"/>
  <c r="J378" i="8"/>
  <c r="J379" i="8"/>
  <c r="J380" i="8"/>
  <c r="J381" i="8"/>
  <c r="J382" i="8"/>
  <c r="J383" i="8"/>
  <c r="J384" i="8"/>
  <c r="J385" i="8"/>
  <c r="J386" i="8"/>
  <c r="J387" i="8"/>
  <c r="J388" i="8"/>
  <c r="J389" i="8"/>
  <c r="J390" i="8"/>
  <c r="J391" i="8"/>
  <c r="J392" i="8"/>
  <c r="J393" i="8"/>
  <c r="J394" i="8"/>
  <c r="J395" i="8"/>
  <c r="J396" i="8"/>
  <c r="J397" i="8"/>
  <c r="J398" i="8"/>
  <c r="J399" i="8"/>
  <c r="J400" i="8"/>
  <c r="J401" i="8"/>
  <c r="J402" i="8"/>
  <c r="J403" i="8"/>
  <c r="J404" i="8"/>
  <c r="J405" i="8"/>
  <c r="J406" i="8"/>
  <c r="J407" i="8"/>
  <c r="J408" i="8"/>
  <c r="J409" i="8"/>
  <c r="J410" i="8"/>
  <c r="J411" i="8"/>
  <c r="J412" i="8"/>
  <c r="J413" i="8"/>
  <c r="J414" i="8"/>
  <c r="J415" i="8"/>
  <c r="J416" i="8"/>
  <c r="J417" i="8"/>
  <c r="J418" i="8"/>
  <c r="J419" i="8"/>
  <c r="J420" i="8"/>
  <c r="J421" i="8"/>
  <c r="J422" i="8"/>
  <c r="J423" i="8"/>
  <c r="J424" i="8"/>
  <c r="J425" i="8"/>
  <c r="J426" i="8"/>
  <c r="J427" i="8"/>
  <c r="J428" i="8"/>
  <c r="J429" i="8"/>
  <c r="J430" i="8"/>
  <c r="J431" i="8"/>
  <c r="J432" i="8"/>
  <c r="J433" i="8"/>
  <c r="J434" i="8"/>
  <c r="J435" i="8"/>
  <c r="J436" i="8"/>
  <c r="J437" i="8"/>
  <c r="J438" i="8"/>
  <c r="J439" i="8"/>
  <c r="J440" i="8"/>
  <c r="J441" i="8"/>
  <c r="J442" i="8"/>
  <c r="J443" i="8"/>
  <c r="J444" i="8"/>
  <c r="J445" i="8"/>
  <c r="J446" i="8"/>
  <c r="J447" i="8"/>
  <c r="J448" i="8"/>
  <c r="J449" i="8"/>
  <c r="J450" i="8"/>
  <c r="J451" i="8"/>
  <c r="J452" i="8"/>
  <c r="J453" i="8"/>
  <c r="J454" i="8"/>
  <c r="J455" i="8"/>
  <c r="J456" i="8"/>
  <c r="J457" i="8"/>
  <c r="J458" i="8"/>
  <c r="J459" i="8"/>
  <c r="J460" i="8"/>
  <c r="J461" i="8"/>
  <c r="J462" i="8"/>
  <c r="J463" i="8"/>
  <c r="J464" i="8"/>
  <c r="J465" i="8"/>
  <c r="J466" i="8"/>
  <c r="J467" i="8"/>
  <c r="J468" i="8"/>
  <c r="J469" i="8"/>
  <c r="J470" i="8"/>
  <c r="J471" i="8"/>
  <c r="J472" i="8"/>
  <c r="J473" i="8"/>
  <c r="J474" i="8"/>
  <c r="J475" i="8"/>
  <c r="J476" i="8"/>
  <c r="J477" i="8"/>
  <c r="J478" i="8"/>
  <c r="J479" i="8"/>
  <c r="J480" i="8"/>
  <c r="J481" i="8"/>
  <c r="J482" i="8"/>
  <c r="J483" i="8"/>
  <c r="J484" i="8"/>
  <c r="J485" i="8"/>
  <c r="J486" i="8"/>
  <c r="J487" i="8"/>
  <c r="J488" i="8"/>
  <c r="J489" i="8"/>
  <c r="J490" i="8"/>
  <c r="J491" i="8"/>
  <c r="J492" i="8"/>
  <c r="J493" i="8"/>
  <c r="J494" i="8"/>
  <c r="J495" i="8"/>
  <c r="J496" i="8"/>
  <c r="J497" i="8"/>
  <c r="J498" i="8"/>
  <c r="J499" i="8"/>
  <c r="J500" i="8"/>
  <c r="J501" i="8"/>
  <c r="J502" i="8"/>
  <c r="J503" i="8"/>
  <c r="J504" i="8"/>
  <c r="J505" i="8"/>
  <c r="J506" i="8"/>
  <c r="J507" i="8"/>
  <c r="J508" i="8"/>
  <c r="J509" i="8"/>
  <c r="J510" i="8"/>
  <c r="J511" i="8"/>
  <c r="J512" i="8"/>
  <c r="J513" i="8"/>
  <c r="J514" i="8"/>
  <c r="J515" i="8"/>
  <c r="J516" i="8"/>
  <c r="J517" i="8"/>
  <c r="J518" i="8"/>
  <c r="J519" i="8"/>
  <c r="J520" i="8"/>
  <c r="J521" i="8"/>
  <c r="J522" i="8"/>
  <c r="J523" i="8"/>
  <c r="J524" i="8"/>
  <c r="J525" i="8"/>
  <c r="J526" i="8"/>
  <c r="J527" i="8"/>
  <c r="J528" i="8"/>
  <c r="J529" i="8"/>
  <c r="J530" i="8"/>
  <c r="J531" i="8"/>
  <c r="J532" i="8"/>
  <c r="J533" i="8"/>
  <c r="J534" i="8"/>
  <c r="J535" i="8"/>
  <c r="J536" i="8"/>
  <c r="J537" i="8"/>
  <c r="J538" i="8"/>
  <c r="J539" i="8"/>
  <c r="J540" i="8"/>
  <c r="J541" i="8"/>
  <c r="J542" i="8"/>
  <c r="J543" i="8"/>
  <c r="J544" i="8"/>
  <c r="J545" i="8"/>
  <c r="J546" i="8"/>
  <c r="J547" i="8"/>
  <c r="J548" i="8"/>
  <c r="J549" i="8"/>
  <c r="J550" i="8"/>
  <c r="J551" i="8"/>
  <c r="J552" i="8"/>
  <c r="J553" i="8"/>
  <c r="J554" i="8"/>
  <c r="J555" i="8"/>
  <c r="J556" i="8"/>
  <c r="J557" i="8"/>
  <c r="J558" i="8"/>
  <c r="J559" i="8"/>
  <c r="J560" i="8"/>
  <c r="J561" i="8"/>
  <c r="J562" i="8"/>
  <c r="J563" i="8"/>
  <c r="J564" i="8"/>
  <c r="J565" i="8"/>
  <c r="J566" i="8"/>
  <c r="J567" i="8"/>
  <c r="J568" i="8"/>
  <c r="J569" i="8"/>
  <c r="J570" i="8"/>
  <c r="J571" i="8"/>
  <c r="J572" i="8"/>
  <c r="J573" i="8"/>
  <c r="J574" i="8"/>
  <c r="J575" i="8"/>
  <c r="J576" i="8"/>
  <c r="J577" i="8"/>
  <c r="J578" i="8"/>
  <c r="J579" i="8"/>
  <c r="J580" i="8"/>
  <c r="J581" i="8"/>
  <c r="J582" i="8"/>
  <c r="J583" i="8"/>
  <c r="J584" i="8"/>
  <c r="J585" i="8"/>
  <c r="J586" i="8"/>
  <c r="J587" i="8"/>
  <c r="J588" i="8"/>
  <c r="J589" i="8"/>
  <c r="J590" i="8"/>
  <c r="J591" i="8"/>
  <c r="J592" i="8"/>
  <c r="J593" i="8"/>
  <c r="J594" i="8"/>
  <c r="J595" i="8"/>
  <c r="J596" i="8"/>
  <c r="J597" i="8"/>
  <c r="J598" i="8"/>
  <c r="J599" i="8"/>
  <c r="J600" i="8"/>
  <c r="J601" i="8"/>
  <c r="K2" i="8"/>
  <c r="K3" i="8"/>
  <c r="K4" i="8"/>
  <c r="K5" i="8"/>
  <c r="K6" i="8"/>
  <c r="K7" i="8"/>
  <c r="K8" i="8"/>
  <c r="K9" i="8"/>
  <c r="K10" i="8"/>
  <c r="K11" i="8"/>
  <c r="K12" i="8"/>
  <c r="L12" i="8" s="1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L48" i="8" s="1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L72" i="8" s="1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L120" i="8" s="1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L144" i="8" s="1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L2" i="8"/>
  <c r="L3" i="8"/>
  <c r="L4" i="8"/>
  <c r="L5" i="8"/>
  <c r="M6" i="8" s="1"/>
  <c r="L6" i="8"/>
  <c r="L7" i="8"/>
  <c r="L8" i="8"/>
  <c r="L9" i="8"/>
  <c r="L10" i="8"/>
  <c r="L11" i="8"/>
  <c r="L13" i="8"/>
  <c r="L14" i="8"/>
  <c r="L15" i="8"/>
  <c r="L16" i="8"/>
  <c r="M16" i="8" s="1"/>
  <c r="L17" i="8"/>
  <c r="L18" i="8"/>
  <c r="L19" i="8"/>
  <c r="M20" i="8" s="1"/>
  <c r="L20" i="8"/>
  <c r="L21" i="8"/>
  <c r="M22" i="8" s="1"/>
  <c r="L22" i="8"/>
  <c r="L23" i="8"/>
  <c r="M23" i="8" s="1"/>
  <c r="L24" i="8"/>
  <c r="M25" i="8" s="1"/>
  <c r="L25" i="8"/>
  <c r="L26" i="8"/>
  <c r="M26" i="8" s="1"/>
  <c r="L27" i="8"/>
  <c r="L28" i="8"/>
  <c r="L29" i="8"/>
  <c r="L30" i="8"/>
  <c r="L31" i="8"/>
  <c r="M32" i="8" s="1"/>
  <c r="L32" i="8"/>
  <c r="L33" i="8"/>
  <c r="M34" i="8" s="1"/>
  <c r="L34" i="8"/>
  <c r="L35" i="8"/>
  <c r="L36" i="8"/>
  <c r="M37" i="8" s="1"/>
  <c r="L37" i="8"/>
  <c r="L38" i="8"/>
  <c r="L39" i="8"/>
  <c r="M39" i="8" s="1"/>
  <c r="L40" i="8"/>
  <c r="L41" i="8"/>
  <c r="M41" i="8" s="1"/>
  <c r="L42" i="8"/>
  <c r="L43" i="8"/>
  <c r="M44" i="8" s="1"/>
  <c r="L44" i="8"/>
  <c r="L45" i="8"/>
  <c r="M46" i="8" s="1"/>
  <c r="L46" i="8"/>
  <c r="L47" i="8"/>
  <c r="L49" i="8"/>
  <c r="L50" i="8"/>
  <c r="L51" i="8"/>
  <c r="L52" i="8"/>
  <c r="L53" i="8"/>
  <c r="M54" i="8" s="1"/>
  <c r="L54" i="8"/>
  <c r="L55" i="8"/>
  <c r="M56" i="8" s="1"/>
  <c r="L56" i="8"/>
  <c r="L57" i="8"/>
  <c r="M58" i="8" s="1"/>
  <c r="L58" i="8"/>
  <c r="L59" i="8"/>
  <c r="L60" i="8"/>
  <c r="M61" i="8" s="1"/>
  <c r="L61" i="8"/>
  <c r="L62" i="8"/>
  <c r="L63" i="8"/>
  <c r="L64" i="8"/>
  <c r="M64" i="8" s="1"/>
  <c r="L65" i="8"/>
  <c r="L66" i="8"/>
  <c r="L67" i="8"/>
  <c r="M68" i="8" s="1"/>
  <c r="L68" i="8"/>
  <c r="L69" i="8"/>
  <c r="M70" i="8" s="1"/>
  <c r="L70" i="8"/>
  <c r="L71" i="8"/>
  <c r="M71" i="8" s="1"/>
  <c r="L73" i="8"/>
  <c r="L74" i="8"/>
  <c r="M74" i="8" s="1"/>
  <c r="L75" i="8"/>
  <c r="L76" i="8"/>
  <c r="L77" i="8"/>
  <c r="M78" i="8" s="1"/>
  <c r="L78" i="8"/>
  <c r="L79" i="8"/>
  <c r="M80" i="8" s="1"/>
  <c r="L80" i="8"/>
  <c r="L81" i="8"/>
  <c r="M82" i="8" s="1"/>
  <c r="L82" i="8"/>
  <c r="L83" i="8"/>
  <c r="M83" i="8" s="1"/>
  <c r="L84" i="8"/>
  <c r="M85" i="8" s="1"/>
  <c r="L85" i="8"/>
  <c r="L86" i="8"/>
  <c r="L87" i="8"/>
  <c r="L88" i="8"/>
  <c r="L89" i="8"/>
  <c r="M90" i="8" s="1"/>
  <c r="L90" i="8"/>
  <c r="L91" i="8"/>
  <c r="M92" i="8" s="1"/>
  <c r="L92" i="8"/>
  <c r="L93" i="8"/>
  <c r="M94" i="8" s="1"/>
  <c r="L94" i="8"/>
  <c r="L95" i="8"/>
  <c r="L96" i="8"/>
  <c r="M97" i="8" s="1"/>
  <c r="L97" i="8"/>
  <c r="L98" i="8"/>
  <c r="L99" i="8"/>
  <c r="L100" i="8"/>
  <c r="M100" i="8" s="1"/>
  <c r="L101" i="8"/>
  <c r="M102" i="8" s="1"/>
  <c r="L102" i="8"/>
  <c r="L103" i="8"/>
  <c r="M104" i="8" s="1"/>
  <c r="L104" i="8"/>
  <c r="L105" i="8"/>
  <c r="M106" i="8" s="1"/>
  <c r="L106" i="8"/>
  <c r="L107" i="8"/>
  <c r="L108" i="8"/>
  <c r="M109" i="8" s="1"/>
  <c r="L109" i="8"/>
  <c r="L110" i="8"/>
  <c r="L111" i="8"/>
  <c r="M111" i="8" s="1"/>
  <c r="L112" i="8"/>
  <c r="L113" i="8"/>
  <c r="M114" i="8" s="1"/>
  <c r="L114" i="8"/>
  <c r="L115" i="8"/>
  <c r="M116" i="8" s="1"/>
  <c r="L116" i="8"/>
  <c r="L117" i="8"/>
  <c r="M118" i="8" s="1"/>
  <c r="L118" i="8"/>
  <c r="L119" i="8"/>
  <c r="M119" i="8" s="1"/>
  <c r="L121" i="8"/>
  <c r="L122" i="8"/>
  <c r="L123" i="8"/>
  <c r="L124" i="8"/>
  <c r="L125" i="8"/>
  <c r="M126" i="8" s="1"/>
  <c r="L126" i="8"/>
  <c r="L127" i="8"/>
  <c r="M128" i="8" s="1"/>
  <c r="L128" i="8"/>
  <c r="L129" i="8"/>
  <c r="M130" i="8" s="1"/>
  <c r="L130" i="8"/>
  <c r="L131" i="8"/>
  <c r="L132" i="8"/>
  <c r="M133" i="8" s="1"/>
  <c r="L133" i="8"/>
  <c r="L134" i="8"/>
  <c r="L135" i="8"/>
  <c r="L136" i="8"/>
  <c r="M136" i="8" s="1"/>
  <c r="L137" i="8"/>
  <c r="M138" i="8" s="1"/>
  <c r="L138" i="8"/>
  <c r="L139" i="8"/>
  <c r="M140" i="8" s="1"/>
  <c r="L140" i="8"/>
  <c r="L141" i="8"/>
  <c r="M142" i="8" s="1"/>
  <c r="L142" i="8"/>
  <c r="L143" i="8"/>
  <c r="L145" i="8"/>
  <c r="L146" i="8"/>
  <c r="L147" i="8"/>
  <c r="M147" i="8" s="1"/>
  <c r="L148" i="8"/>
  <c r="L149" i="8"/>
  <c r="M150" i="8" s="1"/>
  <c r="L150" i="8"/>
  <c r="L151" i="8"/>
  <c r="M152" i="8" s="1"/>
  <c r="L152" i="8"/>
  <c r="L153" i="8"/>
  <c r="M154" i="8" s="1"/>
  <c r="L154" i="8"/>
  <c r="L155" i="8"/>
  <c r="M155" i="8" s="1"/>
  <c r="L156" i="8"/>
  <c r="M157" i="8" s="1"/>
  <c r="L157" i="8"/>
  <c r="L158" i="8"/>
  <c r="L159" i="8"/>
  <c r="L160" i="8"/>
  <c r="L161" i="8"/>
  <c r="M162" i="8" s="1"/>
  <c r="L162" i="8"/>
  <c r="L163" i="8"/>
  <c r="M164" i="8" s="1"/>
  <c r="L164" i="8"/>
  <c r="L165" i="8"/>
  <c r="M166" i="8" s="1"/>
  <c r="L166" i="8"/>
  <c r="L167" i="8"/>
  <c r="L168" i="8"/>
  <c r="M169" i="8" s="1"/>
  <c r="L169" i="8"/>
  <c r="L170" i="8"/>
  <c r="L171" i="8"/>
  <c r="L172" i="8"/>
  <c r="M172" i="8" s="1"/>
  <c r="L173" i="8"/>
  <c r="M174" i="8" s="1"/>
  <c r="L174" i="8"/>
  <c r="L175" i="8"/>
  <c r="M176" i="8" s="1"/>
  <c r="L176" i="8"/>
  <c r="L177" i="8"/>
  <c r="M178" i="8" s="1"/>
  <c r="L178" i="8"/>
  <c r="L179" i="8"/>
  <c r="L180" i="8"/>
  <c r="M181" i="8" s="1"/>
  <c r="L181" i="8"/>
  <c r="L182" i="8"/>
  <c r="L183" i="8"/>
  <c r="M183" i="8" s="1"/>
  <c r="L184" i="8"/>
  <c r="L185" i="8"/>
  <c r="M186" i="8" s="1"/>
  <c r="L186" i="8"/>
  <c r="L187" i="8"/>
  <c r="M188" i="8" s="1"/>
  <c r="L188" i="8"/>
  <c r="L189" i="8"/>
  <c r="M190" i="8" s="1"/>
  <c r="L190" i="8"/>
  <c r="L191" i="8"/>
  <c r="L192" i="8"/>
  <c r="M193" i="8" s="1"/>
  <c r="L193" i="8"/>
  <c r="L194" i="8"/>
  <c r="L195" i="8"/>
  <c r="L196" i="8"/>
  <c r="L197" i="8"/>
  <c r="M198" i="8" s="1"/>
  <c r="L198" i="8"/>
  <c r="L199" i="8"/>
  <c r="M200" i="8" s="1"/>
  <c r="L200" i="8"/>
  <c r="L201" i="8"/>
  <c r="M202" i="8" s="1"/>
  <c r="L202" i="8"/>
  <c r="L203" i="8"/>
  <c r="M203" i="8" s="1"/>
  <c r="L204" i="8"/>
  <c r="M205" i="8" s="1"/>
  <c r="L205" i="8"/>
  <c r="L206" i="8"/>
  <c r="L207" i="8"/>
  <c r="L208" i="8"/>
  <c r="L209" i="8"/>
  <c r="M210" i="8" s="1"/>
  <c r="L210" i="8"/>
  <c r="L211" i="8"/>
  <c r="M212" i="8" s="1"/>
  <c r="L212" i="8"/>
  <c r="L213" i="8"/>
  <c r="M214" i="8" s="1"/>
  <c r="L214" i="8"/>
  <c r="L215" i="8"/>
  <c r="L216" i="8"/>
  <c r="M217" i="8" s="1"/>
  <c r="L217" i="8"/>
  <c r="L218" i="8"/>
  <c r="M218" i="8" s="1"/>
  <c r="L219" i="8"/>
  <c r="L220" i="8"/>
  <c r="M220" i="8" s="1"/>
  <c r="L221" i="8"/>
  <c r="M222" i="8" s="1"/>
  <c r="L222" i="8"/>
  <c r="L223" i="8"/>
  <c r="M224" i="8" s="1"/>
  <c r="L224" i="8"/>
  <c r="L225" i="8"/>
  <c r="M226" i="8" s="1"/>
  <c r="L226" i="8"/>
  <c r="L227" i="8"/>
  <c r="L228" i="8"/>
  <c r="M229" i="8" s="1"/>
  <c r="L229" i="8"/>
  <c r="L230" i="8"/>
  <c r="L231" i="8"/>
  <c r="L232" i="8"/>
  <c r="L233" i="8"/>
  <c r="M234" i="8" s="1"/>
  <c r="L234" i="8"/>
  <c r="L235" i="8"/>
  <c r="M236" i="8" s="1"/>
  <c r="L236" i="8"/>
  <c r="L237" i="8"/>
  <c r="M238" i="8" s="1"/>
  <c r="L238" i="8"/>
  <c r="L239" i="8"/>
  <c r="M239" i="8" s="1"/>
  <c r="L240" i="8"/>
  <c r="M241" i="8" s="1"/>
  <c r="L241" i="8"/>
  <c r="L242" i="8"/>
  <c r="L243" i="8"/>
  <c r="L244" i="8"/>
  <c r="L245" i="8"/>
  <c r="M246" i="8" s="1"/>
  <c r="L246" i="8"/>
  <c r="L247" i="8"/>
  <c r="M248" i="8" s="1"/>
  <c r="L248" i="8"/>
  <c r="L249" i="8"/>
  <c r="M250" i="8" s="1"/>
  <c r="L250" i="8"/>
  <c r="L251" i="8"/>
  <c r="L252" i="8"/>
  <c r="M253" i="8" s="1"/>
  <c r="L253" i="8"/>
  <c r="L254" i="8"/>
  <c r="M254" i="8" s="1"/>
  <c r="L255" i="8"/>
  <c r="L256" i="8"/>
  <c r="M256" i="8" s="1"/>
  <c r="L257" i="8"/>
  <c r="M258" i="8" s="1"/>
  <c r="L258" i="8"/>
  <c r="L259" i="8"/>
  <c r="M260" i="8" s="1"/>
  <c r="L260" i="8"/>
  <c r="L261" i="8"/>
  <c r="M262" i="8" s="1"/>
  <c r="L262" i="8"/>
  <c r="L263" i="8"/>
  <c r="L264" i="8"/>
  <c r="M265" i="8" s="1"/>
  <c r="L265" i="8"/>
  <c r="L266" i="8"/>
  <c r="L267" i="8"/>
  <c r="L268" i="8"/>
  <c r="L269" i="8"/>
  <c r="M270" i="8" s="1"/>
  <c r="L270" i="8"/>
  <c r="L271" i="8"/>
  <c r="M272" i="8" s="1"/>
  <c r="L272" i="8"/>
  <c r="L273" i="8"/>
  <c r="M274" i="8" s="1"/>
  <c r="L274" i="8"/>
  <c r="L275" i="8"/>
  <c r="M275" i="8" s="1"/>
  <c r="L276" i="8"/>
  <c r="M277" i="8" s="1"/>
  <c r="L277" i="8"/>
  <c r="L278" i="8"/>
  <c r="L279" i="8"/>
  <c r="L280" i="8"/>
  <c r="L281" i="8"/>
  <c r="M282" i="8" s="1"/>
  <c r="L282" i="8"/>
  <c r="L283" i="8"/>
  <c r="M284" i="8" s="1"/>
  <c r="L284" i="8"/>
  <c r="L285" i="8"/>
  <c r="M286" i="8" s="1"/>
  <c r="L286" i="8"/>
  <c r="L287" i="8"/>
  <c r="L288" i="8"/>
  <c r="M289" i="8" s="1"/>
  <c r="L289" i="8"/>
  <c r="L290" i="8"/>
  <c r="M290" i="8" s="1"/>
  <c r="L291" i="8"/>
  <c r="L292" i="8"/>
  <c r="M292" i="8" s="1"/>
  <c r="L293" i="8"/>
  <c r="M294" i="8" s="1"/>
  <c r="L294" i="8"/>
  <c r="L295" i="8"/>
  <c r="M296" i="8" s="1"/>
  <c r="L296" i="8"/>
  <c r="L297" i="8"/>
  <c r="M298" i="8" s="1"/>
  <c r="L298" i="8"/>
  <c r="L299" i="8"/>
  <c r="L300" i="8"/>
  <c r="M301" i="8" s="1"/>
  <c r="L301" i="8"/>
  <c r="L302" i="8"/>
  <c r="L303" i="8"/>
  <c r="L304" i="8"/>
  <c r="L305" i="8"/>
  <c r="M306" i="8" s="1"/>
  <c r="L306" i="8"/>
  <c r="L307" i="8"/>
  <c r="M308" i="8" s="1"/>
  <c r="L308" i="8"/>
  <c r="L309" i="8"/>
  <c r="M310" i="8" s="1"/>
  <c r="L310" i="8"/>
  <c r="L311" i="8"/>
  <c r="M311" i="8" s="1"/>
  <c r="L312" i="8"/>
  <c r="M313" i="8" s="1"/>
  <c r="L313" i="8"/>
  <c r="L314" i="8"/>
  <c r="L315" i="8"/>
  <c r="L316" i="8"/>
  <c r="L317" i="8"/>
  <c r="M318" i="8" s="1"/>
  <c r="L318" i="8"/>
  <c r="L319" i="8"/>
  <c r="M320" i="8" s="1"/>
  <c r="L320" i="8"/>
  <c r="L321" i="8"/>
  <c r="M322" i="8" s="1"/>
  <c r="L322" i="8"/>
  <c r="L323" i="8"/>
  <c r="L324" i="8"/>
  <c r="M325" i="8" s="1"/>
  <c r="L325" i="8"/>
  <c r="L326" i="8"/>
  <c r="M326" i="8" s="1"/>
  <c r="L327" i="8"/>
  <c r="L328" i="8"/>
  <c r="M328" i="8" s="1"/>
  <c r="L329" i="8"/>
  <c r="M330" i="8" s="1"/>
  <c r="L330" i="8"/>
  <c r="L331" i="8"/>
  <c r="M332" i="8" s="1"/>
  <c r="L332" i="8"/>
  <c r="L333" i="8"/>
  <c r="M334" i="8" s="1"/>
  <c r="L334" i="8"/>
  <c r="L335" i="8"/>
  <c r="L336" i="8"/>
  <c r="M337" i="8" s="1"/>
  <c r="L337" i="8"/>
  <c r="L338" i="8"/>
  <c r="L339" i="8"/>
  <c r="L340" i="8"/>
  <c r="L341" i="8"/>
  <c r="M342" i="8" s="1"/>
  <c r="L342" i="8"/>
  <c r="L343" i="8"/>
  <c r="M344" i="8" s="1"/>
  <c r="L344" i="8"/>
  <c r="L345" i="8"/>
  <c r="M346" i="8" s="1"/>
  <c r="L346" i="8"/>
  <c r="L347" i="8"/>
  <c r="M347" i="8" s="1"/>
  <c r="L348" i="8"/>
  <c r="M349" i="8" s="1"/>
  <c r="L349" i="8"/>
  <c r="L350" i="8"/>
  <c r="L351" i="8"/>
  <c r="L352" i="8"/>
  <c r="L353" i="8"/>
  <c r="M354" i="8" s="1"/>
  <c r="L354" i="8"/>
  <c r="L355" i="8"/>
  <c r="M356" i="8" s="1"/>
  <c r="L356" i="8"/>
  <c r="L357" i="8"/>
  <c r="M358" i="8" s="1"/>
  <c r="L358" i="8"/>
  <c r="L359" i="8"/>
  <c r="L360" i="8"/>
  <c r="M361" i="8" s="1"/>
  <c r="L361" i="8"/>
  <c r="L362" i="8"/>
  <c r="M362" i="8" s="1"/>
  <c r="L363" i="8"/>
  <c r="L364" i="8"/>
  <c r="M364" i="8" s="1"/>
  <c r="L365" i="8"/>
  <c r="M366" i="8" s="1"/>
  <c r="L366" i="8"/>
  <c r="L367" i="8"/>
  <c r="M368" i="8" s="1"/>
  <c r="L368" i="8"/>
  <c r="L369" i="8"/>
  <c r="M370" i="8" s="1"/>
  <c r="L370" i="8"/>
  <c r="L371" i="8"/>
  <c r="L372" i="8"/>
  <c r="M373" i="8" s="1"/>
  <c r="L373" i="8"/>
  <c r="L374" i="8"/>
  <c r="L375" i="8"/>
  <c r="L376" i="8"/>
  <c r="L377" i="8"/>
  <c r="M378" i="8" s="1"/>
  <c r="L378" i="8"/>
  <c r="L379" i="8"/>
  <c r="M380" i="8" s="1"/>
  <c r="L380" i="8"/>
  <c r="L381" i="8"/>
  <c r="M382" i="8" s="1"/>
  <c r="L382" i="8"/>
  <c r="L383" i="8"/>
  <c r="M383" i="8" s="1"/>
  <c r="L384" i="8"/>
  <c r="M385" i="8" s="1"/>
  <c r="L385" i="8"/>
  <c r="L386" i="8"/>
  <c r="L387" i="8"/>
  <c r="L388" i="8"/>
  <c r="L389" i="8"/>
  <c r="M390" i="8" s="1"/>
  <c r="L390" i="8"/>
  <c r="L391" i="8"/>
  <c r="M392" i="8" s="1"/>
  <c r="L392" i="8"/>
  <c r="L393" i="8"/>
  <c r="M394" i="8" s="1"/>
  <c r="L394" i="8"/>
  <c r="L395" i="8"/>
  <c r="L396" i="8"/>
  <c r="M397" i="8" s="1"/>
  <c r="L397" i="8"/>
  <c r="L398" i="8"/>
  <c r="M398" i="8" s="1"/>
  <c r="L399" i="8"/>
  <c r="L400" i="8"/>
  <c r="M400" i="8" s="1"/>
  <c r="L401" i="8"/>
  <c r="M402" i="8" s="1"/>
  <c r="L402" i="8"/>
  <c r="L403" i="8"/>
  <c r="M404" i="8" s="1"/>
  <c r="L404" i="8"/>
  <c r="L405" i="8"/>
  <c r="M406" i="8" s="1"/>
  <c r="L406" i="8"/>
  <c r="L407" i="8"/>
  <c r="L408" i="8"/>
  <c r="M409" i="8" s="1"/>
  <c r="L409" i="8"/>
  <c r="L410" i="8"/>
  <c r="L411" i="8"/>
  <c r="L412" i="8"/>
  <c r="L413" i="8"/>
  <c r="M414" i="8" s="1"/>
  <c r="L414" i="8"/>
  <c r="L415" i="8"/>
  <c r="M416" i="8" s="1"/>
  <c r="L416" i="8"/>
  <c r="L417" i="8"/>
  <c r="M418" i="8" s="1"/>
  <c r="L418" i="8"/>
  <c r="L419" i="8"/>
  <c r="M419" i="8" s="1"/>
  <c r="L420" i="8"/>
  <c r="M421" i="8" s="1"/>
  <c r="L421" i="8"/>
  <c r="L422" i="8"/>
  <c r="L423" i="8"/>
  <c r="L424" i="8"/>
  <c r="L425" i="8"/>
  <c r="M426" i="8" s="1"/>
  <c r="L426" i="8"/>
  <c r="L427" i="8"/>
  <c r="M428" i="8" s="1"/>
  <c r="L428" i="8"/>
  <c r="L429" i="8"/>
  <c r="M430" i="8" s="1"/>
  <c r="L430" i="8"/>
  <c r="L431" i="8"/>
  <c r="L432" i="8"/>
  <c r="M433" i="8" s="1"/>
  <c r="L433" i="8"/>
  <c r="L434" i="8"/>
  <c r="M434" i="8" s="1"/>
  <c r="L435" i="8"/>
  <c r="L436" i="8"/>
  <c r="M436" i="8" s="1"/>
  <c r="L437" i="8"/>
  <c r="M438" i="8" s="1"/>
  <c r="L438" i="8"/>
  <c r="L439" i="8"/>
  <c r="M440" i="8" s="1"/>
  <c r="L440" i="8"/>
  <c r="L441" i="8"/>
  <c r="M442" i="8" s="1"/>
  <c r="L442" i="8"/>
  <c r="L443" i="8"/>
  <c r="L444" i="8"/>
  <c r="M445" i="8" s="1"/>
  <c r="L445" i="8"/>
  <c r="L446" i="8"/>
  <c r="L447" i="8"/>
  <c r="L448" i="8"/>
  <c r="L449" i="8"/>
  <c r="M450" i="8" s="1"/>
  <c r="L450" i="8"/>
  <c r="L451" i="8"/>
  <c r="M452" i="8" s="1"/>
  <c r="L452" i="8"/>
  <c r="L453" i="8"/>
  <c r="M454" i="8" s="1"/>
  <c r="L454" i="8"/>
  <c r="L455" i="8"/>
  <c r="M455" i="8" s="1"/>
  <c r="L456" i="8"/>
  <c r="M457" i="8" s="1"/>
  <c r="L457" i="8"/>
  <c r="L458" i="8"/>
  <c r="L459" i="8"/>
  <c r="L460" i="8"/>
  <c r="L461" i="8"/>
  <c r="M462" i="8" s="1"/>
  <c r="L462" i="8"/>
  <c r="L463" i="8"/>
  <c r="M464" i="8" s="1"/>
  <c r="L464" i="8"/>
  <c r="L465" i="8"/>
  <c r="M466" i="8" s="1"/>
  <c r="L466" i="8"/>
  <c r="L467" i="8"/>
  <c r="L468" i="8"/>
  <c r="M469" i="8" s="1"/>
  <c r="L469" i="8"/>
  <c r="L470" i="8"/>
  <c r="M470" i="8" s="1"/>
  <c r="L471" i="8"/>
  <c r="L472" i="8"/>
  <c r="M472" i="8" s="1"/>
  <c r="L473" i="8"/>
  <c r="M474" i="8" s="1"/>
  <c r="L474" i="8"/>
  <c r="L475" i="8"/>
  <c r="M476" i="8" s="1"/>
  <c r="L476" i="8"/>
  <c r="L477" i="8"/>
  <c r="M478" i="8" s="1"/>
  <c r="L478" i="8"/>
  <c r="L479" i="8"/>
  <c r="L480" i="8"/>
  <c r="M481" i="8" s="1"/>
  <c r="L481" i="8"/>
  <c r="L482" i="8"/>
  <c r="L483" i="8"/>
  <c r="L484" i="8"/>
  <c r="L485" i="8"/>
  <c r="M486" i="8" s="1"/>
  <c r="L486" i="8"/>
  <c r="L487" i="8"/>
  <c r="M488" i="8" s="1"/>
  <c r="L488" i="8"/>
  <c r="L489" i="8"/>
  <c r="M490" i="8" s="1"/>
  <c r="L490" i="8"/>
  <c r="L491" i="8"/>
  <c r="M491" i="8" s="1"/>
  <c r="L492" i="8"/>
  <c r="M493" i="8" s="1"/>
  <c r="L493" i="8"/>
  <c r="L494" i="8"/>
  <c r="L495" i="8"/>
  <c r="L496" i="8"/>
  <c r="L497" i="8"/>
  <c r="M498" i="8" s="1"/>
  <c r="L498" i="8"/>
  <c r="L499" i="8"/>
  <c r="M500" i="8" s="1"/>
  <c r="L500" i="8"/>
  <c r="L501" i="8"/>
  <c r="M502" i="8" s="1"/>
  <c r="L502" i="8"/>
  <c r="L503" i="8"/>
  <c r="L504" i="8"/>
  <c r="M505" i="8" s="1"/>
  <c r="L505" i="8"/>
  <c r="L506" i="8"/>
  <c r="M506" i="8" s="1"/>
  <c r="L507" i="8"/>
  <c r="L508" i="8"/>
  <c r="M508" i="8" s="1"/>
  <c r="L509" i="8"/>
  <c r="M510" i="8" s="1"/>
  <c r="L510" i="8"/>
  <c r="L511" i="8"/>
  <c r="M512" i="8" s="1"/>
  <c r="L512" i="8"/>
  <c r="L513" i="8"/>
  <c r="M514" i="8" s="1"/>
  <c r="L514" i="8"/>
  <c r="L515" i="8"/>
  <c r="L516" i="8"/>
  <c r="M517" i="8" s="1"/>
  <c r="L517" i="8"/>
  <c r="L518" i="8"/>
  <c r="L519" i="8"/>
  <c r="L520" i="8"/>
  <c r="L521" i="8"/>
  <c r="M522" i="8" s="1"/>
  <c r="L522" i="8"/>
  <c r="L523" i="8"/>
  <c r="M524" i="8" s="1"/>
  <c r="L524" i="8"/>
  <c r="L525" i="8"/>
  <c r="M526" i="8" s="1"/>
  <c r="L526" i="8"/>
  <c r="L527" i="8"/>
  <c r="M527" i="8" s="1"/>
  <c r="L528" i="8"/>
  <c r="M529" i="8" s="1"/>
  <c r="L529" i="8"/>
  <c r="L530" i="8"/>
  <c r="L531" i="8"/>
  <c r="L532" i="8"/>
  <c r="L533" i="8"/>
  <c r="M534" i="8" s="1"/>
  <c r="L534" i="8"/>
  <c r="L535" i="8"/>
  <c r="M536" i="8" s="1"/>
  <c r="L536" i="8"/>
  <c r="L537" i="8"/>
  <c r="M538" i="8" s="1"/>
  <c r="L538" i="8"/>
  <c r="L539" i="8"/>
  <c r="L540" i="8"/>
  <c r="M541" i="8" s="1"/>
  <c r="L541" i="8"/>
  <c r="L542" i="8"/>
  <c r="M542" i="8" s="1"/>
  <c r="L543" i="8"/>
  <c r="L544" i="8"/>
  <c r="M544" i="8" s="1"/>
  <c r="L545" i="8"/>
  <c r="M546" i="8" s="1"/>
  <c r="L546" i="8"/>
  <c r="L547" i="8"/>
  <c r="M548" i="8" s="1"/>
  <c r="L548" i="8"/>
  <c r="L549" i="8"/>
  <c r="M550" i="8" s="1"/>
  <c r="L550" i="8"/>
  <c r="L551" i="8"/>
  <c r="L552" i="8"/>
  <c r="M553" i="8" s="1"/>
  <c r="L553" i="8"/>
  <c r="L554" i="8"/>
  <c r="L555" i="8"/>
  <c r="L556" i="8"/>
  <c r="L557" i="8"/>
  <c r="M558" i="8" s="1"/>
  <c r="L558" i="8"/>
  <c r="L559" i="8"/>
  <c r="M560" i="8" s="1"/>
  <c r="L560" i="8"/>
  <c r="L561" i="8"/>
  <c r="M562" i="8" s="1"/>
  <c r="L562" i="8"/>
  <c r="L563" i="8"/>
  <c r="M563" i="8" s="1"/>
  <c r="L564" i="8"/>
  <c r="M565" i="8" s="1"/>
  <c r="L565" i="8"/>
  <c r="L566" i="8"/>
  <c r="L567" i="8"/>
  <c r="L568" i="8"/>
  <c r="L569" i="8"/>
  <c r="M570" i="8" s="1"/>
  <c r="L570" i="8"/>
  <c r="L571" i="8"/>
  <c r="M572" i="8" s="1"/>
  <c r="L572" i="8"/>
  <c r="L573" i="8"/>
  <c r="M574" i="8" s="1"/>
  <c r="L574" i="8"/>
  <c r="L575" i="8"/>
  <c r="L576" i="8"/>
  <c r="M577" i="8" s="1"/>
  <c r="L577" i="8"/>
  <c r="L578" i="8"/>
  <c r="M578" i="8" s="1"/>
  <c r="L579" i="8"/>
  <c r="L580" i="8"/>
  <c r="M580" i="8" s="1"/>
  <c r="L581" i="8"/>
  <c r="M582" i="8" s="1"/>
  <c r="L582" i="8"/>
  <c r="L583" i="8"/>
  <c r="M584" i="8" s="1"/>
  <c r="L584" i="8"/>
  <c r="L585" i="8"/>
  <c r="M586" i="8" s="1"/>
  <c r="L586" i="8"/>
  <c r="L587" i="8"/>
  <c r="L588" i="8"/>
  <c r="M589" i="8" s="1"/>
  <c r="L589" i="8"/>
  <c r="L590" i="8"/>
  <c r="L591" i="8"/>
  <c r="L592" i="8"/>
  <c r="L593" i="8"/>
  <c r="M594" i="8" s="1"/>
  <c r="L594" i="8"/>
  <c r="L595" i="8"/>
  <c r="M596" i="8" s="1"/>
  <c r="L596" i="8"/>
  <c r="L597" i="8"/>
  <c r="M598" i="8" s="1"/>
  <c r="L598" i="8"/>
  <c r="L599" i="8"/>
  <c r="M599" i="8" s="1"/>
  <c r="L600" i="8"/>
  <c r="M601" i="8" s="1"/>
  <c r="L601" i="8"/>
  <c r="M2" i="8"/>
  <c r="M3" i="8"/>
  <c r="M4" i="8"/>
  <c r="M5" i="8"/>
  <c r="M7" i="8"/>
  <c r="M11" i="8"/>
  <c r="M14" i="8"/>
  <c r="M15" i="8"/>
  <c r="M17" i="8"/>
  <c r="M18" i="8"/>
  <c r="M19" i="8"/>
  <c r="M21" i="8"/>
  <c r="M27" i="8"/>
  <c r="M28" i="8"/>
  <c r="M29" i="8"/>
  <c r="M30" i="8"/>
  <c r="M31" i="8"/>
  <c r="M33" i="8"/>
  <c r="M35" i="8"/>
  <c r="M38" i="8"/>
  <c r="M40" i="8"/>
  <c r="M42" i="8"/>
  <c r="M43" i="8"/>
  <c r="M45" i="8"/>
  <c r="M47" i="8"/>
  <c r="M50" i="8"/>
  <c r="M51" i="8"/>
  <c r="M52" i="8"/>
  <c r="M53" i="8"/>
  <c r="M55" i="8"/>
  <c r="M59" i="8"/>
  <c r="M62" i="8"/>
  <c r="M63" i="8"/>
  <c r="M65" i="8"/>
  <c r="M66" i="8"/>
  <c r="M67" i="8"/>
  <c r="M69" i="8"/>
  <c r="M75" i="8"/>
  <c r="M76" i="8"/>
  <c r="M79" i="8"/>
  <c r="M81" i="8"/>
  <c r="M86" i="8"/>
  <c r="M87" i="8"/>
  <c r="M88" i="8"/>
  <c r="M91" i="8"/>
  <c r="M95" i="8"/>
  <c r="M98" i="8"/>
  <c r="M99" i="8"/>
  <c r="M101" i="8"/>
  <c r="M103" i="8"/>
  <c r="M105" i="8"/>
  <c r="M107" i="8"/>
  <c r="M110" i="8"/>
  <c r="M112" i="8"/>
  <c r="M113" i="8"/>
  <c r="M115" i="8"/>
  <c r="M117" i="8"/>
  <c r="M122" i="8"/>
  <c r="M123" i="8"/>
  <c r="M124" i="8"/>
  <c r="M127" i="8"/>
  <c r="M131" i="8"/>
  <c r="M134" i="8"/>
  <c r="M135" i="8"/>
  <c r="M137" i="8"/>
  <c r="M139" i="8"/>
  <c r="M141" i="8"/>
  <c r="M143" i="8"/>
  <c r="M146" i="8"/>
  <c r="M148" i="8"/>
  <c r="M149" i="8"/>
  <c r="M151" i="8"/>
  <c r="M153" i="8"/>
  <c r="M158" i="8"/>
  <c r="M159" i="8"/>
  <c r="M160" i="8"/>
  <c r="M163" i="8"/>
  <c r="M167" i="8"/>
  <c r="M170" i="8"/>
  <c r="M171" i="8"/>
  <c r="M173" i="8"/>
  <c r="M175" i="8"/>
  <c r="M177" i="8"/>
  <c r="M179" i="8"/>
  <c r="M182" i="8"/>
  <c r="M184" i="8"/>
  <c r="M187" i="8"/>
  <c r="M189" i="8"/>
  <c r="M191" i="8"/>
  <c r="M194" i="8"/>
  <c r="M195" i="8"/>
  <c r="M196" i="8"/>
  <c r="M197" i="8"/>
  <c r="M199" i="8"/>
  <c r="M201" i="8"/>
  <c r="M206" i="8"/>
  <c r="M207" i="8"/>
  <c r="M208" i="8"/>
  <c r="M211" i="8"/>
  <c r="M213" i="8"/>
  <c r="M215" i="8"/>
  <c r="M219" i="8"/>
  <c r="M221" i="8"/>
  <c r="M223" i="8"/>
  <c r="M225" i="8"/>
  <c r="M227" i="8"/>
  <c r="M230" i="8"/>
  <c r="M231" i="8"/>
  <c r="M232" i="8"/>
  <c r="M233" i="8"/>
  <c r="M235" i="8"/>
  <c r="M237" i="8"/>
  <c r="M242" i="8"/>
  <c r="M243" i="8"/>
  <c r="M244" i="8"/>
  <c r="M247" i="8"/>
  <c r="M249" i="8"/>
  <c r="M251" i="8"/>
  <c r="M255" i="8"/>
  <c r="M257" i="8"/>
  <c r="M259" i="8"/>
  <c r="M261" i="8"/>
  <c r="M263" i="8"/>
  <c r="M266" i="8"/>
  <c r="M267" i="8"/>
  <c r="M268" i="8"/>
  <c r="M269" i="8"/>
  <c r="M271" i="8"/>
  <c r="M278" i="8"/>
  <c r="M279" i="8"/>
  <c r="M280" i="8"/>
  <c r="M283" i="8"/>
  <c r="M285" i="8"/>
  <c r="M287" i="8"/>
  <c r="M291" i="8"/>
  <c r="M293" i="8"/>
  <c r="M295" i="8"/>
  <c r="M297" i="8"/>
  <c r="M299" i="8"/>
  <c r="M302" i="8"/>
  <c r="M303" i="8"/>
  <c r="M304" i="8"/>
  <c r="M305" i="8"/>
  <c r="M307" i="8"/>
  <c r="M314" i="8"/>
  <c r="M315" i="8"/>
  <c r="M316" i="8"/>
  <c r="M319" i="8"/>
  <c r="M321" i="8"/>
  <c r="M323" i="8"/>
  <c r="M327" i="8"/>
  <c r="M329" i="8"/>
  <c r="M331" i="8"/>
  <c r="M333" i="8"/>
  <c r="M335" i="8"/>
  <c r="M338" i="8"/>
  <c r="M339" i="8"/>
  <c r="M340" i="8"/>
  <c r="M341" i="8"/>
  <c r="M343" i="8"/>
  <c r="M350" i="8"/>
  <c r="M351" i="8"/>
  <c r="M352" i="8"/>
  <c r="M355" i="8"/>
  <c r="M357" i="8"/>
  <c r="M359" i="8"/>
  <c r="M363" i="8"/>
  <c r="M365" i="8"/>
  <c r="M367" i="8"/>
  <c r="M369" i="8"/>
  <c r="M371" i="8"/>
  <c r="M374" i="8"/>
  <c r="M375" i="8"/>
  <c r="M376" i="8"/>
  <c r="M377" i="8"/>
  <c r="M379" i="8"/>
  <c r="M386" i="8"/>
  <c r="M387" i="8"/>
  <c r="M388" i="8"/>
  <c r="M391" i="8"/>
  <c r="M393" i="8"/>
  <c r="M395" i="8"/>
  <c r="M399" i="8"/>
  <c r="M401" i="8"/>
  <c r="M403" i="8"/>
  <c r="M405" i="8"/>
  <c r="M407" i="8"/>
  <c r="M410" i="8"/>
  <c r="M411" i="8"/>
  <c r="M412" i="8"/>
  <c r="M413" i="8"/>
  <c r="M415" i="8"/>
  <c r="M422" i="8"/>
  <c r="M423" i="8"/>
  <c r="M424" i="8"/>
  <c r="M427" i="8"/>
  <c r="M429" i="8"/>
  <c r="M431" i="8"/>
  <c r="M435" i="8"/>
  <c r="M437" i="8"/>
  <c r="M439" i="8"/>
  <c r="M441" i="8"/>
  <c r="M443" i="8"/>
  <c r="M446" i="8"/>
  <c r="M447" i="8"/>
  <c r="M448" i="8"/>
  <c r="M449" i="8"/>
  <c r="M451" i="8"/>
  <c r="M458" i="8"/>
  <c r="M459" i="8"/>
  <c r="M460" i="8"/>
  <c r="M463" i="8"/>
  <c r="M465" i="8"/>
  <c r="M467" i="8"/>
  <c r="M471" i="8"/>
  <c r="M473" i="8"/>
  <c r="M475" i="8"/>
  <c r="M477" i="8"/>
  <c r="M479" i="8"/>
  <c r="M482" i="8"/>
  <c r="M483" i="8"/>
  <c r="M484" i="8"/>
  <c r="M485" i="8"/>
  <c r="M487" i="8"/>
  <c r="M494" i="8"/>
  <c r="M495" i="8"/>
  <c r="M496" i="8"/>
  <c r="M499" i="8"/>
  <c r="M501" i="8"/>
  <c r="M503" i="8"/>
  <c r="M507" i="8"/>
  <c r="M509" i="8"/>
  <c r="M511" i="8"/>
  <c r="M513" i="8"/>
  <c r="M515" i="8"/>
  <c r="M518" i="8"/>
  <c r="M519" i="8"/>
  <c r="M520" i="8"/>
  <c r="M521" i="8"/>
  <c r="M523" i="8"/>
  <c r="M530" i="8"/>
  <c r="M531" i="8"/>
  <c r="M532" i="8"/>
  <c r="M535" i="8"/>
  <c r="M539" i="8"/>
  <c r="M543" i="8"/>
  <c r="M545" i="8"/>
  <c r="M547" i="8"/>
  <c r="M549" i="8"/>
  <c r="M551" i="8"/>
  <c r="M554" i="8"/>
  <c r="M555" i="8"/>
  <c r="M556" i="8"/>
  <c r="M557" i="8"/>
  <c r="M559" i="8"/>
  <c r="M566" i="8"/>
  <c r="M567" i="8"/>
  <c r="M568" i="8"/>
  <c r="M571" i="8"/>
  <c r="M575" i="8"/>
  <c r="M579" i="8"/>
  <c r="M581" i="8"/>
  <c r="M583" i="8"/>
  <c r="M585" i="8"/>
  <c r="M587" i="8"/>
  <c r="M590" i="8"/>
  <c r="M591" i="8"/>
  <c r="M592" i="8"/>
  <c r="M593" i="8"/>
  <c r="I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7" i="1"/>
  <c r="C7" i="1" s="1"/>
  <c r="P1" i="8"/>
  <c r="Q1" i="8"/>
  <c r="M145" i="8" l="1"/>
  <c r="M144" i="8"/>
  <c r="M121" i="8"/>
  <c r="M120" i="8"/>
  <c r="M73" i="8"/>
  <c r="M72" i="8"/>
  <c r="M49" i="8"/>
  <c r="M48" i="8"/>
  <c r="M13" i="8"/>
  <c r="M12" i="8"/>
  <c r="M588" i="8"/>
  <c r="M569" i="8"/>
  <c r="M552" i="8"/>
  <c r="M533" i="8"/>
  <c r="M516" i="8"/>
  <c r="M497" i="8"/>
  <c r="M480" i="8"/>
  <c r="M461" i="8"/>
  <c r="M444" i="8"/>
  <c r="M425" i="8"/>
  <c r="M408" i="8"/>
  <c r="M389" i="8"/>
  <c r="M372" i="8"/>
  <c r="M353" i="8"/>
  <c r="M336" i="8"/>
  <c r="M317" i="8"/>
  <c r="M300" i="8"/>
  <c r="M281" i="8"/>
  <c r="M264" i="8"/>
  <c r="M245" i="8"/>
  <c r="M228" i="8"/>
  <c r="M209" i="8"/>
  <c r="M192" i="8"/>
  <c r="M168" i="8"/>
  <c r="M132" i="8"/>
  <c r="M96" i="8"/>
  <c r="M60" i="8"/>
  <c r="M600" i="8"/>
  <c r="M564" i="8"/>
  <c r="M528" i="8"/>
  <c r="M492" i="8"/>
  <c r="M456" i="8"/>
  <c r="M420" i="8"/>
  <c r="M384" i="8"/>
  <c r="M348" i="8"/>
  <c r="M312" i="8"/>
  <c r="M276" i="8"/>
  <c r="M240" i="8"/>
  <c r="M204" i="8"/>
  <c r="M10" i="8"/>
  <c r="M165" i="8"/>
  <c r="M129" i="8"/>
  <c r="M93" i="8"/>
  <c r="M57" i="8"/>
  <c r="M9" i="8"/>
  <c r="M597" i="8"/>
  <c r="M561" i="8"/>
  <c r="M525" i="8"/>
  <c r="M489" i="8"/>
  <c r="M453" i="8"/>
  <c r="M417" i="8"/>
  <c r="M381" i="8"/>
  <c r="M345" i="8"/>
  <c r="M309" i="8"/>
  <c r="M273" i="8"/>
  <c r="M24" i="8"/>
  <c r="M8" i="8"/>
  <c r="M595" i="8"/>
  <c r="M180" i="8"/>
  <c r="M161" i="8"/>
  <c r="M125" i="8"/>
  <c r="M108" i="8"/>
  <c r="M89" i="8"/>
  <c r="M576" i="8"/>
  <c r="M540" i="8"/>
  <c r="M504" i="8"/>
  <c r="M468" i="8"/>
  <c r="M432" i="8"/>
  <c r="M360" i="8"/>
  <c r="M324" i="8"/>
  <c r="M288" i="8"/>
  <c r="M252" i="8"/>
  <c r="M216" i="8"/>
  <c r="M36" i="8"/>
  <c r="M396" i="8"/>
  <c r="M573" i="8"/>
  <c r="M537" i="8"/>
  <c r="M156" i="8"/>
  <c r="M84" i="8"/>
  <c r="M77" i="8"/>
  <c r="M185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A00DDA7-832A-447C-AD13-CCEB21DCA9CD}" keepAlive="1" name="Query - bank_data" description="Connection to the 'bank_data' query in the workbook." type="5" refreshedVersion="8" background="1" saveData="1">
    <dbPr connection="Provider=Microsoft.Mashup.OleDb.1;Data Source=$Workbook$;Location=bank_data;Extended Properties=&quot;&quot;" command="SELECT * FROM [bank_data]"/>
  </connection>
  <connection id="2" xr16:uid="{6AE9146E-7979-4B47-AE2A-4A0C22B17418}" keepAlive="1" name="Query - capitalist_data" description="Connection to the 'capitalist_data' query in the workbook." type="5" refreshedVersion="8" background="1" saveData="1">
    <dbPr connection="Provider=Microsoft.Mashup.OleDb.1;Data Source=$Workbook$;Location=capitalist_data;Extended Properties=&quot;&quot;" command="SELECT * FROM [capitalist_data]"/>
  </connection>
  <connection id="3" xr16:uid="{B40BC512-2658-431C-9676-ECC6E275A567}" keepAlive="1" name="Query - firm_data" description="Connection to the 'firm_data' query in the workbook." type="5" refreshedVersion="8" background="1" saveData="1">
    <dbPr connection="Provider=Microsoft.Mashup.OleDb.1;Data Source=$Workbook$;Location=firm_data;Extended Properties=&quot;&quot;" command="SELECT * FROM [firm_data]"/>
  </connection>
  <connection id="4" xr16:uid="{D1E7C4D9-7977-460B-87E1-98591D7EFBF4}" keepAlive="1" name="Query - k_firm_data" description="Connection to the 'k_firm_data' query in the workbook." type="5" refreshedVersion="8" background="1" saveData="1">
    <dbPr connection="Provider=Microsoft.Mashup.OleDb.1;Data Source=$Workbook$;Location=k_firm_data;Extended Properties=&quot;&quot;" command="SELECT * FROM [k_firm_data]"/>
  </connection>
  <connection id="5" xr16:uid="{EA33B79F-3FF2-445B-AEF5-3199CCE6BB4A}" keepAlive="1" name="Query - liquidity_data" description="Connection to the 'liquidity_data' query in the workbook." type="5" refreshedVersion="8" background="1" saveData="1">
    <dbPr connection="Provider=Microsoft.Mashup.OleDb.1;Data Source=$Workbook$;Location=liquidity_data;Extended Properties=&quot;&quot;" command="SELECT * FROM [liquidity_data]"/>
  </connection>
  <connection id="6" xr16:uid="{F0083C31-9604-4330-B197-572100D3FD7F}" keepAlive="1" name="Query - worker_data" description="Connection to the 'worker_data' query in the workbook." type="5" refreshedVersion="8" background="1" saveData="1">
    <dbPr connection="Provider=Microsoft.Mashup.OleDb.1;Data Source=$Workbook$;Location=worker_data;Extended Properties=&quot;&quot;" command="SELECT * FROM [worker_data]"/>
  </connection>
</connections>
</file>

<file path=xl/sharedStrings.xml><?xml version="1.0" encoding="utf-8"?>
<sst xmlns="http://schemas.openxmlformats.org/spreadsheetml/2006/main" count="6113" uniqueCount="234">
  <si>
    <t>step_no</t>
  </si>
  <si>
    <t>step_id</t>
  </si>
  <si>
    <t>cf_id</t>
  </si>
  <si>
    <t>liquidity</t>
  </si>
  <si>
    <t>price</t>
  </si>
  <si>
    <t>equity</t>
  </si>
  <si>
    <t>debt</t>
  </si>
  <si>
    <t>profit</t>
  </si>
  <si>
    <t>production</t>
  </si>
  <si>
    <t>sales</t>
  </si>
  <si>
    <t>queue</t>
  </si>
  <si>
    <t>expected_demand</t>
  </si>
  <si>
    <t>intresses</t>
  </si>
  <si>
    <t>labour_demand</t>
  </si>
  <si>
    <t>lmbda</t>
  </si>
  <si>
    <t>loans</t>
  </si>
  <si>
    <t>staff</t>
  </si>
  <si>
    <t>first_step</t>
  </si>
  <si>
    <t>capital</t>
  </si>
  <si>
    <t>capital_avg</t>
  </si>
  <si>
    <t>invested</t>
  </si>
  <si>
    <t>planned_production</t>
  </si>
  <si>
    <t>planned_investment</t>
  </si>
  <si>
    <t>wage_bill</t>
  </si>
  <si>
    <t>investment_cost</t>
  </si>
  <si>
    <t>capital_book</t>
  </si>
  <si>
    <t>desired_capital</t>
  </si>
  <si>
    <t>C_0</t>
  </si>
  <si>
    <t>[]</t>
  </si>
  <si>
    <t>Grand Total</t>
  </si>
  <si>
    <t>Row Labels</t>
  </si>
  <si>
    <t>Column1</t>
  </si>
  <si>
    <t>worker_id</t>
  </si>
  <si>
    <t>wealth</t>
  </si>
  <si>
    <t>human_wealth</t>
  </si>
  <si>
    <t>spent_amount</t>
  </si>
  <si>
    <t>employed</t>
  </si>
  <si>
    <t>employer_id</t>
  </si>
  <si>
    <t>budget</t>
  </si>
  <si>
    <t>W_0</t>
  </si>
  <si>
    <t/>
  </si>
  <si>
    <t>Sum of budget</t>
  </si>
  <si>
    <t>Sum of employed</t>
  </si>
  <si>
    <t>Sum of wealth</t>
  </si>
  <si>
    <t>Sum of spent_amount</t>
  </si>
  <si>
    <t>unsold</t>
  </si>
  <si>
    <t>steps_id</t>
  </si>
  <si>
    <t>capitalist_id</t>
  </si>
  <si>
    <t>B_0</t>
  </si>
  <si>
    <t>run_id</t>
  </si>
  <si>
    <t>w_m</t>
  </si>
  <si>
    <t>c_m</t>
  </si>
  <si>
    <t>cf_m</t>
  </si>
  <si>
    <t>cf_d</t>
  </si>
  <si>
    <t>kf_m</t>
  </si>
  <si>
    <t>kf_d</t>
  </si>
  <si>
    <t>TOTAL_M</t>
  </si>
  <si>
    <t>TOTAL_D</t>
  </si>
  <si>
    <t>M-D</t>
  </si>
  <si>
    <t>Sum of cf_m</t>
  </si>
  <si>
    <t>kasv</t>
  </si>
  <si>
    <t>Sum of w_m</t>
  </si>
  <si>
    <t>Sum of M-D</t>
  </si>
  <si>
    <t>coef</t>
  </si>
  <si>
    <t>intercept</t>
  </si>
  <si>
    <t>z</t>
  </si>
  <si>
    <t>x</t>
  </si>
  <si>
    <t>phi</t>
  </si>
  <si>
    <t>kf_id</t>
  </si>
  <si>
    <t>inventory</t>
  </si>
  <si>
    <t>K_0</t>
  </si>
  <si>
    <t>Sum of equity</t>
  </si>
  <si>
    <t>["W_1618"]</t>
  </si>
  <si>
    <t>["W_2749"]</t>
  </si>
  <si>
    <t>k_coef</t>
  </si>
  <si>
    <t>k_intercept</t>
  </si>
  <si>
    <t>c_coef</t>
  </si>
  <si>
    <t>c_intercept</t>
  </si>
  <si>
    <t>losses</t>
  </si>
  <si>
    <t>Sum of debt</t>
  </si>
  <si>
    <t>Sum of capital</t>
  </si>
  <si>
    <t>["W_526", "W_1561", "W_904"]</t>
  </si>
  <si>
    <t>["W_526"]</t>
  </si>
  <si>
    <t>["W_1660"]</t>
  </si>
  <si>
    <t>["W_1660", "W_2610"]</t>
  </si>
  <si>
    <t>["W_2610"]</t>
  </si>
  <si>
    <t>["W_2777"]</t>
  </si>
  <si>
    <t>["W_2777", "W_914"]</t>
  </si>
  <si>
    <t>["W_2777", "W_103", "W_1958"]</t>
  </si>
  <si>
    <t>["W_103", "W_1958"]</t>
  </si>
  <si>
    <t>["W_1958"]</t>
  </si>
  <si>
    <t>["W_2489"]</t>
  </si>
  <si>
    <t>["W_2489", "W_2390", "W_1594"]</t>
  </si>
  <si>
    <t>["W_2390", "W_1594"]</t>
  </si>
  <si>
    <t>["W_2390"]</t>
  </si>
  <si>
    <t>["W_2390", "W_1019"]</t>
  </si>
  <si>
    <t>["W_1019"]</t>
  </si>
  <si>
    <t>["W_1019", "W_1484", "W_2582"]</t>
  </si>
  <si>
    <t>["W_1019", "W_1484"]</t>
  </si>
  <si>
    <t>["W_2654", "W_662", "W_1096"]</t>
  </si>
  <si>
    <t>["W_2654"]</t>
  </si>
  <si>
    <t>["W_1919", "W_1619"]</t>
  </si>
  <si>
    <t>["W_1619"]</t>
  </si>
  <si>
    <t>["W_1213"]</t>
  </si>
  <si>
    <t>["W_1226"]</t>
  </si>
  <si>
    <t>["W_1226", "W_631"]</t>
  </si>
  <si>
    <t>["W_631"]</t>
  </si>
  <si>
    <t>["W_1153", "W_1277"]</t>
  </si>
  <si>
    <t>["W_1277"]</t>
  </si>
  <si>
    <t>["W_1528", "W_2785"]</t>
  </si>
  <si>
    <t>["W_2785"]</t>
  </si>
  <si>
    <t>["W_2941"]</t>
  </si>
  <si>
    <t>["W_2941", "W_2974"]</t>
  </si>
  <si>
    <t>["W_2941", "W_2843", "W_969"]</t>
  </si>
  <si>
    <t>["W_2843", "W_969"]</t>
  </si>
  <si>
    <t>["W_2843"]</t>
  </si>
  <si>
    <t>["W_2843", "W_760"]</t>
  </si>
  <si>
    <t>["W_2749", "W_1995", "W_1095"]</t>
  </si>
  <si>
    <t>["W_2749", "W_1095"]</t>
  </si>
  <si>
    <t>["W_2335"]</t>
  </si>
  <si>
    <t>["W_2335", "W_2631", "W_319"]</t>
  </si>
  <si>
    <t>["W_69"]</t>
  </si>
  <si>
    <t>["W_682"]</t>
  </si>
  <si>
    <t>["W_682", "W_1318"]</t>
  </si>
  <si>
    <t>["W_1318"]</t>
  </si>
  <si>
    <t>["W_1318", "W_2044"]</t>
  </si>
  <si>
    <t>["W_2044"]</t>
  </si>
  <si>
    <t>["W_157", "W_206"]</t>
  </si>
  <si>
    <t>["W_206"]</t>
  </si>
  <si>
    <t>["W_1856"]</t>
  </si>
  <si>
    <t>["W_135"]</t>
  </si>
  <si>
    <t>["W_2721"]</t>
  </si>
  <si>
    <t>["W_452"]</t>
  </si>
  <si>
    <t>["W_2401"]</t>
  </si>
  <si>
    <t>["W_2123", "W_724"]</t>
  </si>
  <si>
    <t>["W_724"]</t>
  </si>
  <si>
    <t>["W_1327"]</t>
  </si>
  <si>
    <t>["W_1717"]</t>
  </si>
  <si>
    <t>["W_1717", "W_2126"]</t>
  </si>
  <si>
    <t>["W_615"]</t>
  </si>
  <si>
    <t>["W_2719"]</t>
  </si>
  <si>
    <t>["W_2338"]</t>
  </si>
  <si>
    <t>["W_1620"]</t>
  </si>
  <si>
    <t>["W_644"]</t>
  </si>
  <si>
    <t>["W_1046", "W_1885"]</t>
  </si>
  <si>
    <t>["W_1885"]</t>
  </si>
  <si>
    <t>PvVpgXTKXpLEWqn</t>
  </si>
  <si>
    <t>C_186</t>
  </si>
  <si>
    <t>C_125</t>
  </si>
  <si>
    <t>K_22</t>
  </si>
  <si>
    <t>["W_2627", "W_1860", "W_2783", "W_2271", "W_176", "W_895"]</t>
  </si>
  <si>
    <t>["W_2627", "W_2783", "W_176", "W_895"]</t>
  </si>
  <si>
    <t>["W_2627", "W_2783", "W_176", "W_895", "W_2545"]</t>
  </si>
  <si>
    <t>[{"amount": 0.31848239892830754, "rate": 0.022407254804442167}]</t>
  </si>
  <si>
    <t>[{"amount": 0.30255827898189214, "rate": 0.022407254804442167}]</t>
  </si>
  <si>
    <t>[{"amount": 0.2874303650327975, "rate": 0.022407254804442167}]</t>
  </si>
  <si>
    <t>[{"amount": 0.27305884678115766, "rate": 0.022407254804442167}]</t>
  </si>
  <si>
    <t>[{"amount": 0.25940590444209977, "rate": 0.022407254804442167}]</t>
  </si>
  <si>
    <t>[{"amount": 0.24643560921999477, "rate": 0.022407254804442167}]</t>
  </si>
  <si>
    <t>[{"amount": 0.23411382875899503, "rate": 0.022407254804442167}]</t>
  </si>
  <si>
    <t>[{"amount": 0.22240813732104528, "rate": 0.022407254804442167}]</t>
  </si>
  <si>
    <t>[{"amount": 0.21128773045499302, "rate": 0.022407254804442167}, {"amount": 0.14180789789376563, "rate": 0.023711355946681445}]</t>
  </si>
  <si>
    <t>[{"amount": 0.20072334393224336, "rate": 0.022407254804442167}, {"amount": 0.13471750299907737, "rate": 0.023711355946681445}, {"amount": 0.19007384654106663, "rate": 0.04101248888814897}]</t>
  </si>
  <si>
    <t>[{"amount": 0.19068717673563118, "rate": 0.022407254804442167}, {"amount": 0.1279816278491235, "rate": 0.023711355946681445}, {"amount": 0.1805701542140133, "rate": 0.04101248888814897}, {"amount": 0.20608535953862114, "rate": 0.09655666259328514}]</t>
  </si>
  <si>
    <t>[{"amount": 0.18115281789884963, "rate": 0.022407254804442167}, {"amount": 0.12158254645666733, "rate": 0.023711355946681445}, {"amount": 0.17154164650331263, "rate": 0.04101248888814897}, {"amount": 0.19578109156169007, "rate": 0.09655666259328514}, {"amount": 0.23420038554337072, "rate": 0.20738866791222232}]</t>
  </si>
  <si>
    <t>[{"amount": 0.17209517700390714, "rate": 0.022407254804442167}, {"amount": 0.11550341913383397, "rate": 0.023711355946681445}, {"amount": 0.162964564178147, "rate": 0.04101248888814897}, {"amount": 0.18599203698360556, "rate": 0.09655666259328514}, {"amount": 0.2224903662662022, "rate": 0.20738866791222232}, {"amount": 0.290987003004102, "rate": 0.4189904798599516}]</t>
  </si>
  <si>
    <t>[{"amount": 0.1634904181537118, "rate": 0.022407254804442167}, {"amount": 0.10972824817714227, "rate": 0.023711355946681445}, {"amount": 0.15481633596923966, "rate": 0.04101248888814897}, {"amount": 0.17669243513442529, "rate": 0.09655666259328514}, {"amount": 0.2113658479528921, "rate": 0.20738866791222232}, {"amount": 0.27643765285389693, "rate": 0.4189904798599516}, {"amount": 0.42112389850416304, "rate": 0.6237055571296336}]</t>
  </si>
  <si>
    <t>[{"amount": 1.9, "rate": 0.6783157960923868}]</t>
  </si>
  <si>
    <t>[{"amount": 3.219710550774358, "rate": 0.6785536011086309}]</t>
  </si>
  <si>
    <t>[{"amount": 1.9, "rate": 0.6784968019182339}]</t>
  </si>
  <si>
    <t>[{"amount": 1.9, "rate": 0.6785868445258252}]</t>
  </si>
  <si>
    <t>[{"amount": 1.9, "rate": 0.6787897207878751}]</t>
  </si>
  <si>
    <t>[{"amount": 1.9, "rate": 0.6784276991962238}]</t>
  </si>
  <si>
    <t>[{"amount": 1.9, "rate": 0.6783023819753894}]</t>
  </si>
  <si>
    <t>[{"amount": 1.9, "rate": 0.6777787767886363}]</t>
  </si>
  <si>
    <t>[{"amount": 1.9, "rate": 0.6777041809939585}]</t>
  </si>
  <si>
    <t>[{"amount": 4.668424647272865, "rate": 0.6783948965236454}]</t>
  </si>
  <si>
    <t>[{"amount": 1.9, "rate": 0.6782367937955266}]</t>
  </si>
  <si>
    <t>[{"amount": 1.9, "rate": 0.6785921872479576}]</t>
  </si>
  <si>
    <t>[{"amount": 1.9, "rate": 0.6787235639770135}]</t>
  </si>
  <si>
    <t>[{"amount": 1.9, "rate": 0.6791871405753007}]</t>
  </si>
  <si>
    <t>[{"amount": 3.734316997615616, "rate": 0.6796220997636574}]</t>
  </si>
  <si>
    <t>[{"amount": 1.9, "rate": 0.6790029623943501}]</t>
  </si>
  <si>
    <t>[{"amount": 4.467407627315131, "rate": 0.6787921280741204}]</t>
  </si>
  <si>
    <t>[{"amount": 1.9, "rate": 0.6795438511131191}]</t>
  </si>
  <si>
    <t>[{"amount": 1.9, "rate": 0.6802239349874194}]</t>
  </si>
  <si>
    <t>[{"amount": 1.9, "rate": 0.6806938536639353}]</t>
  </si>
  <si>
    <t>[{"amount": 1.9, "rate": 0.6809691197791337}]</t>
  </si>
  <si>
    <t>[{"amount": 1.9, "rate": 0.6820488276387803}]</t>
  </si>
  <si>
    <t>[{"amount": 4.029527961446624, "rate": 0.6824245736810791}]</t>
  </si>
  <si>
    <t>[{"amount": 1.9, "rate": 0.6825472636931428}]</t>
  </si>
  <si>
    <t>[{"amount": 1.9, "rate": 0.6827231538645572}]</t>
  </si>
  <si>
    <t>[{"amount": 1.9, "rate": 0.6828533250242614}]</t>
  </si>
  <si>
    <t>[{"amount": 1.9, "rate": 0.6827522618230254}]</t>
  </si>
  <si>
    <t>[{"amount": 1.9, "rate": 0.6823634865810787}]</t>
  </si>
  <si>
    <t>[{"amount": 1.9, "rate": 0.682208182182679}]</t>
  </si>
  <si>
    <t>[{"amount": 1.9, "rate": 0.6821600274388512}]</t>
  </si>
  <si>
    <t>[{"amount": 1.9, "rate": 0.6820244735921149}]</t>
  </si>
  <si>
    <t>[{"amount": 1.9, "rate": 0.6820184258096456}]</t>
  </si>
  <si>
    <t>[{"amount": 1.9, "rate": 0.6826280647203855}]</t>
  </si>
  <si>
    <t>[{"amount": 3.1485893406635586, "rate": 0.683203519578282}]</t>
  </si>
  <si>
    <t>[{"amount": 1.9, "rate": 0.683773043878275}]</t>
  </si>
  <si>
    <t>[{"amount": 1.9, "rate": 0.6840626703067074}]</t>
  </si>
  <si>
    <t>[{"amount": 1.9, "rate": 0.6842441583163842}]</t>
  </si>
  <si>
    <t>[{"amount": 1.9, "rate": 0.6842976231763521}]</t>
  </si>
  <si>
    <t>[{"amount": 1.9, "rate": 0.6845462920213361}]</t>
  </si>
  <si>
    <t>[{"amount": 1.9, "rate": 0.6848532431614021}]</t>
  </si>
  <si>
    <t>[{"amount": 1.9, "rate": 0.6852141155302143}]</t>
  </si>
  <si>
    <t>[{"amount": 1.9, "rate": 0.6855198856043863}]</t>
  </si>
  <si>
    <t>[{"amount": 1.9, "rate": 0.6857960010448293}]</t>
  </si>
  <si>
    <t>[{"amount": 1.9, "rate": 0.6860372081913882}]</t>
  </si>
  <si>
    <t>[{"amount": 1.9, "rate": 0.6863774511735877}]</t>
  </si>
  <si>
    <t>[{"amount": 1.9, "rate": 0.6863780103365242}]</t>
  </si>
  <si>
    <t>[{"amount": 1.9, "rate": 0.68657524685534}]</t>
  </si>
  <si>
    <t>[{"amount": 1.882520448170919, "rate": 0.6864691064105276}]</t>
  </si>
  <si>
    <t>[{"amount": 1.8121646488393983, "rate": 0.6861911838704414}]</t>
  </si>
  <si>
    <t>[{"amount": 1.6638371510139272, "rate": 0.6859546455850319}]</t>
  </si>
  <si>
    <t>[{"amount": 1.5532238410435164, "rate": 0.6859250324544705}]</t>
  </si>
  <si>
    <t>[{"amount": 1.4484303879887226, "rate": 0.6858955476080599}]</t>
  </si>
  <si>
    <t>[{"amount": 1.3448956625384278, "rate": 0.6859072264532367}]</t>
  </si>
  <si>
    <t>[{"amount": 1.2493605375932955, "rate": 0.6858994921253245}]</t>
  </si>
  <si>
    <t>[{"amount": 1.1504004252687194, "rate": 0.6860512870714122}]</t>
  </si>
  <si>
    <t>[{"amount": 1.0549741068540675, "rate": 0.6861097984470138}]</t>
  </si>
  <si>
    <t>[{"amount": 0.9861425066048402, "rate": 0.686133533385239}]</t>
  </si>
  <si>
    <t>[{"amount": 0.9004448523857238, "rate": 0.6859562396870039}]</t>
  </si>
  <si>
    <t>[{"amount": 0.8490958793539687, "rate": 0.6849725283525471}]</t>
  </si>
  <si>
    <t>[{"amount": 0.7308125837290513, "rate": 0.6829481575839641}]</t>
  </si>
  <si>
    <t>[{"amount": 0.6646473654665057, "rate": 0.6760322511248721}]</t>
  </si>
  <si>
    <t>[{"amount": 0.5708270305845122, "rate": 0.6662186498450585}]</t>
  </si>
  <si>
    <t>[{"amount": 0.4866429727838132, "rate": 0.6532192819392738}]</t>
  </si>
  <si>
    <t>[{"amount": 0.40711425034215737, "rate": 0.6333577691634464}]</t>
  </si>
  <si>
    <t>[{"amount": 0.3080670202041486, "rate": 0.6116561180732135}]</t>
  </si>
  <si>
    <t>[{"amount": 0.17085258503307774, "rate": 0.5899291775297039}]</t>
  </si>
  <si>
    <t>[{"amount": 0.059959007291502955, "rate": 0.5696327441899535}]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</si>
</sst>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0000"/>
    <numFmt numFmtId="166" formatCode="0.0%"/>
    <numFmt numFmtId="168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1" applyNumberFormat="1" applyFont="1"/>
    <xf numFmtId="0" fontId="0" fillId="0" borderId="0" xfId="0" applyNumberFormat="1"/>
    <xf numFmtId="168" fontId="0" fillId="0" borderId="0" xfId="0" applyNumberFormat="1"/>
  </cellXfs>
  <cellStyles count="2">
    <cellStyle name="Normal" xfId="0" builtinId="0"/>
    <cellStyle name="Percent" xfId="1" builtinId="5"/>
  </cellStyles>
  <dxfs count="23">
    <dxf>
      <numFmt numFmtId="0" formatCode="General"/>
    </dxf>
    <dxf>
      <numFmt numFmtId="0" formatCode="General"/>
    </dxf>
    <dxf>
      <numFmt numFmtId="164" formatCode="0.0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168" formatCode="0.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[analyys.xlsx]FIRM!PivotTable1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FIRM!$B$4</c:f>
              <c:strCache>
                <c:ptCount val="1"/>
                <c:pt idx="0">
                  <c:v>Sum of debt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FIRM!$A$5:$A$605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FIRM!$B$5:$B$605</c:f>
              <c:numCache>
                <c:formatCode>General</c:formatCode>
                <c:ptCount val="6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0.31848199999999999</c:v>
                </c:pt>
                <c:pt idx="56">
                  <c:v>0.30255799999999999</c:v>
                </c:pt>
                <c:pt idx="57">
                  <c:v>0.28743000000000002</c:v>
                </c:pt>
                <c:pt idx="58">
                  <c:v>0.273059</c:v>
                </c:pt>
                <c:pt idx="59">
                  <c:v>0.25940600000000003</c:v>
                </c:pt>
                <c:pt idx="60">
                  <c:v>0.24643599999999999</c:v>
                </c:pt>
                <c:pt idx="61">
                  <c:v>0.23411399999999999</c:v>
                </c:pt>
                <c:pt idx="62">
                  <c:v>0.22240799999999999</c:v>
                </c:pt>
                <c:pt idx="63">
                  <c:v>0.35309600000000002</c:v>
                </c:pt>
                <c:pt idx="64">
                  <c:v>0.52551499999999995</c:v>
                </c:pt>
                <c:pt idx="65">
                  <c:v>0.70532399999999995</c:v>
                </c:pt>
                <c:pt idx="66">
                  <c:v>0.90425800000000001</c:v>
                </c:pt>
                <c:pt idx="67">
                  <c:v>1.1500300000000001</c:v>
                </c:pt>
                <c:pt idx="68">
                  <c:v>1.5136499999999999</c:v>
                </c:pt>
                <c:pt idx="69">
                  <c:v>1.9</c:v>
                </c:pt>
                <c:pt idx="70">
                  <c:v>3.2197100000000001</c:v>
                </c:pt>
                <c:pt idx="71">
                  <c:v>1.9</c:v>
                </c:pt>
                <c:pt idx="72">
                  <c:v>1.9</c:v>
                </c:pt>
                <c:pt idx="73">
                  <c:v>1.9</c:v>
                </c:pt>
                <c:pt idx="74">
                  <c:v>1.9</c:v>
                </c:pt>
                <c:pt idx="75">
                  <c:v>1.9</c:v>
                </c:pt>
                <c:pt idx="76">
                  <c:v>1.9</c:v>
                </c:pt>
                <c:pt idx="77">
                  <c:v>1.9</c:v>
                </c:pt>
                <c:pt idx="78">
                  <c:v>4.6684200000000002</c:v>
                </c:pt>
                <c:pt idx="79">
                  <c:v>1.9</c:v>
                </c:pt>
                <c:pt idx="80">
                  <c:v>1.9</c:v>
                </c:pt>
                <c:pt idx="81">
                  <c:v>1.9</c:v>
                </c:pt>
                <c:pt idx="82">
                  <c:v>1.9</c:v>
                </c:pt>
                <c:pt idx="83">
                  <c:v>3.7343199999999999</c:v>
                </c:pt>
                <c:pt idx="84">
                  <c:v>1.9</c:v>
                </c:pt>
                <c:pt idx="85">
                  <c:v>4.4674100000000001</c:v>
                </c:pt>
                <c:pt idx="86">
                  <c:v>1.9</c:v>
                </c:pt>
                <c:pt idx="87">
                  <c:v>1.9</c:v>
                </c:pt>
                <c:pt idx="88">
                  <c:v>1.9</c:v>
                </c:pt>
                <c:pt idx="89">
                  <c:v>1.9</c:v>
                </c:pt>
                <c:pt idx="90">
                  <c:v>1.9</c:v>
                </c:pt>
                <c:pt idx="91">
                  <c:v>4.0295300000000003</c:v>
                </c:pt>
                <c:pt idx="92">
                  <c:v>1.9</c:v>
                </c:pt>
                <c:pt idx="93">
                  <c:v>1.9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  <c:pt idx="97">
                  <c:v>1.9</c:v>
                </c:pt>
                <c:pt idx="98">
                  <c:v>1.9</c:v>
                </c:pt>
                <c:pt idx="99">
                  <c:v>1.9</c:v>
                </c:pt>
                <c:pt idx="100">
                  <c:v>1.9</c:v>
                </c:pt>
                <c:pt idx="101">
                  <c:v>1.9</c:v>
                </c:pt>
                <c:pt idx="102">
                  <c:v>3.14859</c:v>
                </c:pt>
                <c:pt idx="103">
                  <c:v>1.9</c:v>
                </c:pt>
                <c:pt idx="104">
                  <c:v>1.9</c:v>
                </c:pt>
                <c:pt idx="105">
                  <c:v>1.9</c:v>
                </c:pt>
                <c:pt idx="106">
                  <c:v>1.9</c:v>
                </c:pt>
                <c:pt idx="107">
                  <c:v>1.9</c:v>
                </c:pt>
                <c:pt idx="108">
                  <c:v>1.9</c:v>
                </c:pt>
                <c:pt idx="109">
                  <c:v>1.9</c:v>
                </c:pt>
                <c:pt idx="110">
                  <c:v>1.9</c:v>
                </c:pt>
                <c:pt idx="111">
                  <c:v>1.9</c:v>
                </c:pt>
                <c:pt idx="112">
                  <c:v>1.9</c:v>
                </c:pt>
                <c:pt idx="113">
                  <c:v>1.9</c:v>
                </c:pt>
                <c:pt idx="114">
                  <c:v>1.9</c:v>
                </c:pt>
                <c:pt idx="115">
                  <c:v>1.9</c:v>
                </c:pt>
                <c:pt idx="116">
                  <c:v>1.88252</c:v>
                </c:pt>
                <c:pt idx="117">
                  <c:v>1.81216</c:v>
                </c:pt>
                <c:pt idx="118">
                  <c:v>1.66384</c:v>
                </c:pt>
                <c:pt idx="119">
                  <c:v>1.55322</c:v>
                </c:pt>
                <c:pt idx="120">
                  <c:v>1.4484300000000001</c:v>
                </c:pt>
                <c:pt idx="121">
                  <c:v>1.3449</c:v>
                </c:pt>
                <c:pt idx="122">
                  <c:v>1.24936</c:v>
                </c:pt>
                <c:pt idx="123">
                  <c:v>1.1504000000000001</c:v>
                </c:pt>
                <c:pt idx="124">
                  <c:v>1.05497</c:v>
                </c:pt>
                <c:pt idx="125">
                  <c:v>0.98614299999999999</c:v>
                </c:pt>
                <c:pt idx="126">
                  <c:v>0.90044500000000005</c:v>
                </c:pt>
                <c:pt idx="127">
                  <c:v>0.84909599999999996</c:v>
                </c:pt>
                <c:pt idx="128">
                  <c:v>0.73081300000000005</c:v>
                </c:pt>
                <c:pt idx="129">
                  <c:v>0.66464699999999999</c:v>
                </c:pt>
                <c:pt idx="130">
                  <c:v>0.57082699999999997</c:v>
                </c:pt>
                <c:pt idx="131">
                  <c:v>0.48664299999999999</c:v>
                </c:pt>
                <c:pt idx="132">
                  <c:v>0.40711399999999998</c:v>
                </c:pt>
                <c:pt idx="133">
                  <c:v>0.30806699999999998</c:v>
                </c:pt>
                <c:pt idx="134">
                  <c:v>0.170853</c:v>
                </c:pt>
                <c:pt idx="135">
                  <c:v>5.9958999999999998E-2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98-4BA3-904E-CDF65E86F0E1}"/>
            </c:ext>
          </c:extLst>
        </c:ser>
        <c:ser>
          <c:idx val="1"/>
          <c:order val="1"/>
          <c:tx>
            <c:strRef>
              <c:f>FIRM!$C$4</c:f>
              <c:strCache>
                <c:ptCount val="1"/>
                <c:pt idx="0">
                  <c:v>Sum of capital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FIRM!$A$5:$A$605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FIRM!$C$5:$C$605</c:f>
              <c:numCache>
                <c:formatCode>General</c:formatCode>
                <c:ptCount val="600"/>
                <c:pt idx="0">
                  <c:v>9.81982</c:v>
                </c:pt>
                <c:pt idx="1">
                  <c:v>9.63964</c:v>
                </c:pt>
                <c:pt idx="2">
                  <c:v>9.45946</c:v>
                </c:pt>
                <c:pt idx="3">
                  <c:v>9.27928</c:v>
                </c:pt>
                <c:pt idx="4">
                  <c:v>9.0991</c:v>
                </c:pt>
                <c:pt idx="5">
                  <c:v>8.91892</c:v>
                </c:pt>
                <c:pt idx="6">
                  <c:v>8.7405399999999993</c:v>
                </c:pt>
                <c:pt idx="7">
                  <c:v>8.5657300000000003</c:v>
                </c:pt>
                <c:pt idx="8">
                  <c:v>10.9316</c:v>
                </c:pt>
                <c:pt idx="9">
                  <c:v>10.7514</c:v>
                </c:pt>
                <c:pt idx="10">
                  <c:v>10.571199999999999</c:v>
                </c:pt>
                <c:pt idx="11">
                  <c:v>10.3911</c:v>
                </c:pt>
                <c:pt idx="12">
                  <c:v>10.210900000000001</c:v>
                </c:pt>
                <c:pt idx="13">
                  <c:v>10.0307</c:v>
                </c:pt>
                <c:pt idx="14">
                  <c:v>9.8505199999999995</c:v>
                </c:pt>
                <c:pt idx="15">
                  <c:v>9.6703399999999995</c:v>
                </c:pt>
                <c:pt idx="16">
                  <c:v>9.4901599999999995</c:v>
                </c:pt>
                <c:pt idx="17">
                  <c:v>9.3099799999999995</c:v>
                </c:pt>
                <c:pt idx="18">
                  <c:v>10.527200000000001</c:v>
                </c:pt>
                <c:pt idx="19">
                  <c:v>10.347</c:v>
                </c:pt>
                <c:pt idx="20">
                  <c:v>10.1668</c:v>
                </c:pt>
                <c:pt idx="21">
                  <c:v>9.9866200000000003</c:v>
                </c:pt>
                <c:pt idx="22">
                  <c:v>9.8064499999999999</c:v>
                </c:pt>
                <c:pt idx="23">
                  <c:v>9.6262600000000003</c:v>
                </c:pt>
                <c:pt idx="24">
                  <c:v>9.4460800000000003</c:v>
                </c:pt>
                <c:pt idx="25">
                  <c:v>9.2659000000000002</c:v>
                </c:pt>
                <c:pt idx="26">
                  <c:v>9.0857200000000002</c:v>
                </c:pt>
                <c:pt idx="27">
                  <c:v>8.9055400000000002</c:v>
                </c:pt>
                <c:pt idx="28">
                  <c:v>8.72743</c:v>
                </c:pt>
                <c:pt idx="29">
                  <c:v>8.55288</c:v>
                </c:pt>
                <c:pt idx="30">
                  <c:v>8.3818300000000008</c:v>
                </c:pt>
                <c:pt idx="31">
                  <c:v>9.1843900000000005</c:v>
                </c:pt>
                <c:pt idx="32">
                  <c:v>9.0042100000000005</c:v>
                </c:pt>
                <c:pt idx="33">
                  <c:v>8.8241300000000003</c:v>
                </c:pt>
                <c:pt idx="34">
                  <c:v>8.6476400000000009</c:v>
                </c:pt>
                <c:pt idx="35">
                  <c:v>8.4746900000000007</c:v>
                </c:pt>
                <c:pt idx="36">
                  <c:v>8.3051999999999992</c:v>
                </c:pt>
                <c:pt idx="37">
                  <c:v>8.1390899999999995</c:v>
                </c:pt>
                <c:pt idx="38">
                  <c:v>9.46631</c:v>
                </c:pt>
                <c:pt idx="39">
                  <c:v>9.28613</c:v>
                </c:pt>
                <c:pt idx="40">
                  <c:v>9.16601</c:v>
                </c:pt>
                <c:pt idx="41">
                  <c:v>9.04589</c:v>
                </c:pt>
                <c:pt idx="42">
                  <c:v>8.92577</c:v>
                </c:pt>
                <c:pt idx="43">
                  <c:v>8.80565</c:v>
                </c:pt>
                <c:pt idx="44">
                  <c:v>8.68553</c:v>
                </c:pt>
                <c:pt idx="45">
                  <c:v>8.56541</c:v>
                </c:pt>
                <c:pt idx="46">
                  <c:v>8.41526</c:v>
                </c:pt>
                <c:pt idx="47">
                  <c:v>8.26511</c:v>
                </c:pt>
                <c:pt idx="48">
                  <c:v>8.11496</c:v>
                </c:pt>
                <c:pt idx="49">
                  <c:v>9.05349</c:v>
                </c:pt>
                <c:pt idx="50">
                  <c:v>8.90334</c:v>
                </c:pt>
                <c:pt idx="51">
                  <c:v>8.75319</c:v>
                </c:pt>
                <c:pt idx="52">
                  <c:v>8.60304</c:v>
                </c:pt>
                <c:pt idx="53">
                  <c:v>8.45289</c:v>
                </c:pt>
                <c:pt idx="54">
                  <c:v>8.30274</c:v>
                </c:pt>
                <c:pt idx="55">
                  <c:v>8.7363999999999997</c:v>
                </c:pt>
                <c:pt idx="56">
                  <c:v>8.6162799999999997</c:v>
                </c:pt>
                <c:pt idx="57">
                  <c:v>8.4961599999999997</c:v>
                </c:pt>
                <c:pt idx="58">
                  <c:v>8.3760399999999997</c:v>
                </c:pt>
                <c:pt idx="59">
                  <c:v>8.2559199999999997</c:v>
                </c:pt>
                <c:pt idx="60">
                  <c:v>8.1357999999999997</c:v>
                </c:pt>
                <c:pt idx="61">
                  <c:v>8.0156799999999997</c:v>
                </c:pt>
                <c:pt idx="62">
                  <c:v>7.8955599999999997</c:v>
                </c:pt>
                <c:pt idx="63">
                  <c:v>7.7754399999999997</c:v>
                </c:pt>
                <c:pt idx="64">
                  <c:v>7.6553199999999997</c:v>
                </c:pt>
                <c:pt idx="65">
                  <c:v>7.5351999999999997</c:v>
                </c:pt>
                <c:pt idx="66">
                  <c:v>7.4150799999999997</c:v>
                </c:pt>
                <c:pt idx="67">
                  <c:v>7.2949599999999997</c:v>
                </c:pt>
                <c:pt idx="68">
                  <c:v>7.1748399999999997</c:v>
                </c:pt>
                <c:pt idx="69">
                  <c:v>7.0547199999999997</c:v>
                </c:pt>
                <c:pt idx="70">
                  <c:v>7.4263599999999999</c:v>
                </c:pt>
                <c:pt idx="71">
                  <c:v>7.3062399999999998</c:v>
                </c:pt>
                <c:pt idx="72">
                  <c:v>7.1861199999999998</c:v>
                </c:pt>
                <c:pt idx="73">
                  <c:v>7.0659999999999998</c:v>
                </c:pt>
                <c:pt idx="74">
                  <c:v>6.9458799999999998</c:v>
                </c:pt>
                <c:pt idx="75">
                  <c:v>6.8257599999999998</c:v>
                </c:pt>
                <c:pt idx="76">
                  <c:v>6.7056399999999998</c:v>
                </c:pt>
                <c:pt idx="77">
                  <c:v>6.5855199999999998</c:v>
                </c:pt>
                <c:pt idx="78">
                  <c:v>7.4262499999999996</c:v>
                </c:pt>
                <c:pt idx="79">
                  <c:v>7.3061299999999996</c:v>
                </c:pt>
                <c:pt idx="80">
                  <c:v>7.1860099999999996</c:v>
                </c:pt>
                <c:pt idx="81">
                  <c:v>7.0658899999999996</c:v>
                </c:pt>
                <c:pt idx="82">
                  <c:v>6.9457700000000004</c:v>
                </c:pt>
                <c:pt idx="83">
                  <c:v>6.8256500000000004</c:v>
                </c:pt>
                <c:pt idx="84">
                  <c:v>6.7055300000000004</c:v>
                </c:pt>
                <c:pt idx="85">
                  <c:v>7.4262499999999996</c:v>
                </c:pt>
                <c:pt idx="86">
                  <c:v>7.3061299999999996</c:v>
                </c:pt>
                <c:pt idx="87">
                  <c:v>7.1860099999999996</c:v>
                </c:pt>
                <c:pt idx="88">
                  <c:v>7.0658899999999996</c:v>
                </c:pt>
                <c:pt idx="89">
                  <c:v>6.9457700000000004</c:v>
                </c:pt>
                <c:pt idx="90">
                  <c:v>6.8256500000000004</c:v>
                </c:pt>
                <c:pt idx="91">
                  <c:v>7.4262499999999996</c:v>
                </c:pt>
                <c:pt idx="92">
                  <c:v>7.3061299999999996</c:v>
                </c:pt>
                <c:pt idx="93">
                  <c:v>7.1860099999999996</c:v>
                </c:pt>
                <c:pt idx="94">
                  <c:v>7.0658899999999996</c:v>
                </c:pt>
                <c:pt idx="95">
                  <c:v>6.9457700000000004</c:v>
                </c:pt>
                <c:pt idx="96">
                  <c:v>6.8256500000000004</c:v>
                </c:pt>
                <c:pt idx="97">
                  <c:v>6.7055300000000004</c:v>
                </c:pt>
                <c:pt idx="98">
                  <c:v>6.5854100000000004</c:v>
                </c:pt>
                <c:pt idx="99">
                  <c:v>6.4652900000000004</c:v>
                </c:pt>
                <c:pt idx="100">
                  <c:v>6.3451700000000004</c:v>
                </c:pt>
                <c:pt idx="101">
                  <c:v>6.2250500000000004</c:v>
                </c:pt>
                <c:pt idx="102">
                  <c:v>7.4262499999999996</c:v>
                </c:pt>
                <c:pt idx="103">
                  <c:v>7.3061299999999996</c:v>
                </c:pt>
                <c:pt idx="104">
                  <c:v>7.1860099999999996</c:v>
                </c:pt>
                <c:pt idx="105">
                  <c:v>7.0658899999999996</c:v>
                </c:pt>
                <c:pt idx="106">
                  <c:v>6.9457700000000004</c:v>
                </c:pt>
                <c:pt idx="107">
                  <c:v>6.8256500000000004</c:v>
                </c:pt>
                <c:pt idx="108">
                  <c:v>6.7055300000000004</c:v>
                </c:pt>
                <c:pt idx="109">
                  <c:v>6.5854100000000004</c:v>
                </c:pt>
                <c:pt idx="110">
                  <c:v>6.4652900000000004</c:v>
                </c:pt>
                <c:pt idx="111">
                  <c:v>6.3451700000000004</c:v>
                </c:pt>
                <c:pt idx="112">
                  <c:v>6.2250500000000004</c:v>
                </c:pt>
                <c:pt idx="113">
                  <c:v>6.1049300000000004</c:v>
                </c:pt>
                <c:pt idx="114">
                  <c:v>5.9848100000000004</c:v>
                </c:pt>
                <c:pt idx="115">
                  <c:v>5.8651099999999996</c:v>
                </c:pt>
                <c:pt idx="116">
                  <c:v>5.7478100000000003</c:v>
                </c:pt>
                <c:pt idx="117">
                  <c:v>6.6328500000000004</c:v>
                </c:pt>
                <c:pt idx="118">
                  <c:v>6.5127300000000004</c:v>
                </c:pt>
                <c:pt idx="119">
                  <c:v>6.3926100000000003</c:v>
                </c:pt>
                <c:pt idx="120">
                  <c:v>6.2724900000000003</c:v>
                </c:pt>
                <c:pt idx="121">
                  <c:v>6.1523700000000003</c:v>
                </c:pt>
                <c:pt idx="122">
                  <c:v>6.0322500000000003</c:v>
                </c:pt>
                <c:pt idx="123">
                  <c:v>5.9121300000000003</c:v>
                </c:pt>
                <c:pt idx="124">
                  <c:v>5.7938900000000002</c:v>
                </c:pt>
                <c:pt idx="125">
                  <c:v>5.6780099999999996</c:v>
                </c:pt>
                <c:pt idx="126">
                  <c:v>6.7204300000000003</c:v>
                </c:pt>
                <c:pt idx="127">
                  <c:v>6.6003100000000003</c:v>
                </c:pt>
                <c:pt idx="128">
                  <c:v>6.4801900000000003</c:v>
                </c:pt>
                <c:pt idx="129">
                  <c:v>6.3600700000000003</c:v>
                </c:pt>
                <c:pt idx="130">
                  <c:v>6.2399500000000003</c:v>
                </c:pt>
                <c:pt idx="131">
                  <c:v>6.1198300000000003</c:v>
                </c:pt>
                <c:pt idx="132">
                  <c:v>5.9997100000000003</c:v>
                </c:pt>
                <c:pt idx="133">
                  <c:v>5.8797100000000002</c:v>
                </c:pt>
                <c:pt idx="134">
                  <c:v>5.7621200000000004</c:v>
                </c:pt>
                <c:pt idx="135">
                  <c:v>5.6468800000000003</c:v>
                </c:pt>
                <c:pt idx="136">
                  <c:v>5.5339400000000003</c:v>
                </c:pt>
                <c:pt idx="137">
                  <c:v>5.42326</c:v>
                </c:pt>
                <c:pt idx="138">
                  <c:v>5.3148</c:v>
                </c:pt>
                <c:pt idx="139">
                  <c:v>5.2084999999999999</c:v>
                </c:pt>
                <c:pt idx="140">
                  <c:v>5.10433</c:v>
                </c:pt>
                <c:pt idx="141">
                  <c:v>5.0022399999999996</c:v>
                </c:pt>
                <c:pt idx="142">
                  <c:v>4.9021999999999997</c:v>
                </c:pt>
                <c:pt idx="143">
                  <c:v>4.8041499999999999</c:v>
                </c:pt>
                <c:pt idx="144">
                  <c:v>4.7080700000000002</c:v>
                </c:pt>
                <c:pt idx="145">
                  <c:v>4.6139099999999997</c:v>
                </c:pt>
                <c:pt idx="146">
                  <c:v>4.52163</c:v>
                </c:pt>
                <c:pt idx="147">
                  <c:v>5.8275699999999997</c:v>
                </c:pt>
                <c:pt idx="148">
                  <c:v>5.7110099999999999</c:v>
                </c:pt>
                <c:pt idx="149">
                  <c:v>6.4466900000000003</c:v>
                </c:pt>
                <c:pt idx="150">
                  <c:v>6.3265700000000002</c:v>
                </c:pt>
                <c:pt idx="151">
                  <c:v>7.0872200000000003</c:v>
                </c:pt>
                <c:pt idx="152">
                  <c:v>6.9671000000000003</c:v>
                </c:pt>
                <c:pt idx="153">
                  <c:v>7.3414900000000003</c:v>
                </c:pt>
                <c:pt idx="154">
                  <c:v>7.2213700000000003</c:v>
                </c:pt>
                <c:pt idx="155">
                  <c:v>7.1012500000000003</c:v>
                </c:pt>
                <c:pt idx="156">
                  <c:v>6.9811300000000003</c:v>
                </c:pt>
                <c:pt idx="157">
                  <c:v>7.4209500000000004</c:v>
                </c:pt>
                <c:pt idx="158">
                  <c:v>7.3008300000000004</c:v>
                </c:pt>
                <c:pt idx="159">
                  <c:v>7.1807100000000004</c:v>
                </c:pt>
                <c:pt idx="160">
                  <c:v>7.0605900000000004</c:v>
                </c:pt>
                <c:pt idx="161">
                  <c:v>6.9404700000000004</c:v>
                </c:pt>
                <c:pt idx="162">
                  <c:v>7.4260799999999998</c:v>
                </c:pt>
                <c:pt idx="163">
                  <c:v>7.3059599999999998</c:v>
                </c:pt>
                <c:pt idx="164">
                  <c:v>7.1858399999999998</c:v>
                </c:pt>
                <c:pt idx="165">
                  <c:v>7.0657199999999998</c:v>
                </c:pt>
                <c:pt idx="166">
                  <c:v>6.9455999999999998</c:v>
                </c:pt>
                <c:pt idx="167">
                  <c:v>6.8254799999999998</c:v>
                </c:pt>
                <c:pt idx="168">
                  <c:v>6.7053599999999998</c:v>
                </c:pt>
                <c:pt idx="169">
                  <c:v>6.5852399999999998</c:v>
                </c:pt>
                <c:pt idx="170">
                  <c:v>6.4651199999999998</c:v>
                </c:pt>
                <c:pt idx="171">
                  <c:v>6.8449999999999998</c:v>
                </c:pt>
                <c:pt idx="172">
                  <c:v>6.7248799999999997</c:v>
                </c:pt>
                <c:pt idx="173">
                  <c:v>6.6047599999999997</c:v>
                </c:pt>
                <c:pt idx="174">
                  <c:v>6.4846399999999997</c:v>
                </c:pt>
                <c:pt idx="175">
                  <c:v>6.3645199999999997</c:v>
                </c:pt>
                <c:pt idx="176">
                  <c:v>6.2443999999999997</c:v>
                </c:pt>
                <c:pt idx="177">
                  <c:v>7.4262499999999996</c:v>
                </c:pt>
                <c:pt idx="178">
                  <c:v>7.3061299999999996</c:v>
                </c:pt>
                <c:pt idx="179">
                  <c:v>7.4262499999999996</c:v>
                </c:pt>
                <c:pt idx="180">
                  <c:v>7.3061299999999996</c:v>
                </c:pt>
                <c:pt idx="181">
                  <c:v>7.4262499999999996</c:v>
                </c:pt>
                <c:pt idx="182">
                  <c:v>7.4262499999999996</c:v>
                </c:pt>
                <c:pt idx="183">
                  <c:v>7.3061299999999996</c:v>
                </c:pt>
                <c:pt idx="184">
                  <c:v>7.1860099999999996</c:v>
                </c:pt>
                <c:pt idx="185">
                  <c:v>7.4262499999999996</c:v>
                </c:pt>
                <c:pt idx="186">
                  <c:v>7.4262499999999996</c:v>
                </c:pt>
                <c:pt idx="187">
                  <c:v>7.3061299999999996</c:v>
                </c:pt>
                <c:pt idx="188">
                  <c:v>7.1860099999999996</c:v>
                </c:pt>
                <c:pt idx="189">
                  <c:v>7.0658899999999996</c:v>
                </c:pt>
                <c:pt idx="190">
                  <c:v>7.4262499999999996</c:v>
                </c:pt>
                <c:pt idx="191">
                  <c:v>7.3061299999999996</c:v>
                </c:pt>
                <c:pt idx="192">
                  <c:v>7.1860099999999996</c:v>
                </c:pt>
                <c:pt idx="193">
                  <c:v>7.0658899999999996</c:v>
                </c:pt>
                <c:pt idx="194">
                  <c:v>7.4262499999999996</c:v>
                </c:pt>
                <c:pt idx="195">
                  <c:v>7.3061299999999996</c:v>
                </c:pt>
                <c:pt idx="196">
                  <c:v>7.1860099999999996</c:v>
                </c:pt>
                <c:pt idx="197">
                  <c:v>7.0658899999999996</c:v>
                </c:pt>
                <c:pt idx="198">
                  <c:v>6.9457700000000004</c:v>
                </c:pt>
                <c:pt idx="199">
                  <c:v>7.4262499999999996</c:v>
                </c:pt>
                <c:pt idx="200">
                  <c:v>7.3061299999999996</c:v>
                </c:pt>
                <c:pt idx="201">
                  <c:v>7.1860099999999996</c:v>
                </c:pt>
                <c:pt idx="202">
                  <c:v>7.0658899999999996</c:v>
                </c:pt>
                <c:pt idx="203">
                  <c:v>6.9457700000000004</c:v>
                </c:pt>
                <c:pt idx="204">
                  <c:v>6.8256500000000004</c:v>
                </c:pt>
                <c:pt idx="205">
                  <c:v>6.7055300000000004</c:v>
                </c:pt>
                <c:pt idx="206">
                  <c:v>6.5854100000000004</c:v>
                </c:pt>
                <c:pt idx="207">
                  <c:v>6.4652900000000004</c:v>
                </c:pt>
                <c:pt idx="208">
                  <c:v>6.3451700000000004</c:v>
                </c:pt>
                <c:pt idx="209">
                  <c:v>6.2250500000000004</c:v>
                </c:pt>
                <c:pt idx="210">
                  <c:v>6.1049300000000004</c:v>
                </c:pt>
                <c:pt idx="211">
                  <c:v>5.9848100000000004</c:v>
                </c:pt>
                <c:pt idx="212">
                  <c:v>5.8651099999999996</c:v>
                </c:pt>
                <c:pt idx="213">
                  <c:v>6.7478100000000003</c:v>
                </c:pt>
                <c:pt idx="214">
                  <c:v>6.6276900000000003</c:v>
                </c:pt>
                <c:pt idx="215">
                  <c:v>6.5075700000000003</c:v>
                </c:pt>
                <c:pt idx="216">
                  <c:v>6.8874500000000003</c:v>
                </c:pt>
                <c:pt idx="217">
                  <c:v>7.2864599999999999</c:v>
                </c:pt>
                <c:pt idx="218">
                  <c:v>7.1663399999999999</c:v>
                </c:pt>
                <c:pt idx="219">
                  <c:v>7.4232800000000001</c:v>
                </c:pt>
                <c:pt idx="220">
                  <c:v>7.3031600000000001</c:v>
                </c:pt>
                <c:pt idx="221">
                  <c:v>7.1830400000000001</c:v>
                </c:pt>
                <c:pt idx="222">
                  <c:v>7.0629200000000001</c:v>
                </c:pt>
                <c:pt idx="223">
                  <c:v>6.9428000000000001</c:v>
                </c:pt>
                <c:pt idx="224">
                  <c:v>7.4261600000000003</c:v>
                </c:pt>
                <c:pt idx="225">
                  <c:v>7.3060400000000003</c:v>
                </c:pt>
                <c:pt idx="226">
                  <c:v>7.1859200000000003</c:v>
                </c:pt>
                <c:pt idx="227">
                  <c:v>7.42624</c:v>
                </c:pt>
                <c:pt idx="228">
                  <c:v>7.42624</c:v>
                </c:pt>
                <c:pt idx="229">
                  <c:v>7.3061199999999999</c:v>
                </c:pt>
                <c:pt idx="230">
                  <c:v>7.1859999999999999</c:v>
                </c:pt>
                <c:pt idx="231">
                  <c:v>7.0658799999999999</c:v>
                </c:pt>
                <c:pt idx="232">
                  <c:v>6.9457599999999999</c:v>
                </c:pt>
                <c:pt idx="233">
                  <c:v>7.4262499999999996</c:v>
                </c:pt>
                <c:pt idx="234">
                  <c:v>7.3061299999999996</c:v>
                </c:pt>
                <c:pt idx="235">
                  <c:v>7.1860099999999996</c:v>
                </c:pt>
                <c:pt idx="236">
                  <c:v>7.4262499999999996</c:v>
                </c:pt>
                <c:pt idx="237">
                  <c:v>7.3061299999999996</c:v>
                </c:pt>
                <c:pt idx="238">
                  <c:v>7.1860099999999996</c:v>
                </c:pt>
                <c:pt idx="239">
                  <c:v>7.0658899999999996</c:v>
                </c:pt>
                <c:pt idx="240">
                  <c:v>6.9457700000000004</c:v>
                </c:pt>
                <c:pt idx="241">
                  <c:v>7.4262499999999996</c:v>
                </c:pt>
                <c:pt idx="242">
                  <c:v>7.4262499999999996</c:v>
                </c:pt>
                <c:pt idx="243">
                  <c:v>7.3061299999999996</c:v>
                </c:pt>
                <c:pt idx="244">
                  <c:v>7.1860099999999996</c:v>
                </c:pt>
                <c:pt idx="245">
                  <c:v>7.0658899999999996</c:v>
                </c:pt>
                <c:pt idx="246">
                  <c:v>6.9457700000000004</c:v>
                </c:pt>
                <c:pt idx="247">
                  <c:v>6.8256500000000004</c:v>
                </c:pt>
                <c:pt idx="248">
                  <c:v>6.7055300000000004</c:v>
                </c:pt>
                <c:pt idx="249">
                  <c:v>6.5854100000000004</c:v>
                </c:pt>
                <c:pt idx="250">
                  <c:v>6.4652900000000004</c:v>
                </c:pt>
                <c:pt idx="251">
                  <c:v>7.3451700000000004</c:v>
                </c:pt>
                <c:pt idx="252">
                  <c:v>7.4262499999999996</c:v>
                </c:pt>
                <c:pt idx="253">
                  <c:v>7.3061299999999996</c:v>
                </c:pt>
                <c:pt idx="254">
                  <c:v>7.1860099999999996</c:v>
                </c:pt>
                <c:pt idx="255">
                  <c:v>7.4262499999999996</c:v>
                </c:pt>
                <c:pt idx="256">
                  <c:v>7.3061299999999996</c:v>
                </c:pt>
                <c:pt idx="257">
                  <c:v>7.1860099999999996</c:v>
                </c:pt>
                <c:pt idx="258">
                  <c:v>7.0658899999999996</c:v>
                </c:pt>
                <c:pt idx="259">
                  <c:v>6.9457700000000004</c:v>
                </c:pt>
                <c:pt idx="260">
                  <c:v>6.8256500000000004</c:v>
                </c:pt>
                <c:pt idx="261">
                  <c:v>6.7055300000000004</c:v>
                </c:pt>
                <c:pt idx="262">
                  <c:v>6.5854100000000004</c:v>
                </c:pt>
                <c:pt idx="263">
                  <c:v>7.4262499999999996</c:v>
                </c:pt>
                <c:pt idx="264">
                  <c:v>7.3061299999999996</c:v>
                </c:pt>
                <c:pt idx="265">
                  <c:v>7.1860099999999996</c:v>
                </c:pt>
                <c:pt idx="266">
                  <c:v>7.0658899999999996</c:v>
                </c:pt>
                <c:pt idx="267">
                  <c:v>6.9457700000000004</c:v>
                </c:pt>
                <c:pt idx="268">
                  <c:v>6.8256500000000004</c:v>
                </c:pt>
                <c:pt idx="269">
                  <c:v>6.7055300000000004</c:v>
                </c:pt>
                <c:pt idx="270">
                  <c:v>6.5854100000000004</c:v>
                </c:pt>
                <c:pt idx="271">
                  <c:v>7.4262499999999996</c:v>
                </c:pt>
                <c:pt idx="272">
                  <c:v>7.3061299999999996</c:v>
                </c:pt>
                <c:pt idx="273">
                  <c:v>7.4262499999999996</c:v>
                </c:pt>
                <c:pt idx="274">
                  <c:v>7.3061299999999996</c:v>
                </c:pt>
                <c:pt idx="275">
                  <c:v>7.1860099999999996</c:v>
                </c:pt>
                <c:pt idx="276">
                  <c:v>7.4262499999999996</c:v>
                </c:pt>
                <c:pt idx="277">
                  <c:v>7.3061299999999996</c:v>
                </c:pt>
                <c:pt idx="278">
                  <c:v>7.1860099999999996</c:v>
                </c:pt>
                <c:pt idx="279">
                  <c:v>7.0658899999999996</c:v>
                </c:pt>
                <c:pt idx="280">
                  <c:v>6.9457700000000004</c:v>
                </c:pt>
                <c:pt idx="281">
                  <c:v>6.8256500000000004</c:v>
                </c:pt>
                <c:pt idx="282">
                  <c:v>6.7055300000000004</c:v>
                </c:pt>
                <c:pt idx="283">
                  <c:v>7.4262499999999996</c:v>
                </c:pt>
                <c:pt idx="284">
                  <c:v>7.4262499999999996</c:v>
                </c:pt>
                <c:pt idx="285">
                  <c:v>7.3061299999999996</c:v>
                </c:pt>
                <c:pt idx="286">
                  <c:v>7.1860099999999996</c:v>
                </c:pt>
                <c:pt idx="287">
                  <c:v>7.0658899999999996</c:v>
                </c:pt>
                <c:pt idx="288">
                  <c:v>6.9457700000000004</c:v>
                </c:pt>
                <c:pt idx="289">
                  <c:v>6.8256500000000004</c:v>
                </c:pt>
                <c:pt idx="290">
                  <c:v>6.7055300000000004</c:v>
                </c:pt>
                <c:pt idx="291">
                  <c:v>6.5854100000000004</c:v>
                </c:pt>
                <c:pt idx="292">
                  <c:v>7.2198500000000001</c:v>
                </c:pt>
                <c:pt idx="293">
                  <c:v>7.4262499999999996</c:v>
                </c:pt>
                <c:pt idx="294">
                  <c:v>7.3061299999999996</c:v>
                </c:pt>
                <c:pt idx="295">
                  <c:v>7.1860099999999996</c:v>
                </c:pt>
                <c:pt idx="296">
                  <c:v>7.0658899999999996</c:v>
                </c:pt>
                <c:pt idx="297">
                  <c:v>6.9457700000000004</c:v>
                </c:pt>
                <c:pt idx="298">
                  <c:v>6.8256500000000004</c:v>
                </c:pt>
                <c:pt idx="299">
                  <c:v>6.7055300000000004</c:v>
                </c:pt>
                <c:pt idx="300">
                  <c:v>6.5854100000000004</c:v>
                </c:pt>
                <c:pt idx="301">
                  <c:v>7.1575800000000003</c:v>
                </c:pt>
                <c:pt idx="302">
                  <c:v>7.4262499999999996</c:v>
                </c:pt>
                <c:pt idx="303">
                  <c:v>7.3061299999999996</c:v>
                </c:pt>
                <c:pt idx="304">
                  <c:v>7.1860099999999996</c:v>
                </c:pt>
                <c:pt idx="305">
                  <c:v>7.0658899999999996</c:v>
                </c:pt>
                <c:pt idx="306">
                  <c:v>6.9457700000000004</c:v>
                </c:pt>
                <c:pt idx="307">
                  <c:v>6.8256500000000004</c:v>
                </c:pt>
                <c:pt idx="308">
                  <c:v>6.7055300000000004</c:v>
                </c:pt>
                <c:pt idx="309">
                  <c:v>6.5854100000000004</c:v>
                </c:pt>
                <c:pt idx="310">
                  <c:v>6.4652900000000004</c:v>
                </c:pt>
                <c:pt idx="311">
                  <c:v>6.3451700000000004</c:v>
                </c:pt>
                <c:pt idx="312">
                  <c:v>6.2250500000000004</c:v>
                </c:pt>
                <c:pt idx="313">
                  <c:v>7.4262499999999996</c:v>
                </c:pt>
                <c:pt idx="314">
                  <c:v>7.3061299999999996</c:v>
                </c:pt>
                <c:pt idx="315">
                  <c:v>7.1860099999999996</c:v>
                </c:pt>
                <c:pt idx="316">
                  <c:v>7.0658899999999996</c:v>
                </c:pt>
                <c:pt idx="317">
                  <c:v>6.9457700000000004</c:v>
                </c:pt>
                <c:pt idx="318">
                  <c:v>6.8256500000000004</c:v>
                </c:pt>
                <c:pt idx="319">
                  <c:v>6.8934100000000003</c:v>
                </c:pt>
                <c:pt idx="320">
                  <c:v>6.7732900000000003</c:v>
                </c:pt>
                <c:pt idx="321">
                  <c:v>7.1531700000000003</c:v>
                </c:pt>
                <c:pt idx="322">
                  <c:v>7.0330500000000002</c:v>
                </c:pt>
                <c:pt idx="323">
                  <c:v>7.4262499999999996</c:v>
                </c:pt>
                <c:pt idx="324">
                  <c:v>7.3061299999999996</c:v>
                </c:pt>
                <c:pt idx="325">
                  <c:v>7.1860099999999996</c:v>
                </c:pt>
                <c:pt idx="326">
                  <c:v>7.0658899999999996</c:v>
                </c:pt>
                <c:pt idx="327">
                  <c:v>6.9457700000000004</c:v>
                </c:pt>
                <c:pt idx="328">
                  <c:v>6.8256500000000004</c:v>
                </c:pt>
                <c:pt idx="329">
                  <c:v>6.7055300000000004</c:v>
                </c:pt>
                <c:pt idx="330">
                  <c:v>6.5854100000000004</c:v>
                </c:pt>
                <c:pt idx="331">
                  <c:v>6.4652900000000004</c:v>
                </c:pt>
                <c:pt idx="332">
                  <c:v>6.3451700000000004</c:v>
                </c:pt>
                <c:pt idx="333">
                  <c:v>6.2250500000000004</c:v>
                </c:pt>
                <c:pt idx="334">
                  <c:v>6.1049300000000004</c:v>
                </c:pt>
                <c:pt idx="335">
                  <c:v>5.9848100000000004</c:v>
                </c:pt>
                <c:pt idx="336">
                  <c:v>7.3444500000000001</c:v>
                </c:pt>
                <c:pt idx="337">
                  <c:v>7.2243300000000001</c:v>
                </c:pt>
                <c:pt idx="338">
                  <c:v>7.4195900000000004</c:v>
                </c:pt>
                <c:pt idx="339">
                  <c:v>7.4229200000000004</c:v>
                </c:pt>
                <c:pt idx="340">
                  <c:v>7.3028000000000004</c:v>
                </c:pt>
                <c:pt idx="341">
                  <c:v>7.4254199999999999</c:v>
                </c:pt>
                <c:pt idx="342">
                  <c:v>7.4258300000000004</c:v>
                </c:pt>
                <c:pt idx="343">
                  <c:v>7.3057100000000004</c:v>
                </c:pt>
                <c:pt idx="344">
                  <c:v>7.1855900000000004</c:v>
                </c:pt>
                <c:pt idx="345">
                  <c:v>7.4261999999999997</c:v>
                </c:pt>
                <c:pt idx="346">
                  <c:v>7.3060799999999997</c:v>
                </c:pt>
                <c:pt idx="347">
                  <c:v>7.1859599999999997</c:v>
                </c:pt>
                <c:pt idx="348">
                  <c:v>7.0658399999999997</c:v>
                </c:pt>
                <c:pt idx="349">
                  <c:v>6.9457199999999997</c:v>
                </c:pt>
                <c:pt idx="350">
                  <c:v>6.8255999999999997</c:v>
                </c:pt>
                <c:pt idx="351">
                  <c:v>6.7054799999999997</c:v>
                </c:pt>
                <c:pt idx="352">
                  <c:v>7.4262499999999996</c:v>
                </c:pt>
                <c:pt idx="353">
                  <c:v>7.4262499999999996</c:v>
                </c:pt>
                <c:pt idx="354">
                  <c:v>7.3061299999999996</c:v>
                </c:pt>
                <c:pt idx="355">
                  <c:v>7.1860099999999996</c:v>
                </c:pt>
                <c:pt idx="356">
                  <c:v>7.4262499999999996</c:v>
                </c:pt>
                <c:pt idx="357">
                  <c:v>7.4262499999999996</c:v>
                </c:pt>
                <c:pt idx="358">
                  <c:v>7.3061299999999996</c:v>
                </c:pt>
                <c:pt idx="359">
                  <c:v>7.4262499999999996</c:v>
                </c:pt>
                <c:pt idx="360">
                  <c:v>7.4262499999999996</c:v>
                </c:pt>
                <c:pt idx="361">
                  <c:v>7.3061299999999996</c:v>
                </c:pt>
                <c:pt idx="362">
                  <c:v>7.4262499999999996</c:v>
                </c:pt>
                <c:pt idx="363">
                  <c:v>7.3061299999999996</c:v>
                </c:pt>
                <c:pt idx="364">
                  <c:v>7.1860099999999996</c:v>
                </c:pt>
                <c:pt idx="365">
                  <c:v>7.4262499999999996</c:v>
                </c:pt>
                <c:pt idx="366">
                  <c:v>7.3061299999999996</c:v>
                </c:pt>
                <c:pt idx="367">
                  <c:v>7.1860099999999996</c:v>
                </c:pt>
                <c:pt idx="368">
                  <c:v>7.4262499999999996</c:v>
                </c:pt>
                <c:pt idx="369">
                  <c:v>7.3061299999999996</c:v>
                </c:pt>
                <c:pt idx="370">
                  <c:v>7.1860099999999996</c:v>
                </c:pt>
                <c:pt idx="371">
                  <c:v>7.0658899999999996</c:v>
                </c:pt>
                <c:pt idx="372">
                  <c:v>6.9457700000000004</c:v>
                </c:pt>
                <c:pt idx="373">
                  <c:v>6.8256500000000004</c:v>
                </c:pt>
                <c:pt idx="374">
                  <c:v>6.7055300000000004</c:v>
                </c:pt>
                <c:pt idx="375">
                  <c:v>6.5854100000000004</c:v>
                </c:pt>
                <c:pt idx="376">
                  <c:v>6.4652900000000004</c:v>
                </c:pt>
                <c:pt idx="377">
                  <c:v>6.8451700000000004</c:v>
                </c:pt>
                <c:pt idx="378">
                  <c:v>6.7250500000000004</c:v>
                </c:pt>
                <c:pt idx="379">
                  <c:v>6.6049300000000004</c:v>
                </c:pt>
                <c:pt idx="380">
                  <c:v>7.2094800000000001</c:v>
                </c:pt>
                <c:pt idx="381">
                  <c:v>7.0893600000000001</c:v>
                </c:pt>
                <c:pt idx="382">
                  <c:v>6.9692400000000001</c:v>
                </c:pt>
                <c:pt idx="383">
                  <c:v>6.8491200000000001</c:v>
                </c:pt>
                <c:pt idx="384">
                  <c:v>6.7290000000000001</c:v>
                </c:pt>
                <c:pt idx="385">
                  <c:v>6.6088800000000001</c:v>
                </c:pt>
                <c:pt idx="386">
                  <c:v>6.4887600000000001</c:v>
                </c:pt>
                <c:pt idx="387">
                  <c:v>6.3686400000000001</c:v>
                </c:pt>
                <c:pt idx="388">
                  <c:v>7.2485200000000001</c:v>
                </c:pt>
                <c:pt idx="389">
                  <c:v>7.1284000000000001</c:v>
                </c:pt>
                <c:pt idx="390">
                  <c:v>7.0082800000000001</c:v>
                </c:pt>
                <c:pt idx="391">
                  <c:v>7.4262499999999996</c:v>
                </c:pt>
                <c:pt idx="392">
                  <c:v>7.3061299999999996</c:v>
                </c:pt>
                <c:pt idx="393">
                  <c:v>7.1860099999999996</c:v>
                </c:pt>
                <c:pt idx="394">
                  <c:v>7.0658899999999996</c:v>
                </c:pt>
                <c:pt idx="395">
                  <c:v>6.9457700000000004</c:v>
                </c:pt>
                <c:pt idx="396">
                  <c:v>6.8256500000000004</c:v>
                </c:pt>
                <c:pt idx="397">
                  <c:v>7.2055300000000004</c:v>
                </c:pt>
                <c:pt idx="398">
                  <c:v>7.0854100000000004</c:v>
                </c:pt>
                <c:pt idx="399">
                  <c:v>7.4262499999999996</c:v>
                </c:pt>
                <c:pt idx="400">
                  <c:v>7.3061299999999996</c:v>
                </c:pt>
                <c:pt idx="401">
                  <c:v>7.1860099999999996</c:v>
                </c:pt>
                <c:pt idx="402">
                  <c:v>7.0658899999999996</c:v>
                </c:pt>
                <c:pt idx="403">
                  <c:v>6.9457700000000004</c:v>
                </c:pt>
                <c:pt idx="404">
                  <c:v>7.3256500000000004</c:v>
                </c:pt>
                <c:pt idx="405">
                  <c:v>7.4262499999999996</c:v>
                </c:pt>
                <c:pt idx="406">
                  <c:v>7.3061299999999996</c:v>
                </c:pt>
                <c:pt idx="407">
                  <c:v>7.4262499999999996</c:v>
                </c:pt>
                <c:pt idx="408">
                  <c:v>7.3061299999999996</c:v>
                </c:pt>
                <c:pt idx="409">
                  <c:v>7.1860099999999996</c:v>
                </c:pt>
                <c:pt idx="410">
                  <c:v>7.0658899999999996</c:v>
                </c:pt>
                <c:pt idx="411">
                  <c:v>6.9457700000000004</c:v>
                </c:pt>
                <c:pt idx="412">
                  <c:v>6.8256500000000004</c:v>
                </c:pt>
                <c:pt idx="413">
                  <c:v>6.7055300000000004</c:v>
                </c:pt>
                <c:pt idx="414">
                  <c:v>6.5854100000000004</c:v>
                </c:pt>
                <c:pt idx="415">
                  <c:v>6.4652900000000004</c:v>
                </c:pt>
                <c:pt idx="416">
                  <c:v>6.3451700000000004</c:v>
                </c:pt>
                <c:pt idx="417">
                  <c:v>6.2250500000000004</c:v>
                </c:pt>
                <c:pt idx="418">
                  <c:v>6.1049300000000004</c:v>
                </c:pt>
                <c:pt idx="419">
                  <c:v>5.9848100000000004</c:v>
                </c:pt>
                <c:pt idx="420">
                  <c:v>5.8651099999999996</c:v>
                </c:pt>
                <c:pt idx="421">
                  <c:v>7.2478100000000003</c:v>
                </c:pt>
                <c:pt idx="422">
                  <c:v>7.1276900000000003</c:v>
                </c:pt>
                <c:pt idx="423">
                  <c:v>7.0075700000000003</c:v>
                </c:pt>
                <c:pt idx="424">
                  <c:v>6.8874500000000003</c:v>
                </c:pt>
                <c:pt idx="425">
                  <c:v>6.7673300000000003</c:v>
                </c:pt>
                <c:pt idx="426">
                  <c:v>6.6472100000000003</c:v>
                </c:pt>
                <c:pt idx="427">
                  <c:v>6.5270900000000003</c:v>
                </c:pt>
                <c:pt idx="428">
                  <c:v>6.4069700000000003</c:v>
                </c:pt>
                <c:pt idx="429">
                  <c:v>6.2868500000000003</c:v>
                </c:pt>
                <c:pt idx="430">
                  <c:v>6.1667300000000003</c:v>
                </c:pt>
                <c:pt idx="431">
                  <c:v>6.0466100000000003</c:v>
                </c:pt>
                <c:pt idx="432">
                  <c:v>5.9264900000000003</c:v>
                </c:pt>
                <c:pt idx="433">
                  <c:v>5.8079599999999996</c:v>
                </c:pt>
                <c:pt idx="434">
                  <c:v>6.1917999999999997</c:v>
                </c:pt>
                <c:pt idx="435">
                  <c:v>6.0716799999999997</c:v>
                </c:pt>
                <c:pt idx="436">
                  <c:v>6.4515599999999997</c:v>
                </c:pt>
                <c:pt idx="437">
                  <c:v>6.3314399999999997</c:v>
                </c:pt>
                <c:pt idx="438">
                  <c:v>6.2113199999999997</c:v>
                </c:pt>
                <c:pt idx="439">
                  <c:v>6.0911999999999997</c:v>
                </c:pt>
                <c:pt idx="440">
                  <c:v>5.9710799999999997</c:v>
                </c:pt>
                <c:pt idx="441">
                  <c:v>5.8516599999999999</c:v>
                </c:pt>
                <c:pt idx="442">
                  <c:v>5.7346199999999996</c:v>
                </c:pt>
                <c:pt idx="443">
                  <c:v>5.6199300000000001</c:v>
                </c:pt>
                <c:pt idx="444">
                  <c:v>5.50753</c:v>
                </c:pt>
                <c:pt idx="445">
                  <c:v>5.3973800000000001</c:v>
                </c:pt>
                <c:pt idx="446">
                  <c:v>6.2894300000000003</c:v>
                </c:pt>
                <c:pt idx="447">
                  <c:v>6.7985800000000003</c:v>
                </c:pt>
                <c:pt idx="448">
                  <c:v>6.6784600000000003</c:v>
                </c:pt>
                <c:pt idx="449">
                  <c:v>6.5583400000000003</c:v>
                </c:pt>
                <c:pt idx="450">
                  <c:v>7.3477899999999998</c:v>
                </c:pt>
                <c:pt idx="451">
                  <c:v>7.3870199999999997</c:v>
                </c:pt>
                <c:pt idx="452">
                  <c:v>7.2668999999999997</c:v>
                </c:pt>
                <c:pt idx="453">
                  <c:v>7.1467799999999997</c:v>
                </c:pt>
                <c:pt idx="454">
                  <c:v>7.4213500000000003</c:v>
                </c:pt>
                <c:pt idx="455">
                  <c:v>7.3012300000000003</c:v>
                </c:pt>
                <c:pt idx="456">
                  <c:v>7.1811100000000003</c:v>
                </c:pt>
                <c:pt idx="457">
                  <c:v>7.0609900000000003</c:v>
                </c:pt>
                <c:pt idx="458">
                  <c:v>6.9408700000000003</c:v>
                </c:pt>
                <c:pt idx="459">
                  <c:v>7.4260999999999999</c:v>
                </c:pt>
                <c:pt idx="460">
                  <c:v>7.3059799999999999</c:v>
                </c:pt>
                <c:pt idx="461">
                  <c:v>7.1858599999999999</c:v>
                </c:pt>
                <c:pt idx="462">
                  <c:v>7.0657399999999999</c:v>
                </c:pt>
                <c:pt idx="463">
                  <c:v>6.9456199999999999</c:v>
                </c:pt>
                <c:pt idx="464">
                  <c:v>7.3254999999999999</c:v>
                </c:pt>
                <c:pt idx="465">
                  <c:v>7.2053799999999999</c:v>
                </c:pt>
                <c:pt idx="466">
                  <c:v>7.0852599999999999</c:v>
                </c:pt>
                <c:pt idx="467">
                  <c:v>6.9651399999999999</c:v>
                </c:pt>
                <c:pt idx="468">
                  <c:v>6.8450199999999999</c:v>
                </c:pt>
                <c:pt idx="469">
                  <c:v>6.7248999999999999</c:v>
                </c:pt>
                <c:pt idx="470">
                  <c:v>7.2929199999999996</c:v>
                </c:pt>
                <c:pt idx="471">
                  <c:v>7.1727999999999996</c:v>
                </c:pt>
                <c:pt idx="472">
                  <c:v>7.4262499999999996</c:v>
                </c:pt>
                <c:pt idx="473">
                  <c:v>7.3061299999999996</c:v>
                </c:pt>
                <c:pt idx="474">
                  <c:v>7.1860099999999996</c:v>
                </c:pt>
                <c:pt idx="475">
                  <c:v>7.0658899999999996</c:v>
                </c:pt>
                <c:pt idx="476">
                  <c:v>6.9457700000000004</c:v>
                </c:pt>
                <c:pt idx="477">
                  <c:v>6.8256500000000004</c:v>
                </c:pt>
                <c:pt idx="478">
                  <c:v>6.7055300000000004</c:v>
                </c:pt>
                <c:pt idx="479">
                  <c:v>6.5854100000000004</c:v>
                </c:pt>
                <c:pt idx="480">
                  <c:v>6.4652900000000004</c:v>
                </c:pt>
                <c:pt idx="481">
                  <c:v>6.3451700000000004</c:v>
                </c:pt>
                <c:pt idx="482">
                  <c:v>7.0281399999999996</c:v>
                </c:pt>
                <c:pt idx="483">
                  <c:v>6.9080199999999996</c:v>
                </c:pt>
                <c:pt idx="484">
                  <c:v>7.4262499999999996</c:v>
                </c:pt>
                <c:pt idx="485">
                  <c:v>7.3061299999999996</c:v>
                </c:pt>
                <c:pt idx="486">
                  <c:v>7.1860099999999996</c:v>
                </c:pt>
                <c:pt idx="487">
                  <c:v>7.0658899999999996</c:v>
                </c:pt>
                <c:pt idx="488">
                  <c:v>6.9457700000000004</c:v>
                </c:pt>
                <c:pt idx="489">
                  <c:v>6.8256500000000004</c:v>
                </c:pt>
                <c:pt idx="490">
                  <c:v>7.4262499999999996</c:v>
                </c:pt>
                <c:pt idx="491">
                  <c:v>7.3061299999999996</c:v>
                </c:pt>
                <c:pt idx="492">
                  <c:v>7.4262499999999996</c:v>
                </c:pt>
                <c:pt idx="493">
                  <c:v>7.3061299999999996</c:v>
                </c:pt>
                <c:pt idx="494">
                  <c:v>7.1860099999999996</c:v>
                </c:pt>
                <c:pt idx="495">
                  <c:v>7.0658899999999996</c:v>
                </c:pt>
                <c:pt idx="496">
                  <c:v>6.9457700000000004</c:v>
                </c:pt>
                <c:pt idx="497">
                  <c:v>6.8256500000000004</c:v>
                </c:pt>
                <c:pt idx="498">
                  <c:v>6.7055300000000004</c:v>
                </c:pt>
                <c:pt idx="499">
                  <c:v>6.5854100000000004</c:v>
                </c:pt>
                <c:pt idx="500">
                  <c:v>7.4262499999999996</c:v>
                </c:pt>
                <c:pt idx="501">
                  <c:v>7.3061299999999996</c:v>
                </c:pt>
                <c:pt idx="502">
                  <c:v>7.1860099999999996</c:v>
                </c:pt>
                <c:pt idx="503">
                  <c:v>7.0658899999999996</c:v>
                </c:pt>
                <c:pt idx="504">
                  <c:v>6.9457700000000004</c:v>
                </c:pt>
                <c:pt idx="505">
                  <c:v>7.3256500000000004</c:v>
                </c:pt>
                <c:pt idx="506">
                  <c:v>7.2055300000000004</c:v>
                </c:pt>
                <c:pt idx="507">
                  <c:v>7.0854100000000004</c:v>
                </c:pt>
                <c:pt idx="508">
                  <c:v>6.9652900000000004</c:v>
                </c:pt>
                <c:pt idx="509">
                  <c:v>6.8451700000000004</c:v>
                </c:pt>
                <c:pt idx="510">
                  <c:v>6.7250500000000004</c:v>
                </c:pt>
                <c:pt idx="511">
                  <c:v>6.6049300000000004</c:v>
                </c:pt>
                <c:pt idx="512">
                  <c:v>7.4262499999999996</c:v>
                </c:pt>
                <c:pt idx="513">
                  <c:v>7.3061299999999996</c:v>
                </c:pt>
                <c:pt idx="514">
                  <c:v>7.1860099999999996</c:v>
                </c:pt>
                <c:pt idx="515">
                  <c:v>7.0658899999999996</c:v>
                </c:pt>
                <c:pt idx="516">
                  <c:v>7.4262499999999996</c:v>
                </c:pt>
                <c:pt idx="517">
                  <c:v>7.4262499999999996</c:v>
                </c:pt>
                <c:pt idx="518">
                  <c:v>7.3061299999999996</c:v>
                </c:pt>
                <c:pt idx="519">
                  <c:v>7.1860099999999996</c:v>
                </c:pt>
                <c:pt idx="520">
                  <c:v>7.4262499999999996</c:v>
                </c:pt>
                <c:pt idx="521">
                  <c:v>7.3061299999999996</c:v>
                </c:pt>
                <c:pt idx="522">
                  <c:v>7.1860099999999996</c:v>
                </c:pt>
                <c:pt idx="523">
                  <c:v>7.4262499999999996</c:v>
                </c:pt>
                <c:pt idx="524">
                  <c:v>7.3061299999999996</c:v>
                </c:pt>
                <c:pt idx="525">
                  <c:v>7.4262499999999996</c:v>
                </c:pt>
                <c:pt idx="526">
                  <c:v>7.3061299999999996</c:v>
                </c:pt>
                <c:pt idx="527">
                  <c:v>7.4262499999999996</c:v>
                </c:pt>
                <c:pt idx="528">
                  <c:v>7.3061299999999996</c:v>
                </c:pt>
                <c:pt idx="529">
                  <c:v>7.1860099999999996</c:v>
                </c:pt>
                <c:pt idx="530">
                  <c:v>7.0658899999999996</c:v>
                </c:pt>
                <c:pt idx="531">
                  <c:v>7.4262499999999996</c:v>
                </c:pt>
                <c:pt idx="532">
                  <c:v>7.3061299999999996</c:v>
                </c:pt>
                <c:pt idx="533">
                  <c:v>7.4262499999999996</c:v>
                </c:pt>
                <c:pt idx="534">
                  <c:v>7.3061299999999996</c:v>
                </c:pt>
                <c:pt idx="535">
                  <c:v>7.1860099999999996</c:v>
                </c:pt>
                <c:pt idx="536">
                  <c:v>7.0658899999999996</c:v>
                </c:pt>
                <c:pt idx="537">
                  <c:v>6.9457700000000004</c:v>
                </c:pt>
                <c:pt idx="538">
                  <c:v>7.4262499999999996</c:v>
                </c:pt>
                <c:pt idx="539">
                  <c:v>7.3061299999999996</c:v>
                </c:pt>
                <c:pt idx="540">
                  <c:v>7.1860099999999996</c:v>
                </c:pt>
                <c:pt idx="541">
                  <c:v>7.4262499999999996</c:v>
                </c:pt>
                <c:pt idx="542">
                  <c:v>7.3061299999999996</c:v>
                </c:pt>
                <c:pt idx="543">
                  <c:v>7.1860099999999996</c:v>
                </c:pt>
                <c:pt idx="544">
                  <c:v>7.0658899999999996</c:v>
                </c:pt>
                <c:pt idx="545">
                  <c:v>6.9457700000000004</c:v>
                </c:pt>
                <c:pt idx="546">
                  <c:v>6.8256500000000004</c:v>
                </c:pt>
                <c:pt idx="547">
                  <c:v>6.7055300000000004</c:v>
                </c:pt>
                <c:pt idx="548">
                  <c:v>6.5854100000000004</c:v>
                </c:pt>
                <c:pt idx="549">
                  <c:v>6.4652900000000004</c:v>
                </c:pt>
                <c:pt idx="550">
                  <c:v>6.3451700000000004</c:v>
                </c:pt>
                <c:pt idx="551">
                  <c:v>6.2250500000000004</c:v>
                </c:pt>
                <c:pt idx="552">
                  <c:v>6.1049300000000004</c:v>
                </c:pt>
                <c:pt idx="553">
                  <c:v>5.9848100000000004</c:v>
                </c:pt>
                <c:pt idx="554">
                  <c:v>5.8651099999999996</c:v>
                </c:pt>
                <c:pt idx="555">
                  <c:v>5.7478100000000003</c:v>
                </c:pt>
                <c:pt idx="556">
                  <c:v>5.6328500000000004</c:v>
                </c:pt>
                <c:pt idx="557">
                  <c:v>5.5202</c:v>
                </c:pt>
                <c:pt idx="558">
                  <c:v>6.3997900000000003</c:v>
                </c:pt>
                <c:pt idx="559">
                  <c:v>6.2796700000000003</c:v>
                </c:pt>
                <c:pt idx="560">
                  <c:v>6.1595500000000003</c:v>
                </c:pt>
                <c:pt idx="561">
                  <c:v>6.0394300000000003</c:v>
                </c:pt>
                <c:pt idx="562">
                  <c:v>5.9193100000000003</c:v>
                </c:pt>
                <c:pt idx="563">
                  <c:v>6.8882199999999996</c:v>
                </c:pt>
                <c:pt idx="564">
                  <c:v>7.2680999999999996</c:v>
                </c:pt>
                <c:pt idx="565">
                  <c:v>7.3916000000000004</c:v>
                </c:pt>
                <c:pt idx="566">
                  <c:v>7.4089200000000002</c:v>
                </c:pt>
                <c:pt idx="567">
                  <c:v>7.2888000000000002</c:v>
                </c:pt>
                <c:pt idx="568">
                  <c:v>7.1686800000000002</c:v>
                </c:pt>
                <c:pt idx="569">
                  <c:v>7.0485600000000002</c:v>
                </c:pt>
                <c:pt idx="570">
                  <c:v>6.9284400000000002</c:v>
                </c:pt>
                <c:pt idx="571">
                  <c:v>6.8083200000000001</c:v>
                </c:pt>
                <c:pt idx="572">
                  <c:v>7.42598</c:v>
                </c:pt>
                <c:pt idx="573">
                  <c:v>7.30586</c:v>
                </c:pt>
                <c:pt idx="574">
                  <c:v>7.4261799999999996</c:v>
                </c:pt>
                <c:pt idx="575">
                  <c:v>7.4262199999999998</c:v>
                </c:pt>
                <c:pt idx="576">
                  <c:v>7.4262300000000003</c:v>
                </c:pt>
                <c:pt idx="577">
                  <c:v>7.42624</c:v>
                </c:pt>
                <c:pt idx="578">
                  <c:v>7.3061199999999999</c:v>
                </c:pt>
                <c:pt idx="579">
                  <c:v>7.1859999999999999</c:v>
                </c:pt>
                <c:pt idx="580">
                  <c:v>7.4262499999999996</c:v>
                </c:pt>
                <c:pt idx="581">
                  <c:v>7.3061299999999996</c:v>
                </c:pt>
                <c:pt idx="582">
                  <c:v>7.1860099999999996</c:v>
                </c:pt>
                <c:pt idx="583">
                  <c:v>7.0658899999999996</c:v>
                </c:pt>
                <c:pt idx="584">
                  <c:v>6.9457700000000004</c:v>
                </c:pt>
                <c:pt idx="585">
                  <c:v>6.8256500000000004</c:v>
                </c:pt>
                <c:pt idx="586">
                  <c:v>6.7055300000000004</c:v>
                </c:pt>
                <c:pt idx="587">
                  <c:v>6.5854100000000004</c:v>
                </c:pt>
                <c:pt idx="588">
                  <c:v>6.4652900000000004</c:v>
                </c:pt>
                <c:pt idx="589">
                  <c:v>6.3451700000000004</c:v>
                </c:pt>
                <c:pt idx="590">
                  <c:v>6.2250500000000004</c:v>
                </c:pt>
                <c:pt idx="591">
                  <c:v>6.1049300000000004</c:v>
                </c:pt>
                <c:pt idx="592">
                  <c:v>6.9748099999999997</c:v>
                </c:pt>
                <c:pt idx="593">
                  <c:v>6.8546899999999997</c:v>
                </c:pt>
                <c:pt idx="594">
                  <c:v>6.7345699999999997</c:v>
                </c:pt>
                <c:pt idx="595">
                  <c:v>6.6144499999999997</c:v>
                </c:pt>
                <c:pt idx="596">
                  <c:v>6.4943299999999997</c:v>
                </c:pt>
                <c:pt idx="597">
                  <c:v>6.3742099999999997</c:v>
                </c:pt>
                <c:pt idx="598">
                  <c:v>6.2540899999999997</c:v>
                </c:pt>
                <c:pt idx="599">
                  <c:v>6.1339699999999997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98-4BA3-904E-CDF65E86F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340719"/>
        <c:axId val="685340239"/>
      </c:barChart>
      <c:valAx>
        <c:axId val="68534023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5340719"/>
        <c:crosses val="max"/>
        <c:crossBetween val="between"/>
      </c:valAx>
      <c:catAx>
        <c:axId val="6853407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3402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[analyys.xlsx]WORKER!PivotTable1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455156815075535E-2"/>
          <c:y val="6.5401381108520784E-2"/>
          <c:w val="0.93205597687385855"/>
          <c:h val="0.83755160250951244"/>
        </c:manualLayout>
      </c:layout>
      <c:lineChart>
        <c:grouping val="standard"/>
        <c:varyColors val="0"/>
        <c:ser>
          <c:idx val="1"/>
          <c:order val="1"/>
          <c:tx>
            <c:strRef>
              <c:f>WORKER!$C$5</c:f>
              <c:strCache>
                <c:ptCount val="1"/>
                <c:pt idx="0">
                  <c:v>Sum of spent_amount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WORKER!$A$6:$A$606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WORKER!$C$6:$C$606</c:f>
              <c:numCache>
                <c:formatCode>General</c:formatCode>
                <c:ptCount val="600"/>
                <c:pt idx="0">
                  <c:v>0.15</c:v>
                </c:pt>
                <c:pt idx="1">
                  <c:v>0.23050000000000001</c:v>
                </c:pt>
                <c:pt idx="2">
                  <c:v>0.21545500000000001</c:v>
                </c:pt>
                <c:pt idx="3">
                  <c:v>0.20130300000000001</c:v>
                </c:pt>
                <c:pt idx="4">
                  <c:v>0.18799399999999999</c:v>
                </c:pt>
                <c:pt idx="5">
                  <c:v>0.17548</c:v>
                </c:pt>
                <c:pt idx="6">
                  <c:v>0.163716</c:v>
                </c:pt>
                <c:pt idx="7">
                  <c:v>0.15265999999999999</c:v>
                </c:pt>
                <c:pt idx="8">
                  <c:v>0.14227200000000001</c:v>
                </c:pt>
                <c:pt idx="9">
                  <c:v>0.13251299999999999</c:v>
                </c:pt>
                <c:pt idx="10">
                  <c:v>0.123348</c:v>
                </c:pt>
                <c:pt idx="11">
                  <c:v>0.114743</c:v>
                </c:pt>
                <c:pt idx="12">
                  <c:v>0.106666</c:v>
                </c:pt>
                <c:pt idx="13">
                  <c:v>9.9085900000000005E-2</c:v>
                </c:pt>
                <c:pt idx="14">
                  <c:v>9.1974899999999998E-2</c:v>
                </c:pt>
                <c:pt idx="15">
                  <c:v>8.5305699999999998E-2</c:v>
                </c:pt>
                <c:pt idx="16">
                  <c:v>7.9052700000000004E-2</c:v>
                </c:pt>
                <c:pt idx="17">
                  <c:v>7.3191999999999993E-2</c:v>
                </c:pt>
                <c:pt idx="18">
                  <c:v>6.7700499999999997E-2</c:v>
                </c:pt>
                <c:pt idx="19">
                  <c:v>6.2557000000000001E-2</c:v>
                </c:pt>
                <c:pt idx="20">
                  <c:v>5.7740899999999998E-2</c:v>
                </c:pt>
                <c:pt idx="21">
                  <c:v>0.143233</c:v>
                </c:pt>
                <c:pt idx="22">
                  <c:v>0.222916</c:v>
                </c:pt>
                <c:pt idx="23">
                  <c:v>0.29714000000000002</c:v>
                </c:pt>
                <c:pt idx="24">
                  <c:v>0.36623899999999998</c:v>
                </c:pt>
                <c:pt idx="25">
                  <c:v>0.43052400000000002</c:v>
                </c:pt>
                <c:pt idx="26">
                  <c:v>0.49029099999999998</c:v>
                </c:pt>
                <c:pt idx="27">
                  <c:v>0.54581900000000005</c:v>
                </c:pt>
                <c:pt idx="28">
                  <c:v>0.59736800000000001</c:v>
                </c:pt>
                <c:pt idx="29">
                  <c:v>0.64518600000000004</c:v>
                </c:pt>
                <c:pt idx="30">
                  <c:v>0.68950599999999995</c:v>
                </c:pt>
                <c:pt idx="31">
                  <c:v>0.73054600000000003</c:v>
                </c:pt>
                <c:pt idx="32">
                  <c:v>0</c:v>
                </c:pt>
                <c:pt idx="33">
                  <c:v>0.84202900000000003</c:v>
                </c:pt>
                <c:pt idx="34">
                  <c:v>0.87250300000000003</c:v>
                </c:pt>
                <c:pt idx="35">
                  <c:v>0.90054900000000004</c:v>
                </c:pt>
                <c:pt idx="36">
                  <c:v>0</c:v>
                </c:pt>
                <c:pt idx="37">
                  <c:v>0.81789900000000004</c:v>
                </c:pt>
                <c:pt idx="38">
                  <c:v>0.75931400000000004</c:v>
                </c:pt>
                <c:pt idx="39">
                  <c:v>0.70436600000000005</c:v>
                </c:pt>
                <c:pt idx="40">
                  <c:v>0.65284399999999998</c:v>
                </c:pt>
                <c:pt idx="41">
                  <c:v>0</c:v>
                </c:pt>
                <c:pt idx="42">
                  <c:v>0.58952599999999999</c:v>
                </c:pt>
                <c:pt idx="43">
                  <c:v>0</c:v>
                </c:pt>
                <c:pt idx="44">
                  <c:v>0.53177799999999997</c:v>
                </c:pt>
                <c:pt idx="45">
                  <c:v>0.491896</c:v>
                </c:pt>
                <c:pt idx="46">
                  <c:v>0.45454</c:v>
                </c:pt>
                <c:pt idx="47">
                  <c:v>0.41956199999999999</c:v>
                </c:pt>
                <c:pt idx="48">
                  <c:v>0.38682299999999997</c:v>
                </c:pt>
                <c:pt idx="49">
                  <c:v>0.35619099999999998</c:v>
                </c:pt>
                <c:pt idx="50">
                  <c:v>0.327542</c:v>
                </c:pt>
                <c:pt idx="51">
                  <c:v>0.30076000000000003</c:v>
                </c:pt>
                <c:pt idx="52">
                  <c:v>0.27573300000000001</c:v>
                </c:pt>
                <c:pt idx="53">
                  <c:v>0.252357</c:v>
                </c:pt>
                <c:pt idx="54">
                  <c:v>0.19175900000000001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0.265264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0.21030299999999999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CE-40B0-AF81-EB3398DE7107}"/>
            </c:ext>
          </c:extLst>
        </c:ser>
        <c:ser>
          <c:idx val="2"/>
          <c:order val="2"/>
          <c:tx>
            <c:strRef>
              <c:f>WORKER!$D$5</c:f>
              <c:strCache>
                <c:ptCount val="1"/>
                <c:pt idx="0">
                  <c:v>Sum of employed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WORKER!$A$6:$A$606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WORKER!$D$6:$D$606</c:f>
              <c:numCache>
                <c:formatCode>General</c:formatCode>
                <c:ptCount val="60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CE-40B0-AF81-EB3398DE7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507471"/>
        <c:axId val="1921508911"/>
      </c:lineChart>
      <c:lineChart>
        <c:grouping val="standard"/>
        <c:varyColors val="0"/>
        <c:ser>
          <c:idx val="0"/>
          <c:order val="0"/>
          <c:tx>
            <c:strRef>
              <c:f>WORKER!$B$5</c:f>
              <c:strCache>
                <c:ptCount val="1"/>
                <c:pt idx="0">
                  <c:v>Sum of wealth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WORKER!$A$6:$A$606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WORKER!$B$6:$B$606</c:f>
              <c:numCache>
                <c:formatCode>General</c:formatCode>
                <c:ptCount val="600"/>
                <c:pt idx="0">
                  <c:v>2.85</c:v>
                </c:pt>
                <c:pt idx="1">
                  <c:v>2.6194999999999999</c:v>
                </c:pt>
                <c:pt idx="2">
                  <c:v>2.4040499999999998</c:v>
                </c:pt>
                <c:pt idx="3">
                  <c:v>2.2027399999999999</c:v>
                </c:pt>
                <c:pt idx="4">
                  <c:v>2.0147499999999998</c:v>
                </c:pt>
                <c:pt idx="5">
                  <c:v>1.83927</c:v>
                </c:pt>
                <c:pt idx="6">
                  <c:v>1.6755500000000001</c:v>
                </c:pt>
                <c:pt idx="7">
                  <c:v>1.5228900000000001</c:v>
                </c:pt>
                <c:pt idx="8">
                  <c:v>1.38062</c:v>
                </c:pt>
                <c:pt idx="9">
                  <c:v>1.2481100000000001</c:v>
                </c:pt>
                <c:pt idx="10">
                  <c:v>1.12476</c:v>
                </c:pt>
                <c:pt idx="11">
                  <c:v>1.0100199999999999</c:v>
                </c:pt>
                <c:pt idx="12">
                  <c:v>0.90334899999999996</c:v>
                </c:pt>
                <c:pt idx="13">
                  <c:v>0.80426299999999995</c:v>
                </c:pt>
                <c:pt idx="14">
                  <c:v>0.71228800000000003</c:v>
                </c:pt>
                <c:pt idx="15">
                  <c:v>0.62698299999999996</c:v>
                </c:pt>
                <c:pt idx="16">
                  <c:v>0.54793000000000003</c:v>
                </c:pt>
                <c:pt idx="17">
                  <c:v>0.47473799999999999</c:v>
                </c:pt>
                <c:pt idx="18">
                  <c:v>0.40703699999999998</c:v>
                </c:pt>
                <c:pt idx="19">
                  <c:v>0.34448000000000001</c:v>
                </c:pt>
                <c:pt idx="20">
                  <c:v>1.28674</c:v>
                </c:pt>
                <c:pt idx="21">
                  <c:v>2.14351</c:v>
                </c:pt>
                <c:pt idx="22">
                  <c:v>2.9205899999999998</c:v>
                </c:pt>
                <c:pt idx="23">
                  <c:v>3.6234500000000001</c:v>
                </c:pt>
                <c:pt idx="24">
                  <c:v>4.2572099999999997</c:v>
                </c:pt>
                <c:pt idx="25">
                  <c:v>4.8266900000000001</c:v>
                </c:pt>
                <c:pt idx="26">
                  <c:v>5.3364000000000003</c:v>
                </c:pt>
                <c:pt idx="27">
                  <c:v>5.7905800000000003</c:v>
                </c:pt>
                <c:pt idx="28">
                  <c:v>6.1932099999999997</c:v>
                </c:pt>
                <c:pt idx="29">
                  <c:v>6.5480200000000002</c:v>
                </c:pt>
                <c:pt idx="30">
                  <c:v>6.8585200000000004</c:v>
                </c:pt>
                <c:pt idx="31">
                  <c:v>7.1279700000000004</c:v>
                </c:pt>
                <c:pt idx="32">
                  <c:v>8.1279699999999995</c:v>
                </c:pt>
                <c:pt idx="33">
                  <c:v>8.2859400000000001</c:v>
                </c:pt>
                <c:pt idx="34">
                  <c:v>8.4134399999999996</c:v>
                </c:pt>
                <c:pt idx="35">
                  <c:v>7.5128899999999996</c:v>
                </c:pt>
                <c:pt idx="36">
                  <c:v>7.5128899999999996</c:v>
                </c:pt>
                <c:pt idx="37">
                  <c:v>6.6949899999999998</c:v>
                </c:pt>
                <c:pt idx="38">
                  <c:v>5.9356799999999996</c:v>
                </c:pt>
                <c:pt idx="39">
                  <c:v>5.2313099999999997</c:v>
                </c:pt>
                <c:pt idx="40">
                  <c:v>4.5784700000000003</c:v>
                </c:pt>
                <c:pt idx="41">
                  <c:v>4.5784700000000003</c:v>
                </c:pt>
                <c:pt idx="42">
                  <c:v>3.9889399999999999</c:v>
                </c:pt>
                <c:pt idx="43">
                  <c:v>3.9889399999999999</c:v>
                </c:pt>
                <c:pt idx="44">
                  <c:v>3.45716</c:v>
                </c:pt>
                <c:pt idx="45">
                  <c:v>2.9652699999999999</c:v>
                </c:pt>
                <c:pt idx="46">
                  <c:v>2.5107300000000001</c:v>
                </c:pt>
                <c:pt idx="47">
                  <c:v>2.0911599999999999</c:v>
                </c:pt>
                <c:pt idx="48">
                  <c:v>1.70434</c:v>
                </c:pt>
                <c:pt idx="49">
                  <c:v>1.34815</c:v>
                </c:pt>
                <c:pt idx="50">
                  <c:v>1.02061</c:v>
                </c:pt>
                <c:pt idx="51">
                  <c:v>0.71984899999999996</c:v>
                </c:pt>
                <c:pt idx="52">
                  <c:v>0.44411600000000001</c:v>
                </c:pt>
                <c:pt idx="53">
                  <c:v>0.19175900000000001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</c:v>
                </c:pt>
                <c:pt idx="586">
                  <c:v>2</c:v>
                </c:pt>
                <c:pt idx="587">
                  <c:v>3</c:v>
                </c:pt>
                <c:pt idx="588">
                  <c:v>2.7347399999999999</c:v>
                </c:pt>
                <c:pt idx="589">
                  <c:v>2.7347399999999999</c:v>
                </c:pt>
                <c:pt idx="590">
                  <c:v>2.7347399999999999</c:v>
                </c:pt>
                <c:pt idx="591">
                  <c:v>2.7347399999999999</c:v>
                </c:pt>
                <c:pt idx="592">
                  <c:v>2.7347399999999999</c:v>
                </c:pt>
                <c:pt idx="593">
                  <c:v>2.7347399999999999</c:v>
                </c:pt>
                <c:pt idx="594">
                  <c:v>2.7347399999999999</c:v>
                </c:pt>
                <c:pt idx="595">
                  <c:v>2.7347399999999999</c:v>
                </c:pt>
                <c:pt idx="596">
                  <c:v>2.7347399999999999</c:v>
                </c:pt>
                <c:pt idx="597">
                  <c:v>2.7347399999999999</c:v>
                </c:pt>
                <c:pt idx="598">
                  <c:v>2.7347399999999999</c:v>
                </c:pt>
                <c:pt idx="599">
                  <c:v>2.5244300000000002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CE-40B0-AF81-EB3398DE7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2620639"/>
        <c:axId val="2000620479"/>
      </c:lineChart>
      <c:catAx>
        <c:axId val="1921507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8911"/>
        <c:crosses val="autoZero"/>
        <c:auto val="1"/>
        <c:lblAlgn val="ctr"/>
        <c:lblOffset val="100"/>
        <c:noMultiLvlLbl val="0"/>
      </c:catAx>
      <c:valAx>
        <c:axId val="192150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7471"/>
        <c:crosses val="autoZero"/>
        <c:crossBetween val="between"/>
      </c:valAx>
      <c:valAx>
        <c:axId val="200062047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620639"/>
        <c:crosses val="max"/>
        <c:crossBetween val="between"/>
      </c:valAx>
      <c:catAx>
        <c:axId val="672620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00620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7.3031871016122935E-2"/>
          <c:y val="0.1132482886722265"/>
          <c:w val="0.12897691819397361"/>
          <c:h val="0.138443296550842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[analyys.xlsx]CAPITALIST!PivotTable2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CAPITALIST!$B$3</c:f>
              <c:strCache>
                <c:ptCount val="1"/>
                <c:pt idx="0">
                  <c:v>Sum of wealth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CAPITALIST!$A$4:$A$604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CAPITALIST!$B$4:$B$604</c:f>
              <c:numCache>
                <c:formatCode>General</c:formatCode>
                <c:ptCount val="600"/>
                <c:pt idx="0">
                  <c:v>0.15</c:v>
                </c:pt>
                <c:pt idx="1">
                  <c:v>0.146532</c:v>
                </c:pt>
                <c:pt idx="2">
                  <c:v>0.16225000000000001</c:v>
                </c:pt>
                <c:pt idx="3">
                  <c:v>0.15174599999999999</c:v>
                </c:pt>
                <c:pt idx="4">
                  <c:v>0.14186399999999999</c:v>
                </c:pt>
                <c:pt idx="5">
                  <c:v>0.13264699999999999</c:v>
                </c:pt>
                <c:pt idx="6">
                  <c:v>0.13057099999999999</c:v>
                </c:pt>
                <c:pt idx="7">
                  <c:v>0.12205100000000001</c:v>
                </c:pt>
                <c:pt idx="8">
                  <c:v>0.114038</c:v>
                </c:pt>
                <c:pt idx="9">
                  <c:v>0.19312499999999999</c:v>
                </c:pt>
                <c:pt idx="10">
                  <c:v>0.180226</c:v>
                </c:pt>
                <c:pt idx="11">
                  <c:v>0.16802800000000001</c:v>
                </c:pt>
                <c:pt idx="12">
                  <c:v>0.164968</c:v>
                </c:pt>
                <c:pt idx="13">
                  <c:v>0.153783</c:v>
                </c:pt>
                <c:pt idx="14">
                  <c:v>0.14327400000000001</c:v>
                </c:pt>
                <c:pt idx="15">
                  <c:v>0.140569</c:v>
                </c:pt>
                <c:pt idx="16">
                  <c:v>0.130943</c:v>
                </c:pt>
                <c:pt idx="17">
                  <c:v>0.121903</c:v>
                </c:pt>
                <c:pt idx="18">
                  <c:v>0.113415</c:v>
                </c:pt>
                <c:pt idx="19">
                  <c:v>0.15003900000000001</c:v>
                </c:pt>
                <c:pt idx="20">
                  <c:v>0.139658</c:v>
                </c:pt>
                <c:pt idx="21">
                  <c:v>0.12983800000000001</c:v>
                </c:pt>
                <c:pt idx="22">
                  <c:v>0.12059300000000001</c:v>
                </c:pt>
                <c:pt idx="23">
                  <c:v>0.111955</c:v>
                </c:pt>
                <c:pt idx="24">
                  <c:v>0.103898</c:v>
                </c:pt>
                <c:pt idx="25">
                  <c:v>9.6310199999999999E-2</c:v>
                </c:pt>
                <c:pt idx="26">
                  <c:v>8.9339199999999994E-2</c:v>
                </c:pt>
                <c:pt idx="27">
                  <c:v>8.2592899999999997E-2</c:v>
                </c:pt>
                <c:pt idx="28">
                  <c:v>7.6477000000000003E-2</c:v>
                </c:pt>
                <c:pt idx="29">
                  <c:v>7.0548899999999998E-2</c:v>
                </c:pt>
                <c:pt idx="30">
                  <c:v>6.5106700000000003E-2</c:v>
                </c:pt>
                <c:pt idx="31">
                  <c:v>6.0185799999999998E-2</c:v>
                </c:pt>
                <c:pt idx="32">
                  <c:v>8.2086900000000004E-2</c:v>
                </c:pt>
                <c:pt idx="33">
                  <c:v>7.5712699999999994E-2</c:v>
                </c:pt>
                <c:pt idx="34">
                  <c:v>6.9832699999999998E-2</c:v>
                </c:pt>
                <c:pt idx="35">
                  <c:v>6.4658199999999999E-2</c:v>
                </c:pt>
                <c:pt idx="36">
                  <c:v>5.94084E-2</c:v>
                </c:pt>
                <c:pt idx="37">
                  <c:v>5.7472200000000001E-2</c:v>
                </c:pt>
                <c:pt idx="38">
                  <c:v>5.2913799999999997E-2</c:v>
                </c:pt>
                <c:pt idx="39">
                  <c:v>9.7566200000000006E-2</c:v>
                </c:pt>
                <c:pt idx="40">
                  <c:v>9.0099200000000004E-2</c:v>
                </c:pt>
                <c:pt idx="41">
                  <c:v>8.3492899999999995E-2</c:v>
                </c:pt>
                <c:pt idx="42">
                  <c:v>7.7459500000000001E-2</c:v>
                </c:pt>
                <c:pt idx="43">
                  <c:v>7.1746900000000002E-2</c:v>
                </c:pt>
                <c:pt idx="44">
                  <c:v>6.63464E-2</c:v>
                </c:pt>
                <c:pt idx="45">
                  <c:v>6.1949999999999998E-2</c:v>
                </c:pt>
                <c:pt idx="46">
                  <c:v>5.7645799999999997E-2</c:v>
                </c:pt>
                <c:pt idx="47">
                  <c:v>5.2757100000000001E-2</c:v>
                </c:pt>
                <c:pt idx="48">
                  <c:v>5.11864E-2</c:v>
                </c:pt>
                <c:pt idx="49">
                  <c:v>4.48181E-2</c:v>
                </c:pt>
                <c:pt idx="50">
                  <c:v>8.5028699999999999E-2</c:v>
                </c:pt>
                <c:pt idx="51">
                  <c:v>7.91655E-2</c:v>
                </c:pt>
                <c:pt idx="52">
                  <c:v>7.3027499999999995E-2</c:v>
                </c:pt>
                <c:pt idx="53">
                  <c:v>6.7867200000000003E-2</c:v>
                </c:pt>
                <c:pt idx="54">
                  <c:v>6.2935900000000003E-2</c:v>
                </c:pt>
                <c:pt idx="55">
                  <c:v>5.7656499999999999E-2</c:v>
                </c:pt>
                <c:pt idx="56">
                  <c:v>5.27264E-2</c:v>
                </c:pt>
                <c:pt idx="57">
                  <c:v>1.9107499999999999E-2</c:v>
                </c:pt>
                <c:pt idx="58">
                  <c:v>0</c:v>
                </c:pt>
                <c:pt idx="59">
                  <c:v>0</c:v>
                </c:pt>
                <c:pt idx="60">
                  <c:v>7.2414899999999997E-3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8.4332299999999999E-3</c:v>
                </c:pt>
                <c:pt idx="65">
                  <c:v>0</c:v>
                </c:pt>
                <c:pt idx="66">
                  <c:v>5.4109500000000001E-4</c:v>
                </c:pt>
                <c:pt idx="67">
                  <c:v>5.4109500000000001E-4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13-420A-8028-DF6AE7696BB2}"/>
            </c:ext>
          </c:extLst>
        </c:ser>
        <c:ser>
          <c:idx val="1"/>
          <c:order val="1"/>
          <c:tx>
            <c:strRef>
              <c:f>CAPITALIST!$C$3</c:f>
              <c:strCache>
                <c:ptCount val="1"/>
                <c:pt idx="0">
                  <c:v>Sum of spent_amount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CAPITALIST!$A$4:$A$604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CAPITALIST!$C$4:$C$604</c:f>
              <c:numCache>
                <c:formatCode>General</c:formatCode>
                <c:ptCount val="600"/>
                <c:pt idx="0">
                  <c:v>5.06811E-2</c:v>
                </c:pt>
                <c:pt idx="1">
                  <c:v>5.9796799999999997E-2</c:v>
                </c:pt>
                <c:pt idx="2">
                  <c:v>5.7404900000000002E-2</c:v>
                </c:pt>
                <c:pt idx="3">
                  <c:v>5.5109400000000003E-2</c:v>
                </c:pt>
                <c:pt idx="4">
                  <c:v>5.2940800000000003E-2</c:v>
                </c:pt>
                <c:pt idx="5">
                  <c:v>5.0841699999999997E-2</c:v>
                </c:pt>
                <c:pt idx="6">
                  <c:v>4.8826700000000001E-2</c:v>
                </c:pt>
                <c:pt idx="7">
                  <c:v>4.6892799999999998E-2</c:v>
                </c:pt>
                <c:pt idx="8">
                  <c:v>8.3534800000000006E-2</c:v>
                </c:pt>
                <c:pt idx="9">
                  <c:v>8.0237299999999998E-2</c:v>
                </c:pt>
                <c:pt idx="10">
                  <c:v>7.7037499999999995E-2</c:v>
                </c:pt>
                <c:pt idx="11">
                  <c:v>7.3965699999999995E-2</c:v>
                </c:pt>
                <c:pt idx="12">
                  <c:v>7.1016700000000002E-2</c:v>
                </c:pt>
                <c:pt idx="13">
                  <c:v>6.8185700000000002E-2</c:v>
                </c:pt>
                <c:pt idx="14">
                  <c:v>6.5467800000000007E-2</c:v>
                </c:pt>
                <c:pt idx="15">
                  <c:v>6.2858700000000003E-2</c:v>
                </c:pt>
                <c:pt idx="16">
                  <c:v>6.0353900000000002E-2</c:v>
                </c:pt>
                <c:pt idx="17">
                  <c:v>5.7949199999999999E-2</c:v>
                </c:pt>
                <c:pt idx="18">
                  <c:v>7.5459100000000001E-2</c:v>
                </c:pt>
                <c:pt idx="19">
                  <c:v>7.25026E-2</c:v>
                </c:pt>
                <c:pt idx="20">
                  <c:v>6.9630600000000001E-2</c:v>
                </c:pt>
                <c:pt idx="21">
                  <c:v>6.6859699999999994E-2</c:v>
                </c:pt>
                <c:pt idx="22">
                  <c:v>6.4214499999999994E-2</c:v>
                </c:pt>
                <c:pt idx="23">
                  <c:v>6.1694699999999998E-2</c:v>
                </c:pt>
                <c:pt idx="24">
                  <c:v>5.9260100000000003E-2</c:v>
                </c:pt>
                <c:pt idx="25">
                  <c:v>5.69852E-2</c:v>
                </c:pt>
                <c:pt idx="26">
                  <c:v>5.4705799999999999E-2</c:v>
                </c:pt>
                <c:pt idx="27">
                  <c:v>5.2607399999999999E-2</c:v>
                </c:pt>
                <c:pt idx="28">
                  <c:v>5.0503100000000002E-2</c:v>
                </c:pt>
                <c:pt idx="29">
                  <c:v>4.8529799999999998E-2</c:v>
                </c:pt>
                <c:pt idx="30">
                  <c:v>4.6711099999999998E-2</c:v>
                </c:pt>
                <c:pt idx="31">
                  <c:v>5.67444E-2</c:v>
                </c:pt>
                <c:pt idx="32">
                  <c:v>5.4474599999999998E-2</c:v>
                </c:pt>
                <c:pt idx="33">
                  <c:v>5.2333200000000003E-2</c:v>
                </c:pt>
                <c:pt idx="34">
                  <c:v>5.0422300000000003E-2</c:v>
                </c:pt>
                <c:pt idx="35">
                  <c:v>4.8405400000000001E-2</c:v>
                </c:pt>
                <c:pt idx="36">
                  <c:v>4.6469200000000002E-2</c:v>
                </c:pt>
                <c:pt idx="37">
                  <c:v>4.46878E-2</c:v>
                </c:pt>
                <c:pt idx="38">
                  <c:v>6.4716099999999999E-2</c:v>
                </c:pt>
                <c:pt idx="39">
                  <c:v>6.2127399999999999E-2</c:v>
                </c:pt>
                <c:pt idx="40">
                  <c:v>5.9812900000000002E-2</c:v>
                </c:pt>
                <c:pt idx="41">
                  <c:v>5.7657600000000003E-2</c:v>
                </c:pt>
                <c:pt idx="42">
                  <c:v>5.5558700000000003E-2</c:v>
                </c:pt>
                <c:pt idx="43">
                  <c:v>5.3518200000000002E-2</c:v>
                </c:pt>
                <c:pt idx="44">
                  <c:v>5.1849300000000001E-2</c:v>
                </c:pt>
                <c:pt idx="45">
                  <c:v>5.0160799999999998E-2</c:v>
                </c:pt>
                <c:pt idx="46">
                  <c:v>4.81544E-2</c:v>
                </c:pt>
                <c:pt idx="47">
                  <c:v>4.6386200000000002E-2</c:v>
                </c:pt>
                <c:pt idx="48">
                  <c:v>4.4530800000000002E-2</c:v>
                </c:pt>
                <c:pt idx="49">
                  <c:v>6.1540299999999999E-2</c:v>
                </c:pt>
                <c:pt idx="50">
                  <c:v>5.9456299999999997E-2</c:v>
                </c:pt>
                <c:pt idx="51">
                  <c:v>5.7166300000000003E-2</c:v>
                </c:pt>
                <c:pt idx="52">
                  <c:v>5.5225400000000001E-2</c:v>
                </c:pt>
                <c:pt idx="53">
                  <c:v>5.3314599999999997E-2</c:v>
                </c:pt>
                <c:pt idx="54">
                  <c:v>5.1181999999999998E-2</c:v>
                </c:pt>
                <c:pt idx="55">
                  <c:v>4.9134700000000003E-2</c:v>
                </c:pt>
                <c:pt idx="56">
                  <c:v>4.71694E-2</c:v>
                </c:pt>
                <c:pt idx="57">
                  <c:v>4.5282599999999999E-2</c:v>
                </c:pt>
                <c:pt idx="58">
                  <c:v>4.3471299999999997E-2</c:v>
                </c:pt>
                <c:pt idx="59">
                  <c:v>4.20221E-2</c:v>
                </c:pt>
                <c:pt idx="60">
                  <c:v>4.0341200000000001E-2</c:v>
                </c:pt>
                <c:pt idx="61">
                  <c:v>3.8727600000000001E-2</c:v>
                </c:pt>
                <c:pt idx="62">
                  <c:v>3.7178500000000003E-2</c:v>
                </c:pt>
                <c:pt idx="63">
                  <c:v>3.6028600000000001E-2</c:v>
                </c:pt>
                <c:pt idx="64">
                  <c:v>3.45875E-2</c:v>
                </c:pt>
                <c:pt idx="65">
                  <c:v>3.3225600000000001E-2</c:v>
                </c:pt>
                <c:pt idx="66">
                  <c:v>3.1896599999999997E-2</c:v>
                </c:pt>
                <c:pt idx="67">
                  <c:v>3.06208E-2</c:v>
                </c:pt>
                <c:pt idx="68">
                  <c:v>2.9395899999999999E-2</c:v>
                </c:pt>
                <c:pt idx="69">
                  <c:v>2.8220100000000001E-2</c:v>
                </c:pt>
                <c:pt idx="70">
                  <c:v>2.7109000000000001E-2</c:v>
                </c:pt>
                <c:pt idx="71">
                  <c:v>2.6024599999999998E-2</c:v>
                </c:pt>
                <c:pt idx="72">
                  <c:v>2.4983700000000001E-2</c:v>
                </c:pt>
                <c:pt idx="73">
                  <c:v>2.4245900000000001E-2</c:v>
                </c:pt>
                <c:pt idx="74">
                  <c:v>2.3276100000000001E-2</c:v>
                </c:pt>
                <c:pt idx="75">
                  <c:v>2.23451E-2</c:v>
                </c:pt>
                <c:pt idx="76">
                  <c:v>2.14513E-2</c:v>
                </c:pt>
                <c:pt idx="77">
                  <c:v>2.0593199999999999E-2</c:v>
                </c:pt>
                <c:pt idx="78">
                  <c:v>1.9769499999999999E-2</c:v>
                </c:pt>
                <c:pt idx="79">
                  <c:v>1.8978700000000001E-2</c:v>
                </c:pt>
                <c:pt idx="80">
                  <c:v>1.82195E-2</c:v>
                </c:pt>
                <c:pt idx="81">
                  <c:v>1.7490800000000001E-2</c:v>
                </c:pt>
                <c:pt idx="82">
                  <c:v>1.67911E-2</c:v>
                </c:pt>
                <c:pt idx="83">
                  <c:v>1.6724200000000002E-2</c:v>
                </c:pt>
                <c:pt idx="84">
                  <c:v>1.6055199999999999E-2</c:v>
                </c:pt>
                <c:pt idx="85">
                  <c:v>1.5413E-2</c:v>
                </c:pt>
                <c:pt idx="86">
                  <c:v>1.4796500000000001E-2</c:v>
                </c:pt>
                <c:pt idx="87">
                  <c:v>1.42046E-2</c:v>
                </c:pt>
                <c:pt idx="88">
                  <c:v>1.36364E-2</c:v>
                </c:pt>
                <c:pt idx="89">
                  <c:v>1.3091E-2</c:v>
                </c:pt>
                <c:pt idx="90">
                  <c:v>1.25673E-2</c:v>
                </c:pt>
                <c:pt idx="91">
                  <c:v>1.2064699999999999E-2</c:v>
                </c:pt>
                <c:pt idx="92">
                  <c:v>1.15821E-2</c:v>
                </c:pt>
                <c:pt idx="93">
                  <c:v>1.11188E-2</c:v>
                </c:pt>
                <c:pt idx="94">
                  <c:v>1.0673999999999999E-2</c:v>
                </c:pt>
                <c:pt idx="95">
                  <c:v>1.02471E-2</c:v>
                </c:pt>
                <c:pt idx="96">
                  <c:v>9.8371900000000009E-3</c:v>
                </c:pt>
                <c:pt idx="97">
                  <c:v>9.4436999999999993E-3</c:v>
                </c:pt>
                <c:pt idx="98">
                  <c:v>9.0659499999999997E-3</c:v>
                </c:pt>
                <c:pt idx="99">
                  <c:v>8.7033100000000006E-3</c:v>
                </c:pt>
                <c:pt idx="100">
                  <c:v>8.3551800000000002E-3</c:v>
                </c:pt>
                <c:pt idx="101">
                  <c:v>8.0209700000000005E-3</c:v>
                </c:pt>
                <c:pt idx="102">
                  <c:v>7.7001400000000003E-3</c:v>
                </c:pt>
                <c:pt idx="103">
                  <c:v>7.3921300000000002E-3</c:v>
                </c:pt>
                <c:pt idx="104">
                  <c:v>7.0964399999999999E-3</c:v>
                </c:pt>
                <c:pt idx="105">
                  <c:v>6.8125900000000003E-3</c:v>
                </c:pt>
                <c:pt idx="106">
                  <c:v>6.5400800000000002E-3</c:v>
                </c:pt>
                <c:pt idx="107">
                  <c:v>6.2784800000000003E-3</c:v>
                </c:pt>
                <c:pt idx="108">
                  <c:v>6.02734E-3</c:v>
                </c:pt>
                <c:pt idx="109">
                  <c:v>5.7862499999999997E-3</c:v>
                </c:pt>
                <c:pt idx="110">
                  <c:v>5.5548000000000004E-3</c:v>
                </c:pt>
                <c:pt idx="111">
                  <c:v>5.3325999999999998E-3</c:v>
                </c:pt>
                <c:pt idx="112">
                  <c:v>5.1193000000000002E-3</c:v>
                </c:pt>
                <c:pt idx="113">
                  <c:v>4.9145300000000003E-3</c:v>
                </c:pt>
                <c:pt idx="114">
                  <c:v>4.7179500000000003E-3</c:v>
                </c:pt>
                <c:pt idx="115">
                  <c:v>4.5292300000000004E-3</c:v>
                </c:pt>
                <c:pt idx="116">
                  <c:v>4.3480599999999999E-3</c:v>
                </c:pt>
                <c:pt idx="117">
                  <c:v>4.1741399999999998E-3</c:v>
                </c:pt>
                <c:pt idx="118">
                  <c:v>4.00717E-3</c:v>
                </c:pt>
                <c:pt idx="119">
                  <c:v>3.8468899999999999E-3</c:v>
                </c:pt>
                <c:pt idx="120">
                  <c:v>3.69301E-3</c:v>
                </c:pt>
                <c:pt idx="121">
                  <c:v>3.54529E-3</c:v>
                </c:pt>
                <c:pt idx="122">
                  <c:v>3.40348E-3</c:v>
                </c:pt>
                <c:pt idx="123">
                  <c:v>3.2673400000000001E-3</c:v>
                </c:pt>
                <c:pt idx="124">
                  <c:v>3.1366499999999999E-3</c:v>
                </c:pt>
                <c:pt idx="125">
                  <c:v>3.01118E-3</c:v>
                </c:pt>
                <c:pt idx="126">
                  <c:v>2.8907300000000002E-3</c:v>
                </c:pt>
                <c:pt idx="127">
                  <c:v>2.7751E-3</c:v>
                </c:pt>
                <c:pt idx="128">
                  <c:v>2.6641E-3</c:v>
                </c:pt>
                <c:pt idx="129">
                  <c:v>2.5575400000000001E-3</c:v>
                </c:pt>
                <c:pt idx="130">
                  <c:v>2.4552300000000001E-3</c:v>
                </c:pt>
                <c:pt idx="131">
                  <c:v>2.35702E-3</c:v>
                </c:pt>
                <c:pt idx="132">
                  <c:v>2.2627400000000001E-3</c:v>
                </c:pt>
                <c:pt idx="133">
                  <c:v>2.1722299999999998E-3</c:v>
                </c:pt>
                <c:pt idx="134">
                  <c:v>2.0853400000000002E-3</c:v>
                </c:pt>
                <c:pt idx="135">
                  <c:v>2.0019299999999999E-3</c:v>
                </c:pt>
                <c:pt idx="136">
                  <c:v>1.9218499999999999E-3</c:v>
                </c:pt>
                <c:pt idx="137">
                  <c:v>1.84498E-3</c:v>
                </c:pt>
                <c:pt idx="138">
                  <c:v>1.77118E-3</c:v>
                </c:pt>
                <c:pt idx="139">
                  <c:v>1.7003299999999999E-3</c:v>
                </c:pt>
                <c:pt idx="140">
                  <c:v>1.63232E-3</c:v>
                </c:pt>
                <c:pt idx="141">
                  <c:v>1.5670300000000001E-3</c:v>
                </c:pt>
                <c:pt idx="142">
                  <c:v>1.50435E-3</c:v>
                </c:pt>
                <c:pt idx="143">
                  <c:v>1.44417E-3</c:v>
                </c:pt>
                <c:pt idx="144">
                  <c:v>1.3864000000000001E-3</c:v>
                </c:pt>
                <c:pt idx="145">
                  <c:v>1.33095E-3</c:v>
                </c:pt>
                <c:pt idx="146">
                  <c:v>1.27771E-3</c:v>
                </c:pt>
                <c:pt idx="147">
                  <c:v>1.2266E-3</c:v>
                </c:pt>
                <c:pt idx="148">
                  <c:v>1.1775399999999999E-3</c:v>
                </c:pt>
                <c:pt idx="149">
                  <c:v>1.1304399999999999E-3</c:v>
                </c:pt>
                <c:pt idx="150">
                  <c:v>1.08522E-3</c:v>
                </c:pt>
                <c:pt idx="151">
                  <c:v>1.04181E-3</c:v>
                </c:pt>
                <c:pt idx="152">
                  <c:v>1.0001400000000001E-3</c:v>
                </c:pt>
                <c:pt idx="153">
                  <c:v>9.6013299999999995E-4</c:v>
                </c:pt>
                <c:pt idx="154">
                  <c:v>9.2172700000000001E-4</c:v>
                </c:pt>
                <c:pt idx="155">
                  <c:v>8.8485799999999998E-4</c:v>
                </c:pt>
                <c:pt idx="156">
                  <c:v>8.4946399999999997E-4</c:v>
                </c:pt>
                <c:pt idx="157">
                  <c:v>8.1548500000000002E-4</c:v>
                </c:pt>
                <c:pt idx="158">
                  <c:v>7.8286600000000001E-4</c:v>
                </c:pt>
                <c:pt idx="159">
                  <c:v>7.5155100000000004E-4</c:v>
                </c:pt>
                <c:pt idx="160">
                  <c:v>7.2148899999999996E-4</c:v>
                </c:pt>
                <c:pt idx="161">
                  <c:v>6.9262999999999996E-4</c:v>
                </c:pt>
                <c:pt idx="162">
                  <c:v>6.6492400000000001E-4</c:v>
                </c:pt>
                <c:pt idx="163">
                  <c:v>6.3832799999999996E-4</c:v>
                </c:pt>
                <c:pt idx="164">
                  <c:v>6.1279399999999995E-4</c:v>
                </c:pt>
                <c:pt idx="165">
                  <c:v>5.8828299999999999E-4</c:v>
                </c:pt>
                <c:pt idx="166">
                  <c:v>5.6475099999999995E-4</c:v>
                </c:pt>
                <c:pt idx="167">
                  <c:v>5.4216099999999999E-4</c:v>
                </c:pt>
                <c:pt idx="168">
                  <c:v>5.2047499999999995E-4</c:v>
                </c:pt>
                <c:pt idx="169">
                  <c:v>4.9965600000000002E-4</c:v>
                </c:pt>
                <c:pt idx="170">
                  <c:v>4.7967000000000002E-4</c:v>
                </c:pt>
                <c:pt idx="171">
                  <c:v>4.6048299999999998E-4</c:v>
                </c:pt>
                <c:pt idx="172">
                  <c:v>4.4206300000000003E-4</c:v>
                </c:pt>
                <c:pt idx="173">
                  <c:v>4.2438099999999999E-4</c:v>
                </c:pt>
                <c:pt idx="174">
                  <c:v>4.0740600000000002E-4</c:v>
                </c:pt>
                <c:pt idx="175">
                  <c:v>3.91109E-4</c:v>
                </c:pt>
                <c:pt idx="176">
                  <c:v>3.7546500000000001E-4</c:v>
                </c:pt>
                <c:pt idx="177">
                  <c:v>3.60446E-4</c:v>
                </c:pt>
                <c:pt idx="178">
                  <c:v>3.4602899999999998E-4</c:v>
                </c:pt>
                <c:pt idx="179">
                  <c:v>3.3218700000000001E-4</c:v>
                </c:pt>
                <c:pt idx="180">
                  <c:v>3.189E-4</c:v>
                </c:pt>
                <c:pt idx="181">
                  <c:v>3.06144E-4</c:v>
                </c:pt>
                <c:pt idx="182">
                  <c:v>2.9389800000000001E-4</c:v>
                </c:pt>
                <c:pt idx="183">
                  <c:v>2.8214199999999998E-4</c:v>
                </c:pt>
                <c:pt idx="184">
                  <c:v>2.70857E-4</c:v>
                </c:pt>
                <c:pt idx="185">
                  <c:v>2.60022E-4</c:v>
                </c:pt>
                <c:pt idx="186">
                  <c:v>2.49621E-4</c:v>
                </c:pt>
                <c:pt idx="187">
                  <c:v>2.3963700000000001E-4</c:v>
                </c:pt>
                <c:pt idx="188">
                  <c:v>2.30051E-4</c:v>
                </c:pt>
                <c:pt idx="189">
                  <c:v>2.2084900000000001E-4</c:v>
                </c:pt>
                <c:pt idx="190">
                  <c:v>2.12015E-4</c:v>
                </c:pt>
                <c:pt idx="191">
                  <c:v>2.03535E-4</c:v>
                </c:pt>
                <c:pt idx="192">
                  <c:v>1.95393E-4</c:v>
                </c:pt>
                <c:pt idx="193">
                  <c:v>1.87577E-4</c:v>
                </c:pt>
                <c:pt idx="194">
                  <c:v>1.8007400000000001E-4</c:v>
                </c:pt>
                <c:pt idx="195">
                  <c:v>1.7287100000000001E-4</c:v>
                </c:pt>
                <c:pt idx="196">
                  <c:v>1.6595600000000001E-4</c:v>
                </c:pt>
                <c:pt idx="197">
                  <c:v>1.5931800000000001E-4</c:v>
                </c:pt>
                <c:pt idx="198">
                  <c:v>1.52946E-4</c:v>
                </c:pt>
                <c:pt idx="199">
                  <c:v>1.46828E-4</c:v>
                </c:pt>
                <c:pt idx="200">
                  <c:v>1.4095500000000001E-4</c:v>
                </c:pt>
                <c:pt idx="201">
                  <c:v>1.3531599999999999E-4</c:v>
                </c:pt>
                <c:pt idx="202">
                  <c:v>1.2990399999999999E-4</c:v>
                </c:pt>
                <c:pt idx="203">
                  <c:v>1.2470800000000001E-4</c:v>
                </c:pt>
                <c:pt idx="204">
                  <c:v>1.19719E-4</c:v>
                </c:pt>
                <c:pt idx="205">
                  <c:v>1.14931E-4</c:v>
                </c:pt>
                <c:pt idx="206">
                  <c:v>1.10333E-4</c:v>
                </c:pt>
                <c:pt idx="207">
                  <c:v>1.0592E-4</c:v>
                </c:pt>
                <c:pt idx="208">
                  <c:v>1.01683E-4</c:v>
                </c:pt>
                <c:pt idx="209">
                  <c:v>9.7615799999999995E-5</c:v>
                </c:pt>
                <c:pt idx="210">
                  <c:v>9.3711199999999998E-5</c:v>
                </c:pt>
                <c:pt idx="211">
                  <c:v>8.9962800000000005E-5</c:v>
                </c:pt>
                <c:pt idx="212">
                  <c:v>8.6364200000000002E-5</c:v>
                </c:pt>
                <c:pt idx="213">
                  <c:v>8.2909699999999997E-5</c:v>
                </c:pt>
                <c:pt idx="214">
                  <c:v>7.9593300000000002E-5</c:v>
                </c:pt>
                <c:pt idx="215">
                  <c:v>7.6409599999999994E-5</c:v>
                </c:pt>
                <c:pt idx="216">
                  <c:v>7.3353200000000001E-5</c:v>
                </c:pt>
                <c:pt idx="217">
                  <c:v>7.0419000000000005E-5</c:v>
                </c:pt>
                <c:pt idx="218">
                  <c:v>6.7602300000000002E-5</c:v>
                </c:pt>
                <c:pt idx="219">
                  <c:v>6.4898200000000001E-5</c:v>
                </c:pt>
                <c:pt idx="220">
                  <c:v>6.2302299999999995E-5</c:v>
                </c:pt>
                <c:pt idx="221">
                  <c:v>5.9810199999999999E-5</c:v>
                </c:pt>
                <c:pt idx="222">
                  <c:v>5.7417799999999998E-5</c:v>
                </c:pt>
                <c:pt idx="223">
                  <c:v>5.5121100000000003E-5</c:v>
                </c:pt>
                <c:pt idx="224">
                  <c:v>5.29162E-5</c:v>
                </c:pt>
                <c:pt idx="225">
                  <c:v>5.0799600000000001E-5</c:v>
                </c:pt>
                <c:pt idx="226">
                  <c:v>4.8767599999999997E-5</c:v>
                </c:pt>
                <c:pt idx="227">
                  <c:v>4.6816900000000002E-5</c:v>
                </c:pt>
                <c:pt idx="228">
                  <c:v>4.4944200000000002E-5</c:v>
                </c:pt>
                <c:pt idx="229">
                  <c:v>4.3146399999999997E-5</c:v>
                </c:pt>
                <c:pt idx="230">
                  <c:v>4.1420600000000001E-5</c:v>
                </c:pt>
                <c:pt idx="231">
                  <c:v>3.97638E-5</c:v>
                </c:pt>
                <c:pt idx="232">
                  <c:v>3.8173200000000002E-5</c:v>
                </c:pt>
                <c:pt idx="233">
                  <c:v>3.6646300000000002E-5</c:v>
                </c:pt>
                <c:pt idx="234">
                  <c:v>3.5180399999999999E-5</c:v>
                </c:pt>
                <c:pt idx="235">
                  <c:v>3.3773199999999997E-5</c:v>
                </c:pt>
                <c:pt idx="236">
                  <c:v>3.2422300000000003E-5</c:v>
                </c:pt>
                <c:pt idx="237">
                  <c:v>3.1125399999999998E-5</c:v>
                </c:pt>
                <c:pt idx="238">
                  <c:v>2.9880399999999999E-5</c:v>
                </c:pt>
                <c:pt idx="239">
                  <c:v>2.8685200000000001E-5</c:v>
                </c:pt>
                <c:pt idx="240">
                  <c:v>2.7537799999999999E-5</c:v>
                </c:pt>
                <c:pt idx="241">
                  <c:v>2.6436199999999999E-5</c:v>
                </c:pt>
                <c:pt idx="242">
                  <c:v>2.5378799999999998E-5</c:v>
                </c:pt>
                <c:pt idx="243">
                  <c:v>2.4363600000000002E-5</c:v>
                </c:pt>
                <c:pt idx="244">
                  <c:v>2.3389099999999999E-5</c:v>
                </c:pt>
                <c:pt idx="245">
                  <c:v>2.2453500000000001E-5</c:v>
                </c:pt>
                <c:pt idx="246">
                  <c:v>2.15554E-5</c:v>
                </c:pt>
                <c:pt idx="247">
                  <c:v>2.06932E-5</c:v>
                </c:pt>
                <c:pt idx="248">
                  <c:v>1.9865400000000001E-5</c:v>
                </c:pt>
                <c:pt idx="249">
                  <c:v>1.90708E-5</c:v>
                </c:pt>
                <c:pt idx="250">
                  <c:v>1.8308000000000002E-5</c:v>
                </c:pt>
                <c:pt idx="251">
                  <c:v>1.7575699999999998E-5</c:v>
                </c:pt>
                <c:pt idx="252">
                  <c:v>1.6872599999999998E-5</c:v>
                </c:pt>
                <c:pt idx="253">
                  <c:v>1.6197699999999999E-5</c:v>
                </c:pt>
                <c:pt idx="254">
                  <c:v>1.5549800000000001E-5</c:v>
                </c:pt>
                <c:pt idx="255">
                  <c:v>1.49278E-5</c:v>
                </c:pt>
                <c:pt idx="256">
                  <c:v>1.43307E-5</c:v>
                </c:pt>
                <c:pt idx="257">
                  <c:v>1.37575E-5</c:v>
                </c:pt>
                <c:pt idx="258">
                  <c:v>1.32072E-5</c:v>
                </c:pt>
                <c:pt idx="259">
                  <c:v>1.26789E-5</c:v>
                </c:pt>
                <c:pt idx="260">
                  <c:v>1.2171799999999999E-5</c:v>
                </c:pt>
                <c:pt idx="261">
                  <c:v>1.1684900000000001E-5</c:v>
                </c:pt>
                <c:pt idx="262">
                  <c:v>1.1217500000000001E-5</c:v>
                </c:pt>
                <c:pt idx="263">
                  <c:v>1.0768799999999999E-5</c:v>
                </c:pt>
                <c:pt idx="264">
                  <c:v>1.0338E-5</c:v>
                </c:pt>
                <c:pt idx="265">
                  <c:v>9.9245199999999993E-6</c:v>
                </c:pt>
                <c:pt idx="266">
                  <c:v>9.5275399999999992E-6</c:v>
                </c:pt>
                <c:pt idx="267">
                  <c:v>9.1464299999999998E-6</c:v>
                </c:pt>
                <c:pt idx="268">
                  <c:v>8.7805800000000006E-6</c:v>
                </c:pt>
                <c:pt idx="269">
                  <c:v>8.4293499999999992E-6</c:v>
                </c:pt>
                <c:pt idx="270">
                  <c:v>8.0921800000000005E-6</c:v>
                </c:pt>
                <c:pt idx="271">
                  <c:v>7.7684899999999995E-6</c:v>
                </c:pt>
                <c:pt idx="272">
                  <c:v>7.4577499999999999E-6</c:v>
                </c:pt>
                <c:pt idx="273">
                  <c:v>7.1594399999999998E-6</c:v>
                </c:pt>
                <c:pt idx="274">
                  <c:v>6.8730600000000001E-6</c:v>
                </c:pt>
                <c:pt idx="275">
                  <c:v>6.5981399999999998E-6</c:v>
                </c:pt>
                <c:pt idx="276">
                  <c:v>6.33422E-6</c:v>
                </c:pt>
                <c:pt idx="277">
                  <c:v>6.0808500000000004E-6</c:v>
                </c:pt>
                <c:pt idx="278">
                  <c:v>5.8376099999999997E-6</c:v>
                </c:pt>
                <c:pt idx="279">
                  <c:v>5.6041100000000001E-6</c:v>
                </c:pt>
                <c:pt idx="280">
                  <c:v>5.3799400000000002E-6</c:v>
                </c:pt>
                <c:pt idx="281">
                  <c:v>5.16475E-6</c:v>
                </c:pt>
                <c:pt idx="282">
                  <c:v>4.95816E-6</c:v>
                </c:pt>
                <c:pt idx="283">
                  <c:v>4.7598300000000001E-6</c:v>
                </c:pt>
                <c:pt idx="284">
                  <c:v>4.5694400000000001E-6</c:v>
                </c:pt>
                <c:pt idx="285">
                  <c:v>4.3866599999999996E-6</c:v>
                </c:pt>
                <c:pt idx="286">
                  <c:v>4.2111899999999997E-6</c:v>
                </c:pt>
                <c:pt idx="287">
                  <c:v>4.0427500000000004E-6</c:v>
                </c:pt>
                <c:pt idx="288">
                  <c:v>3.88104E-6</c:v>
                </c:pt>
                <c:pt idx="289">
                  <c:v>3.7257900000000001E-6</c:v>
                </c:pt>
                <c:pt idx="290">
                  <c:v>3.57676E-6</c:v>
                </c:pt>
                <c:pt idx="291">
                  <c:v>3.43369E-6</c:v>
                </c:pt>
                <c:pt idx="292">
                  <c:v>3.2963399999999999E-6</c:v>
                </c:pt>
                <c:pt idx="293">
                  <c:v>3.1644900000000001E-6</c:v>
                </c:pt>
                <c:pt idx="294">
                  <c:v>3.03791E-6</c:v>
                </c:pt>
                <c:pt idx="295">
                  <c:v>2.9163899999999999E-6</c:v>
                </c:pt>
                <c:pt idx="296">
                  <c:v>2.7997399999999999E-6</c:v>
                </c:pt>
                <c:pt idx="297">
                  <c:v>2.6877499999999998E-6</c:v>
                </c:pt>
                <c:pt idx="298">
                  <c:v>2.5802400000000001E-6</c:v>
                </c:pt>
                <c:pt idx="299">
                  <c:v>2.4770300000000002E-6</c:v>
                </c:pt>
                <c:pt idx="300">
                  <c:v>2.3779499999999998E-6</c:v>
                </c:pt>
                <c:pt idx="301">
                  <c:v>2.28283E-6</c:v>
                </c:pt>
                <c:pt idx="302">
                  <c:v>2.1915199999999998E-6</c:v>
                </c:pt>
                <c:pt idx="303">
                  <c:v>2.10386E-6</c:v>
                </c:pt>
                <c:pt idx="304">
                  <c:v>2.0196999999999999E-6</c:v>
                </c:pt>
                <c:pt idx="305">
                  <c:v>1.93891E-6</c:v>
                </c:pt>
                <c:pt idx="306">
                  <c:v>1.86136E-6</c:v>
                </c:pt>
                <c:pt idx="307">
                  <c:v>1.7869E-6</c:v>
                </c:pt>
                <c:pt idx="308">
                  <c:v>1.7154299999999999E-6</c:v>
                </c:pt>
                <c:pt idx="309">
                  <c:v>1.6468099999999999E-6</c:v>
                </c:pt>
                <c:pt idx="310">
                  <c:v>1.58094E-6</c:v>
                </c:pt>
                <c:pt idx="311">
                  <c:v>1.5177000000000001E-6</c:v>
                </c:pt>
                <c:pt idx="312">
                  <c:v>1.4569899999999999E-6</c:v>
                </c:pt>
                <c:pt idx="313">
                  <c:v>1.3987099999999999E-6</c:v>
                </c:pt>
                <c:pt idx="314">
                  <c:v>1.34276E-6</c:v>
                </c:pt>
                <c:pt idx="315">
                  <c:v>1.28905E-6</c:v>
                </c:pt>
                <c:pt idx="316">
                  <c:v>1.2374899999999999E-6</c:v>
                </c:pt>
                <c:pt idx="317">
                  <c:v>1.18799E-6</c:v>
                </c:pt>
                <c:pt idx="318">
                  <c:v>1.1404699999999999E-6</c:v>
                </c:pt>
                <c:pt idx="319">
                  <c:v>1.09485E-6</c:v>
                </c:pt>
                <c:pt idx="320">
                  <c:v>1.0510599999999999E-6</c:v>
                </c:pt>
                <c:pt idx="321">
                  <c:v>1.0090199999999999E-6</c:v>
                </c:pt>
                <c:pt idx="322">
                  <c:v>9.6865599999999999E-7</c:v>
                </c:pt>
                <c:pt idx="323">
                  <c:v>9.2991000000000005E-7</c:v>
                </c:pt>
                <c:pt idx="324">
                  <c:v>8.9271299999999998E-7</c:v>
                </c:pt>
                <c:pt idx="325">
                  <c:v>8.5700500000000004E-7</c:v>
                </c:pt>
                <c:pt idx="326">
                  <c:v>8.2272500000000003E-7</c:v>
                </c:pt>
                <c:pt idx="327">
                  <c:v>7.8981599999999996E-7</c:v>
                </c:pt>
                <c:pt idx="328">
                  <c:v>7.58223E-7</c:v>
                </c:pt>
                <c:pt idx="329">
                  <c:v>7.2789399999999999E-7</c:v>
                </c:pt>
                <c:pt idx="330">
                  <c:v>6.9877800000000001E-7</c:v>
                </c:pt>
                <c:pt idx="331">
                  <c:v>6.70827E-7</c:v>
                </c:pt>
                <c:pt idx="332">
                  <c:v>6.4399400000000004E-7</c:v>
                </c:pt>
                <c:pt idx="333">
                  <c:v>6.1823399999999995E-7</c:v>
                </c:pt>
                <c:pt idx="334">
                  <c:v>5.9350500000000005E-7</c:v>
                </c:pt>
                <c:pt idx="335">
                  <c:v>5.6976500000000002E-7</c:v>
                </c:pt>
                <c:pt idx="336">
                  <c:v>5.4697400000000004E-7</c:v>
                </c:pt>
                <c:pt idx="337">
                  <c:v>5.2509500000000003E-7</c:v>
                </c:pt>
                <c:pt idx="338">
                  <c:v>5.0409100000000004E-7</c:v>
                </c:pt>
                <c:pt idx="339">
                  <c:v>4.8392799999999996E-7</c:v>
                </c:pt>
                <c:pt idx="340">
                  <c:v>4.6457100000000001E-7</c:v>
                </c:pt>
                <c:pt idx="341">
                  <c:v>4.4598799999999998E-7</c:v>
                </c:pt>
                <c:pt idx="342">
                  <c:v>4.2814799999999998E-7</c:v>
                </c:pt>
                <c:pt idx="343">
                  <c:v>4.1102199999999999E-7</c:v>
                </c:pt>
                <c:pt idx="344">
                  <c:v>3.9458199999999998E-7</c:v>
                </c:pt>
                <c:pt idx="345">
                  <c:v>3.7879799999999998E-7</c:v>
                </c:pt>
                <c:pt idx="346">
                  <c:v>3.63646E-7</c:v>
                </c:pt>
                <c:pt idx="347">
                  <c:v>3.4910000000000002E-7</c:v>
                </c:pt>
                <c:pt idx="348">
                  <c:v>3.3513600000000002E-7</c:v>
                </c:pt>
                <c:pt idx="349">
                  <c:v>3.2173099999999998E-7</c:v>
                </c:pt>
                <c:pt idx="350">
                  <c:v>3.0886199999999998E-7</c:v>
                </c:pt>
                <c:pt idx="351">
                  <c:v>2.9650700000000002E-7</c:v>
                </c:pt>
                <c:pt idx="352">
                  <c:v>2.8464700000000002E-7</c:v>
                </c:pt>
                <c:pt idx="353">
                  <c:v>2.7326099999999997E-7</c:v>
                </c:pt>
                <c:pt idx="354">
                  <c:v>2.6233100000000002E-7</c:v>
                </c:pt>
                <c:pt idx="355">
                  <c:v>2.5183699999999998E-7</c:v>
                </c:pt>
                <c:pt idx="356">
                  <c:v>2.4176400000000002E-7</c:v>
                </c:pt>
                <c:pt idx="357">
                  <c:v>2.3209300000000001E-7</c:v>
                </c:pt>
                <c:pt idx="358">
                  <c:v>2.2280999999999999E-7</c:v>
                </c:pt>
                <c:pt idx="359">
                  <c:v>2.13897E-7</c:v>
                </c:pt>
                <c:pt idx="360">
                  <c:v>2.0534100000000001E-7</c:v>
                </c:pt>
                <c:pt idx="361">
                  <c:v>1.9712799999999999E-7</c:v>
                </c:pt>
                <c:pt idx="362">
                  <c:v>1.89243E-7</c:v>
                </c:pt>
                <c:pt idx="363">
                  <c:v>1.8167299999999999E-7</c:v>
                </c:pt>
                <c:pt idx="364">
                  <c:v>1.7440600000000001E-7</c:v>
                </c:pt>
                <c:pt idx="365">
                  <c:v>1.6743000000000001E-7</c:v>
                </c:pt>
                <c:pt idx="366">
                  <c:v>1.6073299999999999E-7</c:v>
                </c:pt>
                <c:pt idx="367">
                  <c:v>1.54303E-7</c:v>
                </c:pt>
                <c:pt idx="368">
                  <c:v>1.4813099999999999E-7</c:v>
                </c:pt>
                <c:pt idx="369">
                  <c:v>1.42206E-7</c:v>
                </c:pt>
                <c:pt idx="370">
                  <c:v>1.3651800000000001E-7</c:v>
                </c:pt>
                <c:pt idx="371">
                  <c:v>1.3105700000000001E-7</c:v>
                </c:pt>
                <c:pt idx="372">
                  <c:v>1.2581499999999999E-7</c:v>
                </c:pt>
                <c:pt idx="373">
                  <c:v>1.20782E-7</c:v>
                </c:pt>
                <c:pt idx="374">
                  <c:v>1.15951E-7</c:v>
                </c:pt>
                <c:pt idx="375">
                  <c:v>1.11313E-7</c:v>
                </c:pt>
                <c:pt idx="376">
                  <c:v>1.0686000000000001E-7</c:v>
                </c:pt>
                <c:pt idx="377">
                  <c:v>1.02586E-7</c:v>
                </c:pt>
                <c:pt idx="378">
                  <c:v>9.8482400000000003E-8</c:v>
                </c:pt>
                <c:pt idx="379">
                  <c:v>9.4543099999999994E-8</c:v>
                </c:pt>
                <c:pt idx="380">
                  <c:v>9.0761399999999996E-8</c:v>
                </c:pt>
                <c:pt idx="381">
                  <c:v>8.7130899999999996E-8</c:v>
                </c:pt>
                <c:pt idx="382">
                  <c:v>8.3645700000000004E-8</c:v>
                </c:pt>
                <c:pt idx="383">
                  <c:v>8.0299900000000006E-8</c:v>
                </c:pt>
                <c:pt idx="384">
                  <c:v>7.7087900000000003E-8</c:v>
                </c:pt>
                <c:pt idx="385">
                  <c:v>7.4004400000000001E-8</c:v>
                </c:pt>
                <c:pt idx="386">
                  <c:v>7.1044199999999995E-8</c:v>
                </c:pt>
                <c:pt idx="387">
                  <c:v>6.8202399999999999E-8</c:v>
                </c:pt>
                <c:pt idx="388">
                  <c:v>6.5474299999999998E-8</c:v>
                </c:pt>
                <c:pt idx="389">
                  <c:v>6.2855300000000006E-8</c:v>
                </c:pt>
                <c:pt idx="390">
                  <c:v>6.0341100000000003E-8</c:v>
                </c:pt>
                <c:pt idx="391">
                  <c:v>5.79275E-8</c:v>
                </c:pt>
                <c:pt idx="392">
                  <c:v>5.5610400000000001E-8</c:v>
                </c:pt>
                <c:pt idx="393">
                  <c:v>5.3385999999999999E-8</c:v>
                </c:pt>
                <c:pt idx="394">
                  <c:v>5.12505E-8</c:v>
                </c:pt>
                <c:pt idx="395">
                  <c:v>4.9200499999999998E-8</c:v>
                </c:pt>
                <c:pt idx="396">
                  <c:v>4.7232500000000003E-8</c:v>
                </c:pt>
                <c:pt idx="397">
                  <c:v>4.5343200000000002E-8</c:v>
                </c:pt>
                <c:pt idx="398">
                  <c:v>4.3529499999999999E-8</c:v>
                </c:pt>
                <c:pt idx="399">
                  <c:v>4.17883E-8</c:v>
                </c:pt>
                <c:pt idx="400">
                  <c:v>4.0116799999999997E-8</c:v>
                </c:pt>
                <c:pt idx="401">
                  <c:v>3.85121E-8</c:v>
                </c:pt>
                <c:pt idx="402">
                  <c:v>3.69716E-8</c:v>
                </c:pt>
                <c:pt idx="403">
                  <c:v>3.5492700000000003E-8</c:v>
                </c:pt>
                <c:pt idx="404">
                  <c:v>3.4072999999999997E-8</c:v>
                </c:pt>
                <c:pt idx="405">
                  <c:v>3.2710099999999999E-8</c:v>
                </c:pt>
                <c:pt idx="406">
                  <c:v>3.1401700000000003E-8</c:v>
                </c:pt>
                <c:pt idx="407">
                  <c:v>3.0145600000000002E-8</c:v>
                </c:pt>
                <c:pt idx="408">
                  <c:v>2.8939799999999999E-8</c:v>
                </c:pt>
                <c:pt idx="409">
                  <c:v>2.7782200000000001E-8</c:v>
                </c:pt>
                <c:pt idx="410">
                  <c:v>2.6670899999999999E-8</c:v>
                </c:pt>
                <c:pt idx="411">
                  <c:v>2.5604100000000001E-8</c:v>
                </c:pt>
                <c:pt idx="412">
                  <c:v>2.45799E-8</c:v>
                </c:pt>
                <c:pt idx="413">
                  <c:v>2.35967E-8</c:v>
                </c:pt>
                <c:pt idx="414">
                  <c:v>2.2652899999999999E-8</c:v>
                </c:pt>
                <c:pt idx="415">
                  <c:v>2.17467E-8</c:v>
                </c:pt>
                <c:pt idx="416">
                  <c:v>2.08769E-8</c:v>
                </c:pt>
                <c:pt idx="417">
                  <c:v>2.0041800000000001E-8</c:v>
                </c:pt>
                <c:pt idx="418">
                  <c:v>1.9240100000000001E-8</c:v>
                </c:pt>
                <c:pt idx="419">
                  <c:v>1.84705E-8</c:v>
                </c:pt>
                <c:pt idx="420">
                  <c:v>1.77317E-8</c:v>
                </c:pt>
                <c:pt idx="421">
                  <c:v>1.70224E-8</c:v>
                </c:pt>
                <c:pt idx="422">
                  <c:v>1.6341500000000001E-8</c:v>
                </c:pt>
                <c:pt idx="423">
                  <c:v>1.5687899999999999E-8</c:v>
                </c:pt>
                <c:pt idx="424">
                  <c:v>1.5060399999999999E-8</c:v>
                </c:pt>
                <c:pt idx="425">
                  <c:v>1.4457900000000001E-8</c:v>
                </c:pt>
                <c:pt idx="426">
                  <c:v>1.3879600000000001E-8</c:v>
                </c:pt>
                <c:pt idx="427">
                  <c:v>1.3324399999999999E-8</c:v>
                </c:pt>
                <c:pt idx="428">
                  <c:v>1.2791500000000001E-8</c:v>
                </c:pt>
                <c:pt idx="429">
                  <c:v>1.2279800000000001E-8</c:v>
                </c:pt>
                <c:pt idx="430">
                  <c:v>1.17886E-8</c:v>
                </c:pt>
                <c:pt idx="431">
                  <c:v>1.13171E-8</c:v>
                </c:pt>
                <c:pt idx="432">
                  <c:v>1.0864400000000001E-8</c:v>
                </c:pt>
                <c:pt idx="433">
                  <c:v>1.0429800000000001E-8</c:v>
                </c:pt>
                <c:pt idx="434">
                  <c:v>1.00126E-8</c:v>
                </c:pt>
                <c:pt idx="435">
                  <c:v>9.6121100000000006E-9</c:v>
                </c:pt>
                <c:pt idx="436">
                  <c:v>9.2276299999999995E-9</c:v>
                </c:pt>
                <c:pt idx="437">
                  <c:v>8.8585199999999993E-9</c:v>
                </c:pt>
                <c:pt idx="438">
                  <c:v>8.5041800000000007E-9</c:v>
                </c:pt>
                <c:pt idx="439">
                  <c:v>8.1640199999999993E-9</c:v>
                </c:pt>
                <c:pt idx="440">
                  <c:v>7.8374600000000004E-9</c:v>
                </c:pt>
                <c:pt idx="441">
                  <c:v>7.5239600000000006E-9</c:v>
                </c:pt>
                <c:pt idx="442">
                  <c:v>7.2230000000000004E-9</c:v>
                </c:pt>
                <c:pt idx="443">
                  <c:v>6.9340800000000001E-9</c:v>
                </c:pt>
                <c:pt idx="444">
                  <c:v>6.6567199999999997E-9</c:v>
                </c:pt>
                <c:pt idx="445">
                  <c:v>6.39045E-9</c:v>
                </c:pt>
                <c:pt idx="446">
                  <c:v>6.1348300000000004E-9</c:v>
                </c:pt>
                <c:pt idx="447">
                  <c:v>5.8894400000000003E-9</c:v>
                </c:pt>
                <c:pt idx="448">
                  <c:v>5.6538599999999997E-9</c:v>
                </c:pt>
                <c:pt idx="449">
                  <c:v>5.4277000000000002E-9</c:v>
                </c:pt>
                <c:pt idx="450">
                  <c:v>5.2106000000000002E-9</c:v>
                </c:pt>
                <c:pt idx="451">
                  <c:v>5.0021700000000003E-9</c:v>
                </c:pt>
                <c:pt idx="452">
                  <c:v>4.8020900000000003E-9</c:v>
                </c:pt>
                <c:pt idx="453">
                  <c:v>4.6099999999999996E-9</c:v>
                </c:pt>
                <c:pt idx="454">
                  <c:v>4.4256000000000001E-9</c:v>
                </c:pt>
                <c:pt idx="455">
                  <c:v>4.2485799999999998E-9</c:v>
                </c:pt>
                <c:pt idx="456">
                  <c:v>4.07863E-9</c:v>
                </c:pt>
                <c:pt idx="457">
                  <c:v>3.9154899999999997E-9</c:v>
                </c:pt>
                <c:pt idx="458">
                  <c:v>3.7588699999999999E-9</c:v>
                </c:pt>
                <c:pt idx="459">
                  <c:v>3.6085199999999999E-9</c:v>
                </c:pt>
                <c:pt idx="460">
                  <c:v>3.46417E-9</c:v>
                </c:pt>
                <c:pt idx="461">
                  <c:v>3.3256100000000001E-9</c:v>
                </c:pt>
                <c:pt idx="462">
                  <c:v>3.1925800000000002E-9</c:v>
                </c:pt>
                <c:pt idx="463">
                  <c:v>3.0648799999999999E-9</c:v>
                </c:pt>
                <c:pt idx="464">
                  <c:v>2.9422799999999999E-9</c:v>
                </c:pt>
                <c:pt idx="465">
                  <c:v>2.8245900000000001E-9</c:v>
                </c:pt>
                <c:pt idx="466">
                  <c:v>2.7116099999999999E-9</c:v>
                </c:pt>
                <c:pt idx="467">
                  <c:v>2.6031500000000001E-9</c:v>
                </c:pt>
                <c:pt idx="468">
                  <c:v>2.4990199999999999E-9</c:v>
                </c:pt>
                <c:pt idx="469">
                  <c:v>2.3990600000000002E-9</c:v>
                </c:pt>
                <c:pt idx="470">
                  <c:v>2.3031E-9</c:v>
                </c:pt>
                <c:pt idx="471">
                  <c:v>2.2109699999999999E-9</c:v>
                </c:pt>
                <c:pt idx="472">
                  <c:v>2.1225300000000001E-9</c:v>
                </c:pt>
                <c:pt idx="473">
                  <c:v>2.0376300000000001E-9</c:v>
                </c:pt>
                <c:pt idx="474">
                  <c:v>1.9561299999999999E-9</c:v>
                </c:pt>
                <c:pt idx="475">
                  <c:v>1.8778800000000001E-9</c:v>
                </c:pt>
                <c:pt idx="476">
                  <c:v>1.80277E-9</c:v>
                </c:pt>
                <c:pt idx="477">
                  <c:v>1.7306600000000001E-9</c:v>
                </c:pt>
                <c:pt idx="478">
                  <c:v>1.6614299999999999E-9</c:v>
                </c:pt>
                <c:pt idx="479">
                  <c:v>1.5949699999999999E-9</c:v>
                </c:pt>
                <c:pt idx="480">
                  <c:v>1.53117E-9</c:v>
                </c:pt>
                <c:pt idx="481">
                  <c:v>1.4699299999999999E-9</c:v>
                </c:pt>
                <c:pt idx="482">
                  <c:v>1.4111300000000001E-9</c:v>
                </c:pt>
                <c:pt idx="483">
                  <c:v>1.3546799999999999E-9</c:v>
                </c:pt>
                <c:pt idx="484">
                  <c:v>1.3005E-9</c:v>
                </c:pt>
                <c:pt idx="485">
                  <c:v>1.24848E-9</c:v>
                </c:pt>
                <c:pt idx="486">
                  <c:v>1.1985400000000001E-9</c:v>
                </c:pt>
                <c:pt idx="487">
                  <c:v>1.1505999999999999E-9</c:v>
                </c:pt>
                <c:pt idx="488">
                  <c:v>1.10457E-9</c:v>
                </c:pt>
                <c:pt idx="489">
                  <c:v>1.0603900000000001E-9</c:v>
                </c:pt>
                <c:pt idx="490">
                  <c:v>1.0179699999999999E-9</c:v>
                </c:pt>
                <c:pt idx="491">
                  <c:v>9.7725500000000005E-10</c:v>
                </c:pt>
                <c:pt idx="492">
                  <c:v>9.3816499999999993E-10</c:v>
                </c:pt>
                <c:pt idx="493">
                  <c:v>9.0063799999999999E-10</c:v>
                </c:pt>
                <c:pt idx="494">
                  <c:v>8.64613E-10</c:v>
                </c:pt>
                <c:pt idx="495">
                  <c:v>8.3002799999999996E-10</c:v>
                </c:pt>
                <c:pt idx="496">
                  <c:v>7.96827E-10</c:v>
                </c:pt>
                <c:pt idx="497">
                  <c:v>7.6495399999999996E-10</c:v>
                </c:pt>
                <c:pt idx="498">
                  <c:v>7.34356E-10</c:v>
                </c:pt>
                <c:pt idx="499">
                  <c:v>7.04982E-10</c:v>
                </c:pt>
                <c:pt idx="500">
                  <c:v>6.7678200000000003E-10</c:v>
                </c:pt>
                <c:pt idx="501">
                  <c:v>6.4971100000000003E-10</c:v>
                </c:pt>
                <c:pt idx="502">
                  <c:v>6.2372300000000002E-10</c:v>
                </c:pt>
                <c:pt idx="503">
                  <c:v>5.9877400000000003E-10</c:v>
                </c:pt>
                <c:pt idx="504">
                  <c:v>5.7482300000000001E-10</c:v>
                </c:pt>
                <c:pt idx="505">
                  <c:v>5.5183000000000005E-10</c:v>
                </c:pt>
                <c:pt idx="506">
                  <c:v>5.2975700000000001E-10</c:v>
                </c:pt>
                <c:pt idx="507">
                  <c:v>5.08566E-10</c:v>
                </c:pt>
                <c:pt idx="508">
                  <c:v>4.8822400000000003E-10</c:v>
                </c:pt>
                <c:pt idx="509">
                  <c:v>4.68695E-10</c:v>
                </c:pt>
                <c:pt idx="510">
                  <c:v>4.4994700000000001E-10</c:v>
                </c:pt>
                <c:pt idx="511">
                  <c:v>4.3194899999999998E-10</c:v>
                </c:pt>
                <c:pt idx="512">
                  <c:v>4.1467099999999998E-10</c:v>
                </c:pt>
                <c:pt idx="513">
                  <c:v>3.9808400000000002E-10</c:v>
                </c:pt>
                <c:pt idx="514">
                  <c:v>3.8216100000000001E-10</c:v>
                </c:pt>
                <c:pt idx="515">
                  <c:v>3.6687499999999999E-10</c:v>
                </c:pt>
                <c:pt idx="516">
                  <c:v>3.5219999999999998E-10</c:v>
                </c:pt>
                <c:pt idx="517">
                  <c:v>3.38112E-10</c:v>
                </c:pt>
                <c:pt idx="518">
                  <c:v>3.2458699999999999E-10</c:v>
                </c:pt>
                <c:pt idx="519">
                  <c:v>3.1160400000000002E-10</c:v>
                </c:pt>
                <c:pt idx="520">
                  <c:v>2.99139E-10</c:v>
                </c:pt>
                <c:pt idx="521">
                  <c:v>2.8717399999999998E-10</c:v>
                </c:pt>
                <c:pt idx="522">
                  <c:v>2.7568699999999998E-10</c:v>
                </c:pt>
                <c:pt idx="523">
                  <c:v>2.6465899999999999E-10</c:v>
                </c:pt>
                <c:pt idx="524">
                  <c:v>2.5407300000000001E-10</c:v>
                </c:pt>
                <c:pt idx="525">
                  <c:v>2.4390999999999999E-10</c:v>
                </c:pt>
                <c:pt idx="526">
                  <c:v>2.34154E-10</c:v>
                </c:pt>
                <c:pt idx="527">
                  <c:v>2.2478799999999999E-10</c:v>
                </c:pt>
                <c:pt idx="528">
                  <c:v>2.1579600000000001E-10</c:v>
                </c:pt>
                <c:pt idx="529">
                  <c:v>2.0716399999999999E-10</c:v>
                </c:pt>
                <c:pt idx="530">
                  <c:v>1.98878E-10</c:v>
                </c:pt>
                <c:pt idx="531">
                  <c:v>1.90923E-10</c:v>
                </c:pt>
                <c:pt idx="532">
                  <c:v>1.8328600000000001E-10</c:v>
                </c:pt>
                <c:pt idx="533">
                  <c:v>1.7595400000000001E-10</c:v>
                </c:pt>
                <c:pt idx="534">
                  <c:v>1.6891599999999999E-10</c:v>
                </c:pt>
                <c:pt idx="535">
                  <c:v>1.62159E-10</c:v>
                </c:pt>
                <c:pt idx="536">
                  <c:v>1.5567299999999999E-10</c:v>
                </c:pt>
                <c:pt idx="537">
                  <c:v>1.49446E-10</c:v>
                </c:pt>
                <c:pt idx="538">
                  <c:v>1.4346800000000001E-10</c:v>
                </c:pt>
                <c:pt idx="539">
                  <c:v>1.3773E-10</c:v>
                </c:pt>
                <c:pt idx="540">
                  <c:v>1.3222000000000001E-10</c:v>
                </c:pt>
                <c:pt idx="541">
                  <c:v>1.2693200000000001E-10</c:v>
                </c:pt>
                <c:pt idx="542">
                  <c:v>1.2185400000000001E-10</c:v>
                </c:pt>
                <c:pt idx="543">
                  <c:v>1.1697999999999999E-10</c:v>
                </c:pt>
                <c:pt idx="544">
                  <c:v>1.12301E-10</c:v>
                </c:pt>
                <c:pt idx="545">
                  <c:v>1.07809E-10</c:v>
                </c:pt>
                <c:pt idx="546">
                  <c:v>1.03497E-10</c:v>
                </c:pt>
                <c:pt idx="547">
                  <c:v>9.9356700000000001E-11</c:v>
                </c:pt>
                <c:pt idx="548">
                  <c:v>9.53824E-11</c:v>
                </c:pt>
                <c:pt idx="549">
                  <c:v>9.1567100000000006E-11</c:v>
                </c:pt>
                <c:pt idx="550">
                  <c:v>8.7904399999999995E-11</c:v>
                </c:pt>
                <c:pt idx="551">
                  <c:v>8.43882E-11</c:v>
                </c:pt>
                <c:pt idx="552">
                  <c:v>8.1012699999999995E-11</c:v>
                </c:pt>
                <c:pt idx="553">
                  <c:v>7.7772199999999997E-11</c:v>
                </c:pt>
                <c:pt idx="554">
                  <c:v>7.4661300000000005E-11</c:v>
                </c:pt>
                <c:pt idx="555">
                  <c:v>7.1674899999999995E-11</c:v>
                </c:pt>
                <c:pt idx="556">
                  <c:v>6.8807899999999996E-11</c:v>
                </c:pt>
                <c:pt idx="557">
                  <c:v>6.6055599999999996E-11</c:v>
                </c:pt>
                <c:pt idx="558">
                  <c:v>6.3413299999999996E-11</c:v>
                </c:pt>
                <c:pt idx="559">
                  <c:v>6.0876800000000002E-11</c:v>
                </c:pt>
                <c:pt idx="560">
                  <c:v>5.8441700000000006E-11</c:v>
                </c:pt>
                <c:pt idx="561">
                  <c:v>5.61041E-11</c:v>
                </c:pt>
                <c:pt idx="562">
                  <c:v>5.3859900000000002E-11</c:v>
                </c:pt>
                <c:pt idx="563">
                  <c:v>5.1705500000000002E-11</c:v>
                </c:pt>
                <c:pt idx="564">
                  <c:v>4.9637300000000001E-11</c:v>
                </c:pt>
                <c:pt idx="565">
                  <c:v>4.7651799999999997E-11</c:v>
                </c:pt>
                <c:pt idx="566">
                  <c:v>4.5745700000000003E-11</c:v>
                </c:pt>
                <c:pt idx="567">
                  <c:v>4.39159E-11</c:v>
                </c:pt>
                <c:pt idx="568">
                  <c:v>4.2159300000000003E-11</c:v>
                </c:pt>
                <c:pt idx="569">
                  <c:v>4.0472899999999997E-11</c:v>
                </c:pt>
                <c:pt idx="570">
                  <c:v>3.8854000000000002E-11</c:v>
                </c:pt>
                <c:pt idx="571">
                  <c:v>3.7299799999999997E-11</c:v>
                </c:pt>
                <c:pt idx="572">
                  <c:v>3.58078E-11</c:v>
                </c:pt>
                <c:pt idx="573">
                  <c:v>3.4375500000000002E-11</c:v>
                </c:pt>
                <c:pt idx="574">
                  <c:v>3.30005E-11</c:v>
                </c:pt>
                <c:pt idx="575">
                  <c:v>3.1680499999999999E-11</c:v>
                </c:pt>
                <c:pt idx="576">
                  <c:v>3.0413200000000001E-11</c:v>
                </c:pt>
                <c:pt idx="577">
                  <c:v>2.9196700000000001E-11</c:v>
                </c:pt>
                <c:pt idx="578">
                  <c:v>2.8028800000000001E-11</c:v>
                </c:pt>
                <c:pt idx="579">
                  <c:v>2.6907700000000001E-11</c:v>
                </c:pt>
                <c:pt idx="580">
                  <c:v>2.58314E-11</c:v>
                </c:pt>
                <c:pt idx="581">
                  <c:v>2.47981E-11</c:v>
                </c:pt>
                <c:pt idx="582">
                  <c:v>2.38062E-11</c:v>
                </c:pt>
                <c:pt idx="583">
                  <c:v>2.2853999999999999E-11</c:v>
                </c:pt>
                <c:pt idx="584">
                  <c:v>2.1939800000000001E-11</c:v>
                </c:pt>
                <c:pt idx="585">
                  <c:v>2.10622E-11</c:v>
                </c:pt>
                <c:pt idx="586">
                  <c:v>2.02197E-11</c:v>
                </c:pt>
                <c:pt idx="587">
                  <c:v>1.94109E-11</c:v>
                </c:pt>
                <c:pt idx="588">
                  <c:v>1.8634500000000001E-11</c:v>
                </c:pt>
                <c:pt idx="589">
                  <c:v>1.78891E-11</c:v>
                </c:pt>
                <c:pt idx="590">
                  <c:v>1.7173500000000001E-11</c:v>
                </c:pt>
                <c:pt idx="591">
                  <c:v>1.6486600000000001E-11</c:v>
                </c:pt>
                <c:pt idx="592">
                  <c:v>1.5827100000000001E-11</c:v>
                </c:pt>
                <c:pt idx="593">
                  <c:v>1.51941E-11</c:v>
                </c:pt>
                <c:pt idx="594">
                  <c:v>1.4586300000000001E-11</c:v>
                </c:pt>
                <c:pt idx="595">
                  <c:v>1.4002799999999999E-11</c:v>
                </c:pt>
                <c:pt idx="596">
                  <c:v>1.34427E-11</c:v>
                </c:pt>
                <c:pt idx="597">
                  <c:v>1.2905E-11</c:v>
                </c:pt>
                <c:pt idx="598">
                  <c:v>1.2388800000000001E-11</c:v>
                </c:pt>
                <c:pt idx="599">
                  <c:v>1.1893300000000001E-11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13-420A-8028-DF6AE7696BB2}"/>
            </c:ext>
          </c:extLst>
        </c:ser>
        <c:ser>
          <c:idx val="2"/>
          <c:order val="2"/>
          <c:tx>
            <c:strRef>
              <c:f>CAPITALIST!$D$3</c:f>
              <c:strCache>
                <c:ptCount val="1"/>
                <c:pt idx="0">
                  <c:v>Sum of budget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CAPITALIST!$A$4:$A$604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CAPITALIST!$D$4:$D$604</c:f>
              <c:numCache>
                <c:formatCode>General</c:formatCode>
                <c:ptCount val="600"/>
                <c:pt idx="0">
                  <c:v>0.15</c:v>
                </c:pt>
                <c:pt idx="1">
                  <c:v>0.146532</c:v>
                </c:pt>
                <c:pt idx="2">
                  <c:v>0.16225000000000001</c:v>
                </c:pt>
                <c:pt idx="3">
                  <c:v>0.15174599999999999</c:v>
                </c:pt>
                <c:pt idx="4">
                  <c:v>0.14186399999999999</c:v>
                </c:pt>
                <c:pt idx="5">
                  <c:v>0</c:v>
                </c:pt>
                <c:pt idx="6">
                  <c:v>0.13057099999999999</c:v>
                </c:pt>
                <c:pt idx="7">
                  <c:v>0.12205100000000001</c:v>
                </c:pt>
                <c:pt idx="8">
                  <c:v>0.114038</c:v>
                </c:pt>
                <c:pt idx="9">
                  <c:v>0.19312499999999999</c:v>
                </c:pt>
                <c:pt idx="10">
                  <c:v>0.180226</c:v>
                </c:pt>
                <c:pt idx="11">
                  <c:v>0</c:v>
                </c:pt>
                <c:pt idx="12">
                  <c:v>0.164968</c:v>
                </c:pt>
                <c:pt idx="13">
                  <c:v>0.153783</c:v>
                </c:pt>
                <c:pt idx="14">
                  <c:v>0</c:v>
                </c:pt>
                <c:pt idx="15">
                  <c:v>0.140569</c:v>
                </c:pt>
                <c:pt idx="16">
                  <c:v>0.130943</c:v>
                </c:pt>
                <c:pt idx="17">
                  <c:v>0.121903</c:v>
                </c:pt>
                <c:pt idx="18">
                  <c:v>0.113415</c:v>
                </c:pt>
                <c:pt idx="19">
                  <c:v>0.15003900000000001</c:v>
                </c:pt>
                <c:pt idx="20">
                  <c:v>0.139658</c:v>
                </c:pt>
                <c:pt idx="21">
                  <c:v>0.12983800000000001</c:v>
                </c:pt>
                <c:pt idx="22">
                  <c:v>0.12059300000000001</c:v>
                </c:pt>
                <c:pt idx="23">
                  <c:v>0.111955</c:v>
                </c:pt>
                <c:pt idx="24">
                  <c:v>0.103898</c:v>
                </c:pt>
                <c:pt idx="25">
                  <c:v>9.6310199999999999E-2</c:v>
                </c:pt>
                <c:pt idx="26">
                  <c:v>8.9339199999999994E-2</c:v>
                </c:pt>
                <c:pt idx="27">
                  <c:v>8.2592899999999997E-2</c:v>
                </c:pt>
                <c:pt idx="28">
                  <c:v>7.6477000000000003E-2</c:v>
                </c:pt>
                <c:pt idx="29">
                  <c:v>7.0548899999999998E-2</c:v>
                </c:pt>
                <c:pt idx="30">
                  <c:v>6.5106700000000003E-2</c:v>
                </c:pt>
                <c:pt idx="31">
                  <c:v>6.0185799999999998E-2</c:v>
                </c:pt>
                <c:pt idx="32">
                  <c:v>8.2086900000000004E-2</c:v>
                </c:pt>
                <c:pt idx="33">
                  <c:v>7.5712699999999994E-2</c:v>
                </c:pt>
                <c:pt idx="34">
                  <c:v>6.9832699999999998E-2</c:v>
                </c:pt>
                <c:pt idx="35">
                  <c:v>6.4658199999999999E-2</c:v>
                </c:pt>
                <c:pt idx="36">
                  <c:v>0</c:v>
                </c:pt>
                <c:pt idx="37">
                  <c:v>5.7472200000000001E-2</c:v>
                </c:pt>
                <c:pt idx="38">
                  <c:v>5.2913799999999997E-2</c:v>
                </c:pt>
                <c:pt idx="39">
                  <c:v>9.7566200000000006E-2</c:v>
                </c:pt>
                <c:pt idx="40">
                  <c:v>9.0099200000000004E-2</c:v>
                </c:pt>
                <c:pt idx="41">
                  <c:v>8.3492899999999995E-2</c:v>
                </c:pt>
                <c:pt idx="42">
                  <c:v>7.7459500000000001E-2</c:v>
                </c:pt>
                <c:pt idx="43">
                  <c:v>7.1746900000000002E-2</c:v>
                </c:pt>
                <c:pt idx="44">
                  <c:v>6.63464E-2</c:v>
                </c:pt>
                <c:pt idx="45">
                  <c:v>6.1949999999999998E-2</c:v>
                </c:pt>
                <c:pt idx="46">
                  <c:v>5.7645799999999997E-2</c:v>
                </c:pt>
                <c:pt idx="47">
                  <c:v>0</c:v>
                </c:pt>
                <c:pt idx="48">
                  <c:v>5.11864E-2</c:v>
                </c:pt>
                <c:pt idx="49">
                  <c:v>4.48181E-2</c:v>
                </c:pt>
                <c:pt idx="50">
                  <c:v>8.5028699999999999E-2</c:v>
                </c:pt>
                <c:pt idx="51">
                  <c:v>7.91655E-2</c:v>
                </c:pt>
                <c:pt idx="52">
                  <c:v>7.3027499999999995E-2</c:v>
                </c:pt>
                <c:pt idx="53">
                  <c:v>6.7867200000000003E-2</c:v>
                </c:pt>
                <c:pt idx="54">
                  <c:v>6.2935900000000003E-2</c:v>
                </c:pt>
                <c:pt idx="55">
                  <c:v>5.7656499999999999E-2</c:v>
                </c:pt>
                <c:pt idx="56">
                  <c:v>5.27264E-2</c:v>
                </c:pt>
                <c:pt idx="57">
                  <c:v>1.9107499999999999E-2</c:v>
                </c:pt>
                <c:pt idx="58">
                  <c:v>0</c:v>
                </c:pt>
                <c:pt idx="59">
                  <c:v>0</c:v>
                </c:pt>
                <c:pt idx="60">
                  <c:v>7.2414899999999997E-3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8.4332299999999999E-3</c:v>
                </c:pt>
                <c:pt idx="65">
                  <c:v>0</c:v>
                </c:pt>
                <c:pt idx="66">
                  <c:v>0</c:v>
                </c:pt>
                <c:pt idx="67">
                  <c:v>5.4109500000000001E-4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13-420A-8028-DF6AE769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630927"/>
        <c:axId val="683629007"/>
      </c:lineChart>
      <c:catAx>
        <c:axId val="68363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29007"/>
        <c:crosses val="autoZero"/>
        <c:auto val="1"/>
        <c:lblAlgn val="ctr"/>
        <c:lblOffset val="100"/>
        <c:noMultiLvlLbl val="0"/>
      </c:catAx>
      <c:valAx>
        <c:axId val="68362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3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[analyys.xlsx]MONEY!PivotTable1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MONEY!$B$3</c:f>
              <c:strCache>
                <c:ptCount val="1"/>
                <c:pt idx="0">
                  <c:v>Sum of M-D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MONEY!$A$4:$A$604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MONEY!$B$4:$B$604</c:f>
              <c:numCache>
                <c:formatCode>General</c:formatCode>
                <c:ptCount val="600"/>
                <c:pt idx="0">
                  <c:v>11999.999905824661</c:v>
                </c:pt>
                <c:pt idx="1">
                  <c:v>11999.999831438065</c:v>
                </c:pt>
                <c:pt idx="2">
                  <c:v>12000.000033259392</c:v>
                </c:pt>
                <c:pt idx="3">
                  <c:v>12000.003466267586</c:v>
                </c:pt>
                <c:pt idx="4">
                  <c:v>11999.999674115181</c:v>
                </c:pt>
                <c:pt idx="5">
                  <c:v>11999.996114415266</c:v>
                </c:pt>
                <c:pt idx="6">
                  <c:v>11999.997491399412</c:v>
                </c:pt>
                <c:pt idx="7">
                  <c:v>11999.999293049063</c:v>
                </c:pt>
                <c:pt idx="8">
                  <c:v>12000.003521084091</c:v>
                </c:pt>
                <c:pt idx="9">
                  <c:v>11999.997706869653</c:v>
                </c:pt>
                <c:pt idx="10">
                  <c:v>12000.003920538518</c:v>
                </c:pt>
                <c:pt idx="11">
                  <c:v>12000.001715042268</c:v>
                </c:pt>
                <c:pt idx="12">
                  <c:v>12000.00027993963</c:v>
                </c:pt>
                <c:pt idx="13">
                  <c:v>11999.999747812057</c:v>
                </c:pt>
                <c:pt idx="14">
                  <c:v>12000.000015269778</c:v>
                </c:pt>
                <c:pt idx="15">
                  <c:v>12000.001000329194</c:v>
                </c:pt>
                <c:pt idx="16">
                  <c:v>12000.002740654241</c:v>
                </c:pt>
                <c:pt idx="17">
                  <c:v>11999.995142036521</c:v>
                </c:pt>
                <c:pt idx="18">
                  <c:v>12000.003933209497</c:v>
                </c:pt>
                <c:pt idx="19">
                  <c:v>11999.998500985559</c:v>
                </c:pt>
                <c:pt idx="20">
                  <c:v>11999.995782504604</c:v>
                </c:pt>
                <c:pt idx="21">
                  <c:v>11999.996156907933</c:v>
                </c:pt>
                <c:pt idx="22">
                  <c:v>11999.996234642538</c:v>
                </c:pt>
                <c:pt idx="23">
                  <c:v>11999.998305357751</c:v>
                </c:pt>
                <c:pt idx="24">
                  <c:v>11999.997964886516</c:v>
                </c:pt>
                <c:pt idx="25">
                  <c:v>11999.999496930297</c:v>
                </c:pt>
                <c:pt idx="26">
                  <c:v>11999.995240558423</c:v>
                </c:pt>
                <c:pt idx="27">
                  <c:v>12000.00001405185</c:v>
                </c:pt>
                <c:pt idx="28">
                  <c:v>12000.000496236731</c:v>
                </c:pt>
                <c:pt idx="29">
                  <c:v>12000.000248530831</c:v>
                </c:pt>
                <c:pt idx="30">
                  <c:v>11999.997342339451</c:v>
                </c:pt>
                <c:pt idx="31">
                  <c:v>12000.000805421045</c:v>
                </c:pt>
                <c:pt idx="32">
                  <c:v>12000.003436231031</c:v>
                </c:pt>
                <c:pt idx="33">
                  <c:v>12000.003760463591</c:v>
                </c:pt>
                <c:pt idx="34">
                  <c:v>12000.002525101545</c:v>
                </c:pt>
                <c:pt idx="35">
                  <c:v>11999.997590819379</c:v>
                </c:pt>
                <c:pt idx="36">
                  <c:v>12000.000962258611</c:v>
                </c:pt>
                <c:pt idx="37">
                  <c:v>11999.997603963231</c:v>
                </c:pt>
                <c:pt idx="38">
                  <c:v>11999.998062145849</c:v>
                </c:pt>
                <c:pt idx="39">
                  <c:v>12000.00453266401</c:v>
                </c:pt>
                <c:pt idx="40">
                  <c:v>12000.00092006408</c:v>
                </c:pt>
                <c:pt idx="41">
                  <c:v>12000.000374297893</c:v>
                </c:pt>
                <c:pt idx="42">
                  <c:v>11999.995340894426</c:v>
                </c:pt>
                <c:pt idx="43">
                  <c:v>11999.998174877717</c:v>
                </c:pt>
                <c:pt idx="44">
                  <c:v>12000.002443924903</c:v>
                </c:pt>
                <c:pt idx="45">
                  <c:v>11999.996295469175</c:v>
                </c:pt>
                <c:pt idx="46">
                  <c:v>11999.99822681904</c:v>
                </c:pt>
                <c:pt idx="47">
                  <c:v>11999.997502361284</c:v>
                </c:pt>
                <c:pt idx="48">
                  <c:v>12000.000239265739</c:v>
                </c:pt>
                <c:pt idx="49">
                  <c:v>12000.003586150391</c:v>
                </c:pt>
                <c:pt idx="50">
                  <c:v>12000.001283783673</c:v>
                </c:pt>
                <c:pt idx="51">
                  <c:v>11999.995350937788</c:v>
                </c:pt>
                <c:pt idx="52">
                  <c:v>12000.003104429108</c:v>
                </c:pt>
                <c:pt idx="53">
                  <c:v>11999.996738194532</c:v>
                </c:pt>
                <c:pt idx="54">
                  <c:v>12000.000775561435</c:v>
                </c:pt>
                <c:pt idx="55">
                  <c:v>11999.995874274715</c:v>
                </c:pt>
                <c:pt idx="56">
                  <c:v>12000.002331598269</c:v>
                </c:pt>
                <c:pt idx="57">
                  <c:v>12000.001519920883</c:v>
                </c:pt>
                <c:pt idx="58">
                  <c:v>11999.999996827706</c:v>
                </c:pt>
                <c:pt idx="59">
                  <c:v>11999.998513850824</c:v>
                </c:pt>
                <c:pt idx="60">
                  <c:v>11999.99919359964</c:v>
                </c:pt>
                <c:pt idx="61">
                  <c:v>11999.996468095047</c:v>
                </c:pt>
                <c:pt idx="62">
                  <c:v>11999.998142147837</c:v>
                </c:pt>
                <c:pt idx="63">
                  <c:v>12000.004904123276</c:v>
                </c:pt>
                <c:pt idx="64">
                  <c:v>11999.996603621701</c:v>
                </c:pt>
                <c:pt idx="65">
                  <c:v>11999.995517583853</c:v>
                </c:pt>
                <c:pt idx="66">
                  <c:v>11999.999338181762</c:v>
                </c:pt>
                <c:pt idx="67">
                  <c:v>12000.004021305023</c:v>
                </c:pt>
                <c:pt idx="68">
                  <c:v>12000.000692733896</c:v>
                </c:pt>
                <c:pt idx="69">
                  <c:v>11999.998014042962</c:v>
                </c:pt>
                <c:pt idx="70">
                  <c:v>12000.005003109496</c:v>
                </c:pt>
                <c:pt idx="71">
                  <c:v>12000.003465214108</c:v>
                </c:pt>
                <c:pt idx="72">
                  <c:v>12000.003671247276</c:v>
                </c:pt>
                <c:pt idx="73">
                  <c:v>12000.003038817395</c:v>
                </c:pt>
                <c:pt idx="74">
                  <c:v>11999.998122211942</c:v>
                </c:pt>
                <c:pt idx="75">
                  <c:v>12000.002365834527</c:v>
                </c:pt>
                <c:pt idx="76">
                  <c:v>12000.000124938562</c:v>
                </c:pt>
                <c:pt idx="77">
                  <c:v>12000.002963848021</c:v>
                </c:pt>
                <c:pt idx="78">
                  <c:v>12000.004600562648</c:v>
                </c:pt>
                <c:pt idx="79">
                  <c:v>12000.002449789612</c:v>
                </c:pt>
                <c:pt idx="80">
                  <c:v>12000.002978219949</c:v>
                </c:pt>
                <c:pt idx="81">
                  <c:v>11999.998717460874</c:v>
                </c:pt>
                <c:pt idx="82">
                  <c:v>11999.998324002569</c:v>
                </c:pt>
                <c:pt idx="83">
                  <c:v>12000.000991963079</c:v>
                </c:pt>
                <c:pt idx="84">
                  <c:v>11999.996299005543</c:v>
                </c:pt>
                <c:pt idx="85">
                  <c:v>12000.002707074993</c:v>
                </c:pt>
                <c:pt idx="86">
                  <c:v>12000.00129359154</c:v>
                </c:pt>
                <c:pt idx="87">
                  <c:v>12000.004655106222</c:v>
                </c:pt>
                <c:pt idx="88">
                  <c:v>11999.998948602708</c:v>
                </c:pt>
                <c:pt idx="89">
                  <c:v>12000.00419035541</c:v>
                </c:pt>
                <c:pt idx="90">
                  <c:v>12000.000887080601</c:v>
                </c:pt>
                <c:pt idx="91">
                  <c:v>11999.996977853891</c:v>
                </c:pt>
                <c:pt idx="92">
                  <c:v>11999.995591821755</c:v>
                </c:pt>
                <c:pt idx="93">
                  <c:v>11999.997773278645</c:v>
                </c:pt>
                <c:pt idx="94">
                  <c:v>11999.998150213478</c:v>
                </c:pt>
                <c:pt idx="95">
                  <c:v>11999.999192371961</c:v>
                </c:pt>
                <c:pt idx="96">
                  <c:v>12000.004834883754</c:v>
                </c:pt>
                <c:pt idx="97">
                  <c:v>12000.002479086481</c:v>
                </c:pt>
                <c:pt idx="98">
                  <c:v>12000.004160832996</c:v>
                </c:pt>
                <c:pt idx="99">
                  <c:v>11999.999145433841</c:v>
                </c:pt>
                <c:pt idx="100">
                  <c:v>12000.001554037444</c:v>
                </c:pt>
                <c:pt idx="101">
                  <c:v>11999.996828646352</c:v>
                </c:pt>
                <c:pt idx="102">
                  <c:v>11999.996630336</c:v>
                </c:pt>
                <c:pt idx="103">
                  <c:v>12000.000512709197</c:v>
                </c:pt>
                <c:pt idx="104">
                  <c:v>12000.004322136872</c:v>
                </c:pt>
                <c:pt idx="105">
                  <c:v>11999.997842223431</c:v>
                </c:pt>
                <c:pt idx="106">
                  <c:v>11999.995602691388</c:v>
                </c:pt>
                <c:pt idx="107">
                  <c:v>11999.99994682489</c:v>
                </c:pt>
                <c:pt idx="108">
                  <c:v>11999.995521687464</c:v>
                </c:pt>
                <c:pt idx="109">
                  <c:v>11999.998962400405</c:v>
                </c:pt>
                <c:pt idx="110">
                  <c:v>12000.002125813997</c:v>
                </c:pt>
                <c:pt idx="111">
                  <c:v>11999.996582170887</c:v>
                </c:pt>
                <c:pt idx="112">
                  <c:v>11999.998463730448</c:v>
                </c:pt>
                <c:pt idx="113">
                  <c:v>11999.999382375283</c:v>
                </c:pt>
                <c:pt idx="114">
                  <c:v>12000.000866099264</c:v>
                </c:pt>
                <c:pt idx="115">
                  <c:v>12000.004727946758</c:v>
                </c:pt>
                <c:pt idx="116">
                  <c:v>11999.995966719278</c:v>
                </c:pt>
                <c:pt idx="117">
                  <c:v>11999.998825448305</c:v>
                </c:pt>
                <c:pt idx="118">
                  <c:v>12000.00124695615</c:v>
                </c:pt>
                <c:pt idx="119">
                  <c:v>11999.999540423138</c:v>
                </c:pt>
                <c:pt idx="120">
                  <c:v>11999.99999565759</c:v>
                </c:pt>
                <c:pt idx="121">
                  <c:v>11999.999670948697</c:v>
                </c:pt>
                <c:pt idx="122">
                  <c:v>11999.999749582563</c:v>
                </c:pt>
                <c:pt idx="123">
                  <c:v>11999.999602377246</c:v>
                </c:pt>
                <c:pt idx="124">
                  <c:v>11999.999716458835</c:v>
                </c:pt>
                <c:pt idx="125">
                  <c:v>12000.0003369229</c:v>
                </c:pt>
                <c:pt idx="126">
                  <c:v>11999.999668896931</c:v>
                </c:pt>
                <c:pt idx="127">
                  <c:v>12000.000509315432</c:v>
                </c:pt>
                <c:pt idx="128">
                  <c:v>11999.999800905864</c:v>
                </c:pt>
                <c:pt idx="129">
                  <c:v>11999.999689391401</c:v>
                </c:pt>
                <c:pt idx="130">
                  <c:v>12000.000313415907</c:v>
                </c:pt>
                <c:pt idx="131">
                  <c:v>12000.000098417562</c:v>
                </c:pt>
                <c:pt idx="132">
                  <c:v>11999.999519774607</c:v>
                </c:pt>
                <c:pt idx="133">
                  <c:v>12000.000295558179</c:v>
                </c:pt>
                <c:pt idx="134">
                  <c:v>11999.999528110176</c:v>
                </c:pt>
                <c:pt idx="135">
                  <c:v>11999.999983974039</c:v>
                </c:pt>
                <c:pt idx="136">
                  <c:v>11999.999996338727</c:v>
                </c:pt>
                <c:pt idx="137">
                  <c:v>12000.000017158394</c:v>
                </c:pt>
                <c:pt idx="138">
                  <c:v>12000.000121895326</c:v>
                </c:pt>
                <c:pt idx="139">
                  <c:v>11999.999776268991</c:v>
                </c:pt>
                <c:pt idx="140">
                  <c:v>12000.000392295809</c:v>
                </c:pt>
                <c:pt idx="141">
                  <c:v>12000.000389303688</c:v>
                </c:pt>
                <c:pt idx="142">
                  <c:v>12000.000351389199</c:v>
                </c:pt>
                <c:pt idx="143">
                  <c:v>12000.000096229676</c:v>
                </c:pt>
                <c:pt idx="144">
                  <c:v>11999.999624136823</c:v>
                </c:pt>
                <c:pt idx="145">
                  <c:v>12000.000299820082</c:v>
                </c:pt>
                <c:pt idx="146">
                  <c:v>11999.999669251496</c:v>
                </c:pt>
                <c:pt idx="147">
                  <c:v>12000.00044159682</c:v>
                </c:pt>
                <c:pt idx="148">
                  <c:v>11999.999938718443</c:v>
                </c:pt>
                <c:pt idx="149">
                  <c:v>11999.99958257031</c:v>
                </c:pt>
                <c:pt idx="150">
                  <c:v>12000.000382253644</c:v>
                </c:pt>
                <c:pt idx="151">
                  <c:v>11999.999753024036</c:v>
                </c:pt>
                <c:pt idx="152">
                  <c:v>11999.9989308398</c:v>
                </c:pt>
                <c:pt idx="153">
                  <c:v>12000.000737552489</c:v>
                </c:pt>
                <c:pt idx="154">
                  <c:v>11999.997025885061</c:v>
                </c:pt>
                <c:pt idx="155">
                  <c:v>12000.003688614845</c:v>
                </c:pt>
                <c:pt idx="156">
                  <c:v>11999.997546589679</c:v>
                </c:pt>
                <c:pt idx="157">
                  <c:v>12000.001890710151</c:v>
                </c:pt>
                <c:pt idx="158">
                  <c:v>12000.003849561641</c:v>
                </c:pt>
                <c:pt idx="159">
                  <c:v>11999.998466538067</c:v>
                </c:pt>
                <c:pt idx="160">
                  <c:v>11999.998243108412</c:v>
                </c:pt>
                <c:pt idx="161">
                  <c:v>12000.002748656372</c:v>
                </c:pt>
                <c:pt idx="162">
                  <c:v>12000.004769437219</c:v>
                </c:pt>
                <c:pt idx="163">
                  <c:v>11999.99689307287</c:v>
                </c:pt>
                <c:pt idx="164">
                  <c:v>12000.003849298409</c:v>
                </c:pt>
                <c:pt idx="165">
                  <c:v>11999.997950196988</c:v>
                </c:pt>
                <c:pt idx="166">
                  <c:v>12000.0023979701</c:v>
                </c:pt>
                <c:pt idx="167">
                  <c:v>12000.000179064296</c:v>
                </c:pt>
                <c:pt idx="168">
                  <c:v>11999.995250362555</c:v>
                </c:pt>
                <c:pt idx="169">
                  <c:v>11999.995279473162</c:v>
                </c:pt>
                <c:pt idx="170">
                  <c:v>12000.003026351991</c:v>
                </c:pt>
                <c:pt idx="171">
                  <c:v>12000.000696078965</c:v>
                </c:pt>
                <c:pt idx="172">
                  <c:v>11999.997913990866</c:v>
                </c:pt>
                <c:pt idx="173">
                  <c:v>11999.998838869271</c:v>
                </c:pt>
                <c:pt idx="174">
                  <c:v>11999.999748135393</c:v>
                </c:pt>
                <c:pt idx="175">
                  <c:v>12000.003697956272</c:v>
                </c:pt>
                <c:pt idx="176">
                  <c:v>11999.995621721131</c:v>
                </c:pt>
                <c:pt idx="177">
                  <c:v>11999.99685226275</c:v>
                </c:pt>
                <c:pt idx="178">
                  <c:v>12000.002074646953</c:v>
                </c:pt>
                <c:pt idx="179">
                  <c:v>12000.00144917555</c:v>
                </c:pt>
                <c:pt idx="180">
                  <c:v>12000.000576966449</c:v>
                </c:pt>
                <c:pt idx="181">
                  <c:v>12000.004154152095</c:v>
                </c:pt>
                <c:pt idx="182">
                  <c:v>12000.002715950661</c:v>
                </c:pt>
                <c:pt idx="183">
                  <c:v>11999.995128158811</c:v>
                </c:pt>
                <c:pt idx="184">
                  <c:v>11999.999988344856</c:v>
                </c:pt>
                <c:pt idx="185">
                  <c:v>11999.999853159134</c:v>
                </c:pt>
                <c:pt idx="186">
                  <c:v>12000.003204895873</c:v>
                </c:pt>
                <c:pt idx="187">
                  <c:v>12000.001859950034</c:v>
                </c:pt>
                <c:pt idx="188">
                  <c:v>11999.997246615436</c:v>
                </c:pt>
                <c:pt idx="189">
                  <c:v>12000.004010731864</c:v>
                </c:pt>
                <c:pt idx="190">
                  <c:v>12000.002139648663</c:v>
                </c:pt>
                <c:pt idx="191">
                  <c:v>11999.995979113359</c:v>
                </c:pt>
                <c:pt idx="192">
                  <c:v>11999.99577469113</c:v>
                </c:pt>
                <c:pt idx="193">
                  <c:v>11999.999223484077</c:v>
                </c:pt>
                <c:pt idx="194">
                  <c:v>12000.00069295836</c:v>
                </c:pt>
                <c:pt idx="195">
                  <c:v>11999.996885800376</c:v>
                </c:pt>
                <c:pt idx="196">
                  <c:v>11999.999216427017</c:v>
                </c:pt>
                <c:pt idx="197">
                  <c:v>12000.001320887715</c:v>
                </c:pt>
                <c:pt idx="198">
                  <c:v>12000.005016525536</c:v>
                </c:pt>
                <c:pt idx="199">
                  <c:v>11999.998987611158</c:v>
                </c:pt>
                <c:pt idx="200">
                  <c:v>11999.995128424052</c:v>
                </c:pt>
                <c:pt idx="201">
                  <c:v>11999.999754057551</c:v>
                </c:pt>
                <c:pt idx="202">
                  <c:v>12000.002592932235</c:v>
                </c:pt>
                <c:pt idx="203">
                  <c:v>11999.998342680035</c:v>
                </c:pt>
                <c:pt idx="204">
                  <c:v>12000.002281830542</c:v>
                </c:pt>
                <c:pt idx="205">
                  <c:v>11999.998417006775</c:v>
                </c:pt>
                <c:pt idx="206">
                  <c:v>12000.001309513453</c:v>
                </c:pt>
                <c:pt idx="207">
                  <c:v>11999.996107136321</c:v>
                </c:pt>
                <c:pt idx="208">
                  <c:v>11999.998457645437</c:v>
                </c:pt>
                <c:pt idx="209">
                  <c:v>12000.001791898845</c:v>
                </c:pt>
                <c:pt idx="210">
                  <c:v>12000.001174122734</c:v>
                </c:pt>
                <c:pt idx="211">
                  <c:v>11999.995355481287</c:v>
                </c:pt>
                <c:pt idx="212">
                  <c:v>12000.000014862999</c:v>
                </c:pt>
                <c:pt idx="213">
                  <c:v>12000.00176406977</c:v>
                </c:pt>
                <c:pt idx="214">
                  <c:v>12000.000760347295</c:v>
                </c:pt>
                <c:pt idx="215">
                  <c:v>12000.002580792072</c:v>
                </c:pt>
                <c:pt idx="216">
                  <c:v>12000.001995509747</c:v>
                </c:pt>
                <c:pt idx="217">
                  <c:v>11999.999144801695</c:v>
                </c:pt>
                <c:pt idx="218">
                  <c:v>11999.997247400459</c:v>
                </c:pt>
                <c:pt idx="219">
                  <c:v>11999.995761120766</c:v>
                </c:pt>
                <c:pt idx="220">
                  <c:v>12000.003009187329</c:v>
                </c:pt>
                <c:pt idx="221">
                  <c:v>12000.001662698813</c:v>
                </c:pt>
                <c:pt idx="222">
                  <c:v>12000.004208916573</c:v>
                </c:pt>
                <c:pt idx="223">
                  <c:v>12000.004594893131</c:v>
                </c:pt>
                <c:pt idx="224">
                  <c:v>11999.999307733173</c:v>
                </c:pt>
                <c:pt idx="225">
                  <c:v>11999.996668679729</c:v>
                </c:pt>
                <c:pt idx="226">
                  <c:v>11999.999930214601</c:v>
                </c:pt>
                <c:pt idx="227">
                  <c:v>12000.003206125664</c:v>
                </c:pt>
                <c:pt idx="228">
                  <c:v>12000.000610009052</c:v>
                </c:pt>
                <c:pt idx="229">
                  <c:v>11999.997732674516</c:v>
                </c:pt>
                <c:pt idx="230">
                  <c:v>11999.997937043263</c:v>
                </c:pt>
                <c:pt idx="231">
                  <c:v>12000.003574202272</c:v>
                </c:pt>
                <c:pt idx="232">
                  <c:v>11999.996288116019</c:v>
                </c:pt>
                <c:pt idx="233">
                  <c:v>11999.998446012785</c:v>
                </c:pt>
                <c:pt idx="234">
                  <c:v>11999.999709869831</c:v>
                </c:pt>
                <c:pt idx="235">
                  <c:v>11999.998316545461</c:v>
                </c:pt>
                <c:pt idx="236">
                  <c:v>11999.997355634667</c:v>
                </c:pt>
                <c:pt idx="237">
                  <c:v>12000.001610636005</c:v>
                </c:pt>
                <c:pt idx="238">
                  <c:v>11999.995912929295</c:v>
                </c:pt>
                <c:pt idx="239">
                  <c:v>12000.002936938659</c:v>
                </c:pt>
                <c:pt idx="240">
                  <c:v>11999.996065786552</c:v>
                </c:pt>
                <c:pt idx="241">
                  <c:v>11999.995075018431</c:v>
                </c:pt>
                <c:pt idx="242">
                  <c:v>11999.996123634086</c:v>
                </c:pt>
                <c:pt idx="243">
                  <c:v>11999.997408616739</c:v>
                </c:pt>
                <c:pt idx="244">
                  <c:v>12000.000074237169</c:v>
                </c:pt>
                <c:pt idx="245">
                  <c:v>12000.004729209482</c:v>
                </c:pt>
                <c:pt idx="246">
                  <c:v>12000.0039722273</c:v>
                </c:pt>
                <c:pt idx="247">
                  <c:v>11999.997676170004</c:v>
                </c:pt>
                <c:pt idx="248">
                  <c:v>12000.000434132873</c:v>
                </c:pt>
                <c:pt idx="249">
                  <c:v>11999.997100116325</c:v>
                </c:pt>
                <c:pt idx="250">
                  <c:v>11999.952083540667</c:v>
                </c:pt>
                <c:pt idx="251">
                  <c:v>12000.021676621589</c:v>
                </c:pt>
                <c:pt idx="252">
                  <c:v>11999.973498581754</c:v>
                </c:pt>
                <c:pt idx="253">
                  <c:v>12000.011742542316</c:v>
                </c:pt>
                <c:pt idx="254">
                  <c:v>12000.015077661388</c:v>
                </c:pt>
                <c:pt idx="255">
                  <c:v>12000.006905416847</c:v>
                </c:pt>
                <c:pt idx="256">
                  <c:v>11999.961094393753</c:v>
                </c:pt>
                <c:pt idx="257">
                  <c:v>12000.020776015461</c:v>
                </c:pt>
                <c:pt idx="258">
                  <c:v>11999.960014865987</c:v>
                </c:pt>
                <c:pt idx="259">
                  <c:v>11999.959953011965</c:v>
                </c:pt>
                <c:pt idx="260">
                  <c:v>11999.984367928766</c:v>
                </c:pt>
                <c:pt idx="261">
                  <c:v>12000.045603438</c:v>
                </c:pt>
                <c:pt idx="262">
                  <c:v>12000.050295096738</c:v>
                </c:pt>
                <c:pt idx="263">
                  <c:v>11999.973324273045</c:v>
                </c:pt>
                <c:pt idx="264">
                  <c:v>11999.978454105032</c:v>
                </c:pt>
                <c:pt idx="265">
                  <c:v>12000.029561325864</c:v>
                </c:pt>
                <c:pt idx="266">
                  <c:v>11999.978331444316</c:v>
                </c:pt>
                <c:pt idx="267">
                  <c:v>12000.01518373631</c:v>
                </c:pt>
                <c:pt idx="268">
                  <c:v>11999.996608983443</c:v>
                </c:pt>
                <c:pt idx="269">
                  <c:v>11999.950973124283</c:v>
                </c:pt>
                <c:pt idx="270">
                  <c:v>12000.019135838895</c:v>
                </c:pt>
                <c:pt idx="271">
                  <c:v>12000.019911697234</c:v>
                </c:pt>
                <c:pt idx="272">
                  <c:v>12000.049836704648</c:v>
                </c:pt>
                <c:pt idx="273">
                  <c:v>12000.0294424368</c:v>
                </c:pt>
                <c:pt idx="274">
                  <c:v>12000.007132290342</c:v>
                </c:pt>
                <c:pt idx="275">
                  <c:v>12000.031660534698</c:v>
                </c:pt>
                <c:pt idx="276">
                  <c:v>12000.04876997636</c:v>
                </c:pt>
                <c:pt idx="277">
                  <c:v>12000.008104507988</c:v>
                </c:pt>
                <c:pt idx="278">
                  <c:v>11999.979712147342</c:v>
                </c:pt>
                <c:pt idx="279">
                  <c:v>11999.975889552739</c:v>
                </c:pt>
                <c:pt idx="280">
                  <c:v>11999.992858201133</c:v>
                </c:pt>
                <c:pt idx="281">
                  <c:v>12000.03710901832</c:v>
                </c:pt>
                <c:pt idx="282">
                  <c:v>12000.029473945317</c:v>
                </c:pt>
                <c:pt idx="283">
                  <c:v>12000.004326109118</c:v>
                </c:pt>
                <c:pt idx="284">
                  <c:v>12000.015027351976</c:v>
                </c:pt>
                <c:pt idx="285">
                  <c:v>12000.027849132199</c:v>
                </c:pt>
                <c:pt idx="286">
                  <c:v>12000.001507398027</c:v>
                </c:pt>
                <c:pt idx="287">
                  <c:v>11999.969496324513</c:v>
                </c:pt>
                <c:pt idx="288">
                  <c:v>12000.038042492204</c:v>
                </c:pt>
                <c:pt idx="289">
                  <c:v>12000.012734921316</c:v>
                </c:pt>
                <c:pt idx="290">
                  <c:v>12000.020872968074</c:v>
                </c:pt>
                <c:pt idx="291">
                  <c:v>11999.95101335138</c:v>
                </c:pt>
                <c:pt idx="292">
                  <c:v>12000.006227014288</c:v>
                </c:pt>
                <c:pt idx="293">
                  <c:v>12000.032480414187</c:v>
                </c:pt>
                <c:pt idx="294">
                  <c:v>12000.008417876721</c:v>
                </c:pt>
                <c:pt idx="295">
                  <c:v>12000.012108404149</c:v>
                </c:pt>
                <c:pt idx="296">
                  <c:v>12000.014365705665</c:v>
                </c:pt>
                <c:pt idx="297">
                  <c:v>12000.02143825551</c:v>
                </c:pt>
                <c:pt idx="298">
                  <c:v>12000.042646042222</c:v>
                </c:pt>
                <c:pt idx="299">
                  <c:v>12000.023790115929</c:v>
                </c:pt>
                <c:pt idx="300">
                  <c:v>12000.01381045275</c:v>
                </c:pt>
                <c:pt idx="301">
                  <c:v>12000.023319279318</c:v>
                </c:pt>
                <c:pt idx="302">
                  <c:v>12000.038063914455</c:v>
                </c:pt>
                <c:pt idx="303">
                  <c:v>11999.983433009334</c:v>
                </c:pt>
                <c:pt idx="304">
                  <c:v>12000.002137865638</c:v>
                </c:pt>
                <c:pt idx="305">
                  <c:v>12000.037506934481</c:v>
                </c:pt>
                <c:pt idx="306">
                  <c:v>12000.04242960093</c:v>
                </c:pt>
                <c:pt idx="307">
                  <c:v>12000.022675493097</c:v>
                </c:pt>
                <c:pt idx="308">
                  <c:v>11999.998589512405</c:v>
                </c:pt>
                <c:pt idx="309">
                  <c:v>11999.982044070484</c:v>
                </c:pt>
                <c:pt idx="310">
                  <c:v>11999.981356899809</c:v>
                </c:pt>
                <c:pt idx="311">
                  <c:v>11999.978061083559</c:v>
                </c:pt>
                <c:pt idx="312">
                  <c:v>12000.006170188679</c:v>
                </c:pt>
                <c:pt idx="313">
                  <c:v>11999.988262608957</c:v>
                </c:pt>
                <c:pt idx="314">
                  <c:v>12000.034164725064</c:v>
                </c:pt>
                <c:pt idx="315">
                  <c:v>11999.959707790786</c:v>
                </c:pt>
                <c:pt idx="316">
                  <c:v>12000.017091107504</c:v>
                </c:pt>
                <c:pt idx="317">
                  <c:v>11999.977165068345</c:v>
                </c:pt>
                <c:pt idx="318">
                  <c:v>12000.03333897005</c:v>
                </c:pt>
                <c:pt idx="319">
                  <c:v>12000.033774061299</c:v>
                </c:pt>
                <c:pt idx="320">
                  <c:v>12000.036880258469</c:v>
                </c:pt>
                <c:pt idx="321">
                  <c:v>12000.010086552775</c:v>
                </c:pt>
                <c:pt idx="322">
                  <c:v>12000.020124005569</c:v>
                </c:pt>
                <c:pt idx="323">
                  <c:v>11999.969091287547</c:v>
                </c:pt>
                <c:pt idx="324">
                  <c:v>12000.041512672631</c:v>
                </c:pt>
                <c:pt idx="325">
                  <c:v>11999.977747037468</c:v>
                </c:pt>
                <c:pt idx="326">
                  <c:v>12000.005690780745</c:v>
                </c:pt>
                <c:pt idx="327">
                  <c:v>12000.044814511628</c:v>
                </c:pt>
                <c:pt idx="328">
                  <c:v>11999.958804811089</c:v>
                </c:pt>
                <c:pt idx="329">
                  <c:v>12000.015042357933</c:v>
                </c:pt>
                <c:pt idx="330">
                  <c:v>11999.96883499658</c:v>
                </c:pt>
                <c:pt idx="331">
                  <c:v>12000.029915729525</c:v>
                </c:pt>
                <c:pt idx="332">
                  <c:v>11999.964576999515</c:v>
                </c:pt>
                <c:pt idx="333">
                  <c:v>12000.031568967928</c:v>
                </c:pt>
                <c:pt idx="334">
                  <c:v>11999.961172101923</c:v>
                </c:pt>
                <c:pt idx="335">
                  <c:v>12000.032249574002</c:v>
                </c:pt>
                <c:pt idx="336">
                  <c:v>11999.970329587979</c:v>
                </c:pt>
                <c:pt idx="337">
                  <c:v>12000.03614980221</c:v>
                </c:pt>
                <c:pt idx="338">
                  <c:v>12000.027013574945</c:v>
                </c:pt>
                <c:pt idx="339">
                  <c:v>11999.950362092322</c:v>
                </c:pt>
                <c:pt idx="340">
                  <c:v>11999.957160265029</c:v>
                </c:pt>
                <c:pt idx="341">
                  <c:v>12000.034094794317</c:v>
                </c:pt>
                <c:pt idx="342">
                  <c:v>12000.04275224187</c:v>
                </c:pt>
                <c:pt idx="343">
                  <c:v>11999.958799189721</c:v>
                </c:pt>
                <c:pt idx="344">
                  <c:v>11999.960695205706</c:v>
                </c:pt>
                <c:pt idx="345">
                  <c:v>12000.048560033731</c:v>
                </c:pt>
                <c:pt idx="346">
                  <c:v>11999.978871893938</c:v>
                </c:pt>
                <c:pt idx="347">
                  <c:v>11999.992946938914</c:v>
                </c:pt>
                <c:pt idx="348">
                  <c:v>12000.04661669236</c:v>
                </c:pt>
                <c:pt idx="349">
                  <c:v>11999.99051683542</c:v>
                </c:pt>
                <c:pt idx="350">
                  <c:v>11999.957727819308</c:v>
                </c:pt>
                <c:pt idx="351">
                  <c:v>12000.030252035713</c:v>
                </c:pt>
                <c:pt idx="352">
                  <c:v>12000.017628345164</c:v>
                </c:pt>
                <c:pt idx="353">
                  <c:v>12000.050650483254</c:v>
                </c:pt>
                <c:pt idx="354">
                  <c:v>12000.033282822778</c:v>
                </c:pt>
                <c:pt idx="355">
                  <c:v>11999.971001762453</c:v>
                </c:pt>
                <c:pt idx="356">
                  <c:v>11999.970926496735</c:v>
                </c:pt>
                <c:pt idx="357">
                  <c:v>12000.045548034072</c:v>
                </c:pt>
                <c:pt idx="358">
                  <c:v>11999.952641945079</c:v>
                </c:pt>
                <c:pt idx="359">
                  <c:v>12000.016960366174</c:v>
                </c:pt>
                <c:pt idx="360">
                  <c:v>12000.028085698284</c:v>
                </c:pt>
                <c:pt idx="361">
                  <c:v>11999.955518147819</c:v>
                </c:pt>
                <c:pt idx="362">
                  <c:v>12000.017908606766</c:v>
                </c:pt>
                <c:pt idx="363">
                  <c:v>12000.024857586915</c:v>
                </c:pt>
                <c:pt idx="364">
                  <c:v>11999.99952688224</c:v>
                </c:pt>
                <c:pt idx="365">
                  <c:v>12000.025777826873</c:v>
                </c:pt>
                <c:pt idx="366">
                  <c:v>12000.039870934797</c:v>
                </c:pt>
                <c:pt idx="367">
                  <c:v>12000.026855561602</c:v>
                </c:pt>
                <c:pt idx="368">
                  <c:v>12000.025857757293</c:v>
                </c:pt>
                <c:pt idx="369">
                  <c:v>12000.036543519436</c:v>
                </c:pt>
                <c:pt idx="370">
                  <c:v>11999.988891478482</c:v>
                </c:pt>
                <c:pt idx="371">
                  <c:v>11999.96765108563</c:v>
                </c:pt>
                <c:pt idx="372">
                  <c:v>12000.02828969662</c:v>
                </c:pt>
                <c:pt idx="373">
                  <c:v>11999.996908939151</c:v>
                </c:pt>
                <c:pt idx="374">
                  <c:v>11999.952275896341</c:v>
                </c:pt>
                <c:pt idx="375">
                  <c:v>12000.026544558717</c:v>
                </c:pt>
                <c:pt idx="376">
                  <c:v>11999.988526804447</c:v>
                </c:pt>
                <c:pt idx="377">
                  <c:v>11999.95606495333</c:v>
                </c:pt>
                <c:pt idx="378">
                  <c:v>11999.951887176727</c:v>
                </c:pt>
                <c:pt idx="379">
                  <c:v>11999.995339594811</c:v>
                </c:pt>
                <c:pt idx="380">
                  <c:v>12000.035208949359</c:v>
                </c:pt>
                <c:pt idx="381">
                  <c:v>11999.969235599496</c:v>
                </c:pt>
                <c:pt idx="382">
                  <c:v>11999.961283154213</c:v>
                </c:pt>
                <c:pt idx="383">
                  <c:v>12000.035272103616</c:v>
                </c:pt>
                <c:pt idx="384">
                  <c:v>12000.030569730403</c:v>
                </c:pt>
                <c:pt idx="385">
                  <c:v>12000.036459181176</c:v>
                </c:pt>
                <c:pt idx="386">
                  <c:v>11999.994650090021</c:v>
                </c:pt>
                <c:pt idx="387">
                  <c:v>12000.017099952427</c:v>
                </c:pt>
                <c:pt idx="388">
                  <c:v>12000.041091104367</c:v>
                </c:pt>
                <c:pt idx="389">
                  <c:v>11999.95601059677</c:v>
                </c:pt>
                <c:pt idx="390">
                  <c:v>11999.97291358133</c:v>
                </c:pt>
                <c:pt idx="391">
                  <c:v>12000.020067564388</c:v>
                </c:pt>
                <c:pt idx="392">
                  <c:v>11999.957351129267</c:v>
                </c:pt>
                <c:pt idx="393">
                  <c:v>12000.02189147985</c:v>
                </c:pt>
                <c:pt idx="394">
                  <c:v>11999.993317114273</c:v>
                </c:pt>
                <c:pt idx="395">
                  <c:v>12000.013220716864</c:v>
                </c:pt>
                <c:pt idx="396">
                  <c:v>12000.013688070785</c:v>
                </c:pt>
                <c:pt idx="397">
                  <c:v>12000.026047249252</c:v>
                </c:pt>
                <c:pt idx="398">
                  <c:v>12000.005718646795</c:v>
                </c:pt>
                <c:pt idx="399">
                  <c:v>12000.043405818105</c:v>
                </c:pt>
                <c:pt idx="400">
                  <c:v>12000.027881015629</c:v>
                </c:pt>
                <c:pt idx="401">
                  <c:v>11999.976865942836</c:v>
                </c:pt>
                <c:pt idx="402">
                  <c:v>12000.016849673048</c:v>
                </c:pt>
                <c:pt idx="403">
                  <c:v>11999.963391756846</c:v>
                </c:pt>
                <c:pt idx="404">
                  <c:v>12000.02373773046</c:v>
                </c:pt>
                <c:pt idx="405">
                  <c:v>11999.979381524408</c:v>
                </c:pt>
                <c:pt idx="406">
                  <c:v>11999.977216303803</c:v>
                </c:pt>
                <c:pt idx="407">
                  <c:v>11999.984143290436</c:v>
                </c:pt>
                <c:pt idx="408">
                  <c:v>12000.037237572715</c:v>
                </c:pt>
                <c:pt idx="409">
                  <c:v>12000.014122332379</c:v>
                </c:pt>
                <c:pt idx="410">
                  <c:v>11999.980280714544</c:v>
                </c:pt>
                <c:pt idx="411">
                  <c:v>12000.030516156507</c:v>
                </c:pt>
                <c:pt idx="412">
                  <c:v>12000.024690200158</c:v>
                </c:pt>
                <c:pt idx="413">
                  <c:v>12000.010421249395</c:v>
                </c:pt>
                <c:pt idx="414">
                  <c:v>11999.988201677381</c:v>
                </c:pt>
                <c:pt idx="415">
                  <c:v>11999.954718949961</c:v>
                </c:pt>
                <c:pt idx="416">
                  <c:v>12000.045068801714</c:v>
                </c:pt>
                <c:pt idx="417">
                  <c:v>11999.995332723867</c:v>
                </c:pt>
                <c:pt idx="418">
                  <c:v>12000.001965183383</c:v>
                </c:pt>
                <c:pt idx="419">
                  <c:v>11999.99598936196</c:v>
                </c:pt>
                <c:pt idx="420">
                  <c:v>11999.987638915052</c:v>
                </c:pt>
                <c:pt idx="421">
                  <c:v>12000.015559846324</c:v>
                </c:pt>
                <c:pt idx="422">
                  <c:v>12000.031232737447</c:v>
                </c:pt>
                <c:pt idx="423">
                  <c:v>12000.020798805721</c:v>
                </c:pt>
                <c:pt idx="424">
                  <c:v>11999.976583946891</c:v>
                </c:pt>
                <c:pt idx="425">
                  <c:v>11999.984448930167</c:v>
                </c:pt>
                <c:pt idx="426">
                  <c:v>12000.050383942429</c:v>
                </c:pt>
                <c:pt idx="427">
                  <c:v>11999.996815636669</c:v>
                </c:pt>
                <c:pt idx="428">
                  <c:v>12000.038305463957</c:v>
                </c:pt>
                <c:pt idx="429">
                  <c:v>11999.990820662691</c:v>
                </c:pt>
                <c:pt idx="430">
                  <c:v>11999.980119469194</c:v>
                </c:pt>
                <c:pt idx="431">
                  <c:v>12000.038539460258</c:v>
                </c:pt>
                <c:pt idx="432">
                  <c:v>11999.995914582487</c:v>
                </c:pt>
                <c:pt idx="433">
                  <c:v>11999.986542928717</c:v>
                </c:pt>
                <c:pt idx="434">
                  <c:v>11999.965192120246</c:v>
                </c:pt>
                <c:pt idx="435">
                  <c:v>12000.021335512423</c:v>
                </c:pt>
                <c:pt idx="436">
                  <c:v>11999.952271780916</c:v>
                </c:pt>
                <c:pt idx="437">
                  <c:v>12000.001814124471</c:v>
                </c:pt>
                <c:pt idx="438">
                  <c:v>11999.99868261472</c:v>
                </c:pt>
                <c:pt idx="439">
                  <c:v>11999.963765894088</c:v>
                </c:pt>
                <c:pt idx="440">
                  <c:v>12000.040531736846</c:v>
                </c:pt>
                <c:pt idx="441">
                  <c:v>12000.041628651474</c:v>
                </c:pt>
                <c:pt idx="442">
                  <c:v>12000.0408414349</c:v>
                </c:pt>
                <c:pt idx="443">
                  <c:v>11999.98608313982</c:v>
                </c:pt>
                <c:pt idx="444">
                  <c:v>12000.010715421056</c:v>
                </c:pt>
                <c:pt idx="445">
                  <c:v>11999.95996432326</c:v>
                </c:pt>
                <c:pt idx="446">
                  <c:v>11999.998382716392</c:v>
                </c:pt>
                <c:pt idx="447">
                  <c:v>11999.991428759975</c:v>
                </c:pt>
                <c:pt idx="448">
                  <c:v>11999.996783063498</c:v>
                </c:pt>
                <c:pt idx="449">
                  <c:v>12000.01776357119</c:v>
                </c:pt>
                <c:pt idx="450">
                  <c:v>12000.047769672025</c:v>
                </c:pt>
                <c:pt idx="451">
                  <c:v>11999.958061635763</c:v>
                </c:pt>
                <c:pt idx="452">
                  <c:v>12000.025670304864</c:v>
                </c:pt>
                <c:pt idx="453">
                  <c:v>12000.021797381771</c:v>
                </c:pt>
                <c:pt idx="454">
                  <c:v>11999.958909985253</c:v>
                </c:pt>
                <c:pt idx="455">
                  <c:v>12000.042313310867</c:v>
                </c:pt>
                <c:pt idx="456">
                  <c:v>12000.039572460149</c:v>
                </c:pt>
                <c:pt idx="457">
                  <c:v>11999.955031937192</c:v>
                </c:pt>
                <c:pt idx="458">
                  <c:v>11999.955238576804</c:v>
                </c:pt>
                <c:pt idx="459">
                  <c:v>11999.965976854679</c:v>
                </c:pt>
                <c:pt idx="460">
                  <c:v>11999.984045434207</c:v>
                </c:pt>
                <c:pt idx="461">
                  <c:v>11999.970420199597</c:v>
                </c:pt>
                <c:pt idx="462">
                  <c:v>11999.954852594014</c:v>
                </c:pt>
                <c:pt idx="463">
                  <c:v>11999.999226902564</c:v>
                </c:pt>
                <c:pt idx="464">
                  <c:v>12000.044640592429</c:v>
                </c:pt>
                <c:pt idx="465">
                  <c:v>11999.97817378724</c:v>
                </c:pt>
                <c:pt idx="466">
                  <c:v>11999.98576892418</c:v>
                </c:pt>
                <c:pt idx="467">
                  <c:v>12000.015126571941</c:v>
                </c:pt>
                <c:pt idx="468">
                  <c:v>12000.006652785236</c:v>
                </c:pt>
                <c:pt idx="469">
                  <c:v>12000.002643328698</c:v>
                </c:pt>
                <c:pt idx="470">
                  <c:v>11999.958143841315</c:v>
                </c:pt>
                <c:pt idx="471">
                  <c:v>12000.027956790325</c:v>
                </c:pt>
                <c:pt idx="472">
                  <c:v>12000.051875624953</c:v>
                </c:pt>
                <c:pt idx="473">
                  <c:v>11999.882381843958</c:v>
                </c:pt>
                <c:pt idx="474">
                  <c:v>11999.80972144509</c:v>
                </c:pt>
                <c:pt idx="475">
                  <c:v>11999.577905902572</c:v>
                </c:pt>
                <c:pt idx="476">
                  <c:v>11999.989543285741</c:v>
                </c:pt>
                <c:pt idx="477">
                  <c:v>11999.548746787414</c:v>
                </c:pt>
                <c:pt idx="478">
                  <c:v>11999.723375400134</c:v>
                </c:pt>
                <c:pt idx="479">
                  <c:v>12000.121194996693</c:v>
                </c:pt>
                <c:pt idx="480">
                  <c:v>11999.692575850846</c:v>
                </c:pt>
                <c:pt idx="481">
                  <c:v>11999.758036841524</c:v>
                </c:pt>
                <c:pt idx="482">
                  <c:v>11999.730368443092</c:v>
                </c:pt>
                <c:pt idx="483">
                  <c:v>11999.698361987321</c:v>
                </c:pt>
                <c:pt idx="484">
                  <c:v>12000.288480998828</c:v>
                </c:pt>
                <c:pt idx="485">
                  <c:v>11999.770165102533</c:v>
                </c:pt>
                <c:pt idx="486">
                  <c:v>12000.273072700897</c:v>
                </c:pt>
                <c:pt idx="487">
                  <c:v>11999.924691579805</c:v>
                </c:pt>
                <c:pt idx="488">
                  <c:v>12000.066272212163</c:v>
                </c:pt>
                <c:pt idx="489">
                  <c:v>12000.288360730763</c:v>
                </c:pt>
                <c:pt idx="490">
                  <c:v>12000.047055254898</c:v>
                </c:pt>
                <c:pt idx="491">
                  <c:v>11999.751328389904</c:v>
                </c:pt>
                <c:pt idx="492">
                  <c:v>11999.907393392083</c:v>
                </c:pt>
                <c:pt idx="493">
                  <c:v>11999.524756273982</c:v>
                </c:pt>
                <c:pt idx="494">
                  <c:v>12000.01306257231</c:v>
                </c:pt>
                <c:pt idx="495">
                  <c:v>11999.737737549265</c:v>
                </c:pt>
                <c:pt idx="496">
                  <c:v>11999.653238615452</c:v>
                </c:pt>
                <c:pt idx="497">
                  <c:v>11999.950148856458</c:v>
                </c:pt>
                <c:pt idx="498">
                  <c:v>11999.530959502277</c:v>
                </c:pt>
                <c:pt idx="499">
                  <c:v>12000.08675067912</c:v>
                </c:pt>
                <c:pt idx="500">
                  <c:v>12000.355016421741</c:v>
                </c:pt>
                <c:pt idx="501">
                  <c:v>12000.414862774336</c:v>
                </c:pt>
                <c:pt idx="502">
                  <c:v>11999.582823546083</c:v>
                </c:pt>
                <c:pt idx="503">
                  <c:v>11999.676368504688</c:v>
                </c:pt>
                <c:pt idx="504">
                  <c:v>12000.310358825684</c:v>
                </c:pt>
                <c:pt idx="505">
                  <c:v>12000.176710667636</c:v>
                </c:pt>
                <c:pt idx="506">
                  <c:v>12000.275381206446</c:v>
                </c:pt>
                <c:pt idx="507">
                  <c:v>11999.589491041232</c:v>
                </c:pt>
                <c:pt idx="508">
                  <c:v>11999.828665810666</c:v>
                </c:pt>
                <c:pt idx="509">
                  <c:v>12000.403216290344</c:v>
                </c:pt>
                <c:pt idx="510">
                  <c:v>11999.848927954499</c:v>
                </c:pt>
                <c:pt idx="511">
                  <c:v>12000.22278258157</c:v>
                </c:pt>
                <c:pt idx="512">
                  <c:v>11999.587362424019</c:v>
                </c:pt>
                <c:pt idx="513">
                  <c:v>11999.561054965287</c:v>
                </c:pt>
                <c:pt idx="514">
                  <c:v>12000.056222338462</c:v>
                </c:pt>
                <c:pt idx="515">
                  <c:v>12000.033238773081</c:v>
                </c:pt>
                <c:pt idx="516">
                  <c:v>11999.823797264089</c:v>
                </c:pt>
                <c:pt idx="517">
                  <c:v>12000.026501675689</c:v>
                </c:pt>
                <c:pt idx="518">
                  <c:v>12000.1956762878</c:v>
                </c:pt>
                <c:pt idx="519">
                  <c:v>11999.722078129626</c:v>
                </c:pt>
                <c:pt idx="520">
                  <c:v>12000.107674462684</c:v>
                </c:pt>
                <c:pt idx="521">
                  <c:v>11999.654124224711</c:v>
                </c:pt>
                <c:pt idx="522">
                  <c:v>11999.584550319028</c:v>
                </c:pt>
                <c:pt idx="523">
                  <c:v>11999.758458731556</c:v>
                </c:pt>
                <c:pt idx="524">
                  <c:v>11999.564244470897</c:v>
                </c:pt>
                <c:pt idx="525">
                  <c:v>11999.551371390293</c:v>
                </c:pt>
                <c:pt idx="526">
                  <c:v>12000.146659129079</c:v>
                </c:pt>
                <c:pt idx="527">
                  <c:v>11999.98318309316</c:v>
                </c:pt>
                <c:pt idx="528">
                  <c:v>11999.903879597527</c:v>
                </c:pt>
                <c:pt idx="529">
                  <c:v>11999.564581767176</c:v>
                </c:pt>
                <c:pt idx="530">
                  <c:v>12000.453656834081</c:v>
                </c:pt>
                <c:pt idx="531">
                  <c:v>12000.335146680247</c:v>
                </c:pt>
                <c:pt idx="532">
                  <c:v>12000.071938855208</c:v>
                </c:pt>
                <c:pt idx="533">
                  <c:v>12000.063068141892</c:v>
                </c:pt>
                <c:pt idx="534">
                  <c:v>11999.820690044784</c:v>
                </c:pt>
                <c:pt idx="535">
                  <c:v>11999.61875343859</c:v>
                </c:pt>
                <c:pt idx="536">
                  <c:v>11999.915218318885</c:v>
                </c:pt>
                <c:pt idx="537">
                  <c:v>12000.202809201341</c:v>
                </c:pt>
                <c:pt idx="538">
                  <c:v>11999.601980145029</c:v>
                </c:pt>
                <c:pt idx="539">
                  <c:v>12000.456070817429</c:v>
                </c:pt>
                <c:pt idx="540">
                  <c:v>12000.397752733998</c:v>
                </c:pt>
                <c:pt idx="541">
                  <c:v>11999.714952292838</c:v>
                </c:pt>
                <c:pt idx="542">
                  <c:v>12000.125111076099</c:v>
                </c:pt>
                <c:pt idx="543">
                  <c:v>11999.975770745625</c:v>
                </c:pt>
                <c:pt idx="544">
                  <c:v>12000.025983925996</c:v>
                </c:pt>
                <c:pt idx="545">
                  <c:v>11999.91294438791</c:v>
                </c:pt>
                <c:pt idx="546">
                  <c:v>11999.991206294488</c:v>
                </c:pt>
                <c:pt idx="547">
                  <c:v>12000.225076110522</c:v>
                </c:pt>
                <c:pt idx="548">
                  <c:v>11999.836670526</c:v>
                </c:pt>
                <c:pt idx="549">
                  <c:v>11999.618910572541</c:v>
                </c:pt>
                <c:pt idx="550">
                  <c:v>12000.443511686632</c:v>
                </c:pt>
                <c:pt idx="551">
                  <c:v>12000.477193053954</c:v>
                </c:pt>
                <c:pt idx="552">
                  <c:v>11999.536483419506</c:v>
                </c:pt>
                <c:pt idx="553">
                  <c:v>11999.726695280584</c:v>
                </c:pt>
                <c:pt idx="554">
                  <c:v>11999.809731257386</c:v>
                </c:pt>
                <c:pt idx="555">
                  <c:v>11999.602546567514</c:v>
                </c:pt>
                <c:pt idx="556">
                  <c:v>12000.235173742123</c:v>
                </c:pt>
                <c:pt idx="557">
                  <c:v>11999.849057591417</c:v>
                </c:pt>
                <c:pt idx="558">
                  <c:v>11999.817879327764</c:v>
                </c:pt>
                <c:pt idx="559">
                  <c:v>11999.646140459361</c:v>
                </c:pt>
                <c:pt idx="560">
                  <c:v>11999.969667887946</c:v>
                </c:pt>
                <c:pt idx="561">
                  <c:v>12000.385207332751</c:v>
                </c:pt>
                <c:pt idx="562">
                  <c:v>12000.127382644621</c:v>
                </c:pt>
                <c:pt idx="563">
                  <c:v>12000.354493500225</c:v>
                </c:pt>
                <c:pt idx="564">
                  <c:v>12000.29483737287</c:v>
                </c:pt>
                <c:pt idx="565">
                  <c:v>11999.582908171025</c:v>
                </c:pt>
                <c:pt idx="566">
                  <c:v>12000.207553318149</c:v>
                </c:pt>
                <c:pt idx="567">
                  <c:v>11999.60330634899</c:v>
                </c:pt>
                <c:pt idx="568">
                  <c:v>12000.356113964695</c:v>
                </c:pt>
                <c:pt idx="569">
                  <c:v>12000.026216063741</c:v>
                </c:pt>
                <c:pt idx="570">
                  <c:v>11999.79368970826</c:v>
                </c:pt>
                <c:pt idx="571">
                  <c:v>12000.23305254244</c:v>
                </c:pt>
                <c:pt idx="572">
                  <c:v>12000.367913637814</c:v>
                </c:pt>
                <c:pt idx="573">
                  <c:v>11999.790821579352</c:v>
                </c:pt>
                <c:pt idx="574">
                  <c:v>11999.588947081105</c:v>
                </c:pt>
                <c:pt idx="575">
                  <c:v>12000.419383648008</c:v>
                </c:pt>
                <c:pt idx="576">
                  <c:v>12000.335233811098</c:v>
                </c:pt>
                <c:pt idx="577">
                  <c:v>12000.125994045708</c:v>
                </c:pt>
                <c:pt idx="578">
                  <c:v>12000.059246848352</c:v>
                </c:pt>
                <c:pt idx="579">
                  <c:v>11999.985435569528</c:v>
                </c:pt>
                <c:pt idx="580">
                  <c:v>12000.385464987645</c:v>
                </c:pt>
                <c:pt idx="581">
                  <c:v>11999.703652272221</c:v>
                </c:pt>
                <c:pt idx="582">
                  <c:v>11999.82074153585</c:v>
                </c:pt>
                <c:pt idx="583">
                  <c:v>12000.1619271743</c:v>
                </c:pt>
                <c:pt idx="584">
                  <c:v>11999.856909817423</c:v>
                </c:pt>
                <c:pt idx="585">
                  <c:v>11999.738827937155</c:v>
                </c:pt>
                <c:pt idx="586">
                  <c:v>11999.809420709895</c:v>
                </c:pt>
                <c:pt idx="587">
                  <c:v>11999.877321687984</c:v>
                </c:pt>
                <c:pt idx="588">
                  <c:v>12000.029044742803</c:v>
                </c:pt>
                <c:pt idx="589">
                  <c:v>11999.658918633</c:v>
                </c:pt>
                <c:pt idx="590">
                  <c:v>11999.727357759073</c:v>
                </c:pt>
                <c:pt idx="591">
                  <c:v>12000.340869438012</c:v>
                </c:pt>
                <c:pt idx="592">
                  <c:v>12000.388076039955</c:v>
                </c:pt>
                <c:pt idx="593">
                  <c:v>12000.341240513713</c:v>
                </c:pt>
                <c:pt idx="594">
                  <c:v>12000.237465314327</c:v>
                </c:pt>
                <c:pt idx="595">
                  <c:v>12000.375614783778</c:v>
                </c:pt>
                <c:pt idx="596">
                  <c:v>11999.506573143293</c:v>
                </c:pt>
                <c:pt idx="597">
                  <c:v>12000.074565614626</c:v>
                </c:pt>
                <c:pt idx="598">
                  <c:v>12000.112116122205</c:v>
                </c:pt>
                <c:pt idx="599">
                  <c:v>11999.910524909379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1E-4AC2-8055-847B02E9C8D9}"/>
            </c:ext>
          </c:extLst>
        </c:ser>
        <c:ser>
          <c:idx val="1"/>
          <c:order val="1"/>
          <c:tx>
            <c:strRef>
              <c:f>MONEY!$C$3</c:f>
              <c:strCache>
                <c:ptCount val="1"/>
                <c:pt idx="0">
                  <c:v>Sum of w_m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MONEY!$A$4:$A$604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MONEY!$C$4:$C$604</c:f>
              <c:numCache>
                <c:formatCode>General</c:formatCode>
                <c:ptCount val="600"/>
                <c:pt idx="0">
                  <c:v>6899.9999105930328</c:v>
                </c:pt>
                <c:pt idx="1">
                  <c:v>7016.7886658906937</c:v>
                </c:pt>
                <c:pt idx="2">
                  <c:v>7024.775673866272</c:v>
                </c:pt>
                <c:pt idx="3">
                  <c:v>7009.1999026536942</c:v>
                </c:pt>
                <c:pt idx="4">
                  <c:v>6986.5023907423019</c:v>
                </c:pt>
                <c:pt idx="5">
                  <c:v>6965.1534367799759</c:v>
                </c:pt>
                <c:pt idx="6">
                  <c:v>6947.1158450841904</c:v>
                </c:pt>
                <c:pt idx="7">
                  <c:v>6914.7690137624741</c:v>
                </c:pt>
                <c:pt idx="8">
                  <c:v>6889.5401911735535</c:v>
                </c:pt>
                <c:pt idx="9">
                  <c:v>6861.3680480718613</c:v>
                </c:pt>
                <c:pt idx="10">
                  <c:v>6837.4890151023865</c:v>
                </c:pt>
                <c:pt idx="11">
                  <c:v>6817.0416485071182</c:v>
                </c:pt>
                <c:pt idx="12">
                  <c:v>6793.6131302118301</c:v>
                </c:pt>
                <c:pt idx="13">
                  <c:v>6773.6757474541664</c:v>
                </c:pt>
                <c:pt idx="14">
                  <c:v>6747.6452456116676</c:v>
                </c:pt>
                <c:pt idx="15">
                  <c:v>6726.5303151905537</c:v>
                </c:pt>
                <c:pt idx="16">
                  <c:v>6703.3547393381596</c:v>
                </c:pt>
                <c:pt idx="17">
                  <c:v>6695.8079672157764</c:v>
                </c:pt>
                <c:pt idx="18">
                  <c:v>6676.4890544712543</c:v>
                </c:pt>
                <c:pt idx="19">
                  <c:v>6654.0505447089672</c:v>
                </c:pt>
                <c:pt idx="20">
                  <c:v>6636.8723548352718</c:v>
                </c:pt>
                <c:pt idx="21">
                  <c:v>6623.2221272289753</c:v>
                </c:pt>
                <c:pt idx="22">
                  <c:v>6615.6553995609283</c:v>
                </c:pt>
                <c:pt idx="23">
                  <c:v>6616.6942499876022</c:v>
                </c:pt>
                <c:pt idx="24">
                  <c:v>6606.5111029967666</c:v>
                </c:pt>
                <c:pt idx="25">
                  <c:v>6598.1516550332308</c:v>
                </c:pt>
                <c:pt idx="26">
                  <c:v>6602.3144537331536</c:v>
                </c:pt>
                <c:pt idx="27">
                  <c:v>6615.6514472635827</c:v>
                </c:pt>
                <c:pt idx="28">
                  <c:v>6618.9058876170893</c:v>
                </c:pt>
                <c:pt idx="29">
                  <c:v>6624.158469455826</c:v>
                </c:pt>
                <c:pt idx="30">
                  <c:v>6635.3964113596594</c:v>
                </c:pt>
                <c:pt idx="31">
                  <c:v>6634.6283907072811</c:v>
                </c:pt>
                <c:pt idx="32">
                  <c:v>6645.5115776761668</c:v>
                </c:pt>
                <c:pt idx="33">
                  <c:v>6665.7992444401025</c:v>
                </c:pt>
                <c:pt idx="34">
                  <c:v>6696.1749403706417</c:v>
                </c:pt>
                <c:pt idx="35">
                  <c:v>6728.0263086624545</c:v>
                </c:pt>
                <c:pt idx="36">
                  <c:v>6745.812207792962</c:v>
                </c:pt>
                <c:pt idx="37">
                  <c:v>6766.1148615981729</c:v>
                </c:pt>
                <c:pt idx="38">
                  <c:v>6786.6570964280327</c:v>
                </c:pt>
                <c:pt idx="39">
                  <c:v>6817.5262924396447</c:v>
                </c:pt>
                <c:pt idx="40">
                  <c:v>6827.0667691058516</c:v>
                </c:pt>
                <c:pt idx="41">
                  <c:v>6851.0683440223365</c:v>
                </c:pt>
                <c:pt idx="42">
                  <c:v>6894.3920790107804</c:v>
                </c:pt>
                <c:pt idx="43">
                  <c:v>6936.049474619329</c:v>
                </c:pt>
                <c:pt idx="44">
                  <c:v>6962.1395750883385</c:v>
                </c:pt>
                <c:pt idx="45">
                  <c:v>6999.6769206114113</c:v>
                </c:pt>
                <c:pt idx="46">
                  <c:v>7033.337627197543</c:v>
                </c:pt>
                <c:pt idx="47">
                  <c:v>7077.0117456060834</c:v>
                </c:pt>
                <c:pt idx="48">
                  <c:v>7113.8521399057499</c:v>
                </c:pt>
                <c:pt idx="49">
                  <c:v>7155.0901337177493</c:v>
                </c:pt>
                <c:pt idx="50">
                  <c:v>7193.812762206886</c:v>
                </c:pt>
                <c:pt idx="51">
                  <c:v>7241.5443326673703</c:v>
                </c:pt>
                <c:pt idx="52">
                  <c:v>7276.3298060033703</c:v>
                </c:pt>
                <c:pt idx="53">
                  <c:v>7314.0161205593031</c:v>
                </c:pt>
                <c:pt idx="54">
                  <c:v>7355.4923241465585</c:v>
                </c:pt>
                <c:pt idx="55">
                  <c:v>7395.9531155679724</c:v>
                </c:pt>
                <c:pt idx="56">
                  <c:v>7440.4439082657336</c:v>
                </c:pt>
                <c:pt idx="57">
                  <c:v>7485.1285941801616</c:v>
                </c:pt>
                <c:pt idx="58">
                  <c:v>7521.9611498808372</c:v>
                </c:pt>
                <c:pt idx="59">
                  <c:v>7553.7414218243212</c:v>
                </c:pt>
                <c:pt idx="60">
                  <c:v>7592.794429782778</c:v>
                </c:pt>
                <c:pt idx="61">
                  <c:v>7630.7203644607216</c:v>
                </c:pt>
                <c:pt idx="62">
                  <c:v>7664.9804850034416</c:v>
                </c:pt>
                <c:pt idx="63">
                  <c:v>7702.419966426678</c:v>
                </c:pt>
                <c:pt idx="64">
                  <c:v>7735.9019035203382</c:v>
                </c:pt>
                <c:pt idx="65">
                  <c:v>7770.819939785637</c:v>
                </c:pt>
                <c:pt idx="66">
                  <c:v>7813.8824275084771</c:v>
                </c:pt>
                <c:pt idx="67">
                  <c:v>7852.2229446461424</c:v>
                </c:pt>
                <c:pt idx="68">
                  <c:v>7884.2568388214568</c:v>
                </c:pt>
                <c:pt idx="69">
                  <c:v>7917.3178906170651</c:v>
                </c:pt>
                <c:pt idx="70">
                  <c:v>7950.4954891074449</c:v>
                </c:pt>
                <c:pt idx="71">
                  <c:v>7983.2874257588992</c:v>
                </c:pt>
                <c:pt idx="72">
                  <c:v>8019.3706793222809</c:v>
                </c:pt>
                <c:pt idx="73">
                  <c:v>8056.3908720283071</c:v>
                </c:pt>
                <c:pt idx="74">
                  <c:v>8098.305115303956</c:v>
                </c:pt>
                <c:pt idx="75">
                  <c:v>8128.2766032963991</c:v>
                </c:pt>
                <c:pt idx="76">
                  <c:v>8157.1627329038456</c:v>
                </c:pt>
                <c:pt idx="77">
                  <c:v>8188.1096295118332</c:v>
                </c:pt>
                <c:pt idx="78">
                  <c:v>8217.8847390946466</c:v>
                </c:pt>
                <c:pt idx="79">
                  <c:v>8247.1044620009488</c:v>
                </c:pt>
                <c:pt idx="80">
                  <c:v>8292.300321681425</c:v>
                </c:pt>
                <c:pt idx="81">
                  <c:v>8333.4843537644483</c:v>
                </c:pt>
                <c:pt idx="82">
                  <c:v>8373.5036913645454</c:v>
                </c:pt>
                <c:pt idx="83">
                  <c:v>8399.5467456648184</c:v>
                </c:pt>
                <c:pt idx="84">
                  <c:v>8431.3618361135013</c:v>
                </c:pt>
                <c:pt idx="85">
                  <c:v>8469.1727439798415</c:v>
                </c:pt>
                <c:pt idx="86">
                  <c:v>8503.1425633278122</c:v>
                </c:pt>
                <c:pt idx="87">
                  <c:v>8533.5704259794584</c:v>
                </c:pt>
                <c:pt idx="88">
                  <c:v>8563.1449912738753</c:v>
                </c:pt>
                <c:pt idx="89">
                  <c:v>8592.1872999497427</c:v>
                </c:pt>
                <c:pt idx="90">
                  <c:v>8617.6989429073146</c:v>
                </c:pt>
                <c:pt idx="91">
                  <c:v>8643.6224035384366</c:v>
                </c:pt>
                <c:pt idx="92">
                  <c:v>8673.8331166622229</c:v>
                </c:pt>
                <c:pt idx="93">
                  <c:v>8700.3083902020007</c:v>
                </c:pt>
                <c:pt idx="94">
                  <c:v>8729.4184480644763</c:v>
                </c:pt>
                <c:pt idx="95">
                  <c:v>8763.8071359316818</c:v>
                </c:pt>
                <c:pt idx="96">
                  <c:v>8793.9865647112019</c:v>
                </c:pt>
                <c:pt idx="97">
                  <c:v>8819.9754545725882</c:v>
                </c:pt>
                <c:pt idx="98">
                  <c:v>8849.7863763296045</c:v>
                </c:pt>
                <c:pt idx="99">
                  <c:v>8875.857058784808</c:v>
                </c:pt>
                <c:pt idx="100">
                  <c:v>8898.7674738508649</c:v>
                </c:pt>
                <c:pt idx="101">
                  <c:v>8927.7991126412526</c:v>
                </c:pt>
                <c:pt idx="102">
                  <c:v>8955.7229273482226</c:v>
                </c:pt>
                <c:pt idx="103">
                  <c:v>8981.7503128410317</c:v>
                </c:pt>
                <c:pt idx="104">
                  <c:v>9006.5126782786101</c:v>
                </c:pt>
                <c:pt idx="105">
                  <c:v>9034.3454472329468</c:v>
                </c:pt>
                <c:pt idx="106">
                  <c:v>9055.2054620268755</c:v>
                </c:pt>
                <c:pt idx="107">
                  <c:v>9070.6542933941819</c:v>
                </c:pt>
                <c:pt idx="108">
                  <c:v>9089.6645412826911</c:v>
                </c:pt>
                <c:pt idx="109">
                  <c:v>9112.1107767769718</c:v>
                </c:pt>
                <c:pt idx="110">
                  <c:v>9133.3119839690989</c:v>
                </c:pt>
                <c:pt idx="111">
                  <c:v>9156.5893654258398</c:v>
                </c:pt>
                <c:pt idx="112">
                  <c:v>9186.5971498057188</c:v>
                </c:pt>
                <c:pt idx="113">
                  <c:v>9213.3330149932299</c:v>
                </c:pt>
                <c:pt idx="114">
                  <c:v>9239.333935506409</c:v>
                </c:pt>
                <c:pt idx="115">
                  <c:v>9267.3248417610303</c:v>
                </c:pt>
                <c:pt idx="116">
                  <c:v>9295.6778199481778</c:v>
                </c:pt>
                <c:pt idx="117">
                  <c:v>9328.9118105424568</c:v>
                </c:pt>
                <c:pt idx="118">
                  <c:v>9358.342387507204</c:v>
                </c:pt>
                <c:pt idx="119">
                  <c:v>9387.8483237384644</c:v>
                </c:pt>
                <c:pt idx="120">
                  <c:v>9411.2277027235832</c:v>
                </c:pt>
                <c:pt idx="121">
                  <c:v>9426.9504790073261</c:v>
                </c:pt>
                <c:pt idx="122">
                  <c:v>9441.6188235430745</c:v>
                </c:pt>
                <c:pt idx="123">
                  <c:v>9448.245103037334</c:v>
                </c:pt>
                <c:pt idx="124">
                  <c:v>9461.9636755269021</c:v>
                </c:pt>
                <c:pt idx="125">
                  <c:v>9474.7088146671304</c:v>
                </c:pt>
                <c:pt idx="126">
                  <c:v>9486.4522985676886</c:v>
                </c:pt>
                <c:pt idx="127">
                  <c:v>9495.6962133189663</c:v>
                </c:pt>
                <c:pt idx="128">
                  <c:v>9504.0980824367143</c:v>
                </c:pt>
                <c:pt idx="129">
                  <c:v>9507.9540325729176</c:v>
                </c:pt>
                <c:pt idx="130">
                  <c:v>9523.7881932663731</c:v>
                </c:pt>
                <c:pt idx="131">
                  <c:v>9537.8120914513711</c:v>
                </c:pt>
                <c:pt idx="132">
                  <c:v>9542.5672071543522</c:v>
                </c:pt>
                <c:pt idx="133">
                  <c:v>9548.1672351190355</c:v>
                </c:pt>
                <c:pt idx="134">
                  <c:v>9554.268966644071</c:v>
                </c:pt>
                <c:pt idx="135">
                  <c:v>9560.3087538047694</c:v>
                </c:pt>
                <c:pt idx="136">
                  <c:v>9570.3365909428103</c:v>
                </c:pt>
                <c:pt idx="137">
                  <c:v>9583.1212125886232</c:v>
                </c:pt>
                <c:pt idx="138">
                  <c:v>9588.4286032163072</c:v>
                </c:pt>
                <c:pt idx="139">
                  <c:v>9597.483512729872</c:v>
                </c:pt>
                <c:pt idx="140">
                  <c:v>9608.2361069186591</c:v>
                </c:pt>
                <c:pt idx="141">
                  <c:v>9610.6873601830303</c:v>
                </c:pt>
                <c:pt idx="142">
                  <c:v>9613.729388301188</c:v>
                </c:pt>
                <c:pt idx="143">
                  <c:v>9618.1925897385081</c:v>
                </c:pt>
                <c:pt idx="144">
                  <c:v>9625.3733883147215</c:v>
                </c:pt>
                <c:pt idx="145">
                  <c:v>9628.5465486381436</c:v>
                </c:pt>
                <c:pt idx="146">
                  <c:v>9629.2359222802334</c:v>
                </c:pt>
                <c:pt idx="147">
                  <c:v>9631.8650727692002</c:v>
                </c:pt>
                <c:pt idx="148">
                  <c:v>9636.2886016806588</c:v>
                </c:pt>
                <c:pt idx="149">
                  <c:v>9640.469957733294</c:v>
                </c:pt>
                <c:pt idx="150">
                  <c:v>9641.0994636677206</c:v>
                </c:pt>
                <c:pt idx="151">
                  <c:v>9640.529627131531</c:v>
                </c:pt>
                <c:pt idx="152">
                  <c:v>9644.3208940781187</c:v>
                </c:pt>
                <c:pt idx="153">
                  <c:v>9648.5344111056766</c:v>
                </c:pt>
                <c:pt idx="154">
                  <c:v>9651.8188499165117</c:v>
                </c:pt>
                <c:pt idx="155">
                  <c:v>9652.2717216623132</c:v>
                </c:pt>
                <c:pt idx="156">
                  <c:v>9658.3051779864472</c:v>
                </c:pt>
                <c:pt idx="157">
                  <c:v>9659.4885106292204</c:v>
                </c:pt>
                <c:pt idx="158">
                  <c:v>9659.5416553504765</c:v>
                </c:pt>
                <c:pt idx="159">
                  <c:v>9654.535728989169</c:v>
                </c:pt>
                <c:pt idx="160">
                  <c:v>9650.9372139924672</c:v>
                </c:pt>
                <c:pt idx="161">
                  <c:v>9646.0446899924427</c:v>
                </c:pt>
                <c:pt idx="162">
                  <c:v>9646.9478663904592</c:v>
                </c:pt>
                <c:pt idx="163">
                  <c:v>9650.1100626583211</c:v>
                </c:pt>
                <c:pt idx="164">
                  <c:v>9645.6524706417695</c:v>
                </c:pt>
                <c:pt idx="165">
                  <c:v>9643.1687525917077</c:v>
                </c:pt>
                <c:pt idx="166">
                  <c:v>9642.9526345494669</c:v>
                </c:pt>
                <c:pt idx="167">
                  <c:v>9644.3126045784447</c:v>
                </c:pt>
                <c:pt idx="168">
                  <c:v>9642.3198175203288</c:v>
                </c:pt>
                <c:pt idx="169">
                  <c:v>9647.7968038250692</c:v>
                </c:pt>
                <c:pt idx="170">
                  <c:v>9647.3150818439899</c:v>
                </c:pt>
                <c:pt idx="171">
                  <c:v>9645.5524419991998</c:v>
                </c:pt>
                <c:pt idx="172">
                  <c:v>9642.3076368660841</c:v>
                </c:pt>
                <c:pt idx="173">
                  <c:v>9641.6504663090454</c:v>
                </c:pt>
                <c:pt idx="174">
                  <c:v>9641.7900236574933</c:v>
                </c:pt>
                <c:pt idx="175">
                  <c:v>9645.6819657620508</c:v>
                </c:pt>
                <c:pt idx="176">
                  <c:v>9654.0469268907327</c:v>
                </c:pt>
                <c:pt idx="177">
                  <c:v>9662.3660462481203</c:v>
                </c:pt>
                <c:pt idx="178">
                  <c:v>9660.7920880863676</c:v>
                </c:pt>
                <c:pt idx="179">
                  <c:v>9659.6303451855201</c:v>
                </c:pt>
                <c:pt idx="180">
                  <c:v>9661.194801848731</c:v>
                </c:pt>
                <c:pt idx="181">
                  <c:v>9664.4030174203217</c:v>
                </c:pt>
                <c:pt idx="182">
                  <c:v>9667.7731416521128</c:v>
                </c:pt>
                <c:pt idx="183">
                  <c:v>9666.2062891538953</c:v>
                </c:pt>
                <c:pt idx="184">
                  <c:v>9663.8264954360202</c:v>
                </c:pt>
                <c:pt idx="185">
                  <c:v>9663.7784502988216</c:v>
                </c:pt>
                <c:pt idx="186">
                  <c:v>9669.8781200111844</c:v>
                </c:pt>
                <c:pt idx="187">
                  <c:v>9665.5647307648323</c:v>
                </c:pt>
                <c:pt idx="188">
                  <c:v>9669.6429762457265</c:v>
                </c:pt>
                <c:pt idx="189">
                  <c:v>9678.3294090959243</c:v>
                </c:pt>
                <c:pt idx="190">
                  <c:v>9685.2921880767972</c:v>
                </c:pt>
                <c:pt idx="191">
                  <c:v>9696.9518248867244</c:v>
                </c:pt>
                <c:pt idx="192">
                  <c:v>9705.5399118196219</c:v>
                </c:pt>
                <c:pt idx="193">
                  <c:v>9712.0476913701277</c:v>
                </c:pt>
                <c:pt idx="194">
                  <c:v>9712.0255746424664</c:v>
                </c:pt>
                <c:pt idx="195">
                  <c:v>9714.0782350958325</c:v>
                </c:pt>
                <c:pt idx="196">
                  <c:v>9710.9392381571233</c:v>
                </c:pt>
                <c:pt idx="197">
                  <c:v>9711.3540789395774</c:v>
                </c:pt>
                <c:pt idx="198">
                  <c:v>9714.9527527401224</c:v>
                </c:pt>
                <c:pt idx="199">
                  <c:v>9722.5091457180679</c:v>
                </c:pt>
                <c:pt idx="200">
                  <c:v>9726.386472100392</c:v>
                </c:pt>
                <c:pt idx="201">
                  <c:v>9725.3838126393966</c:v>
                </c:pt>
                <c:pt idx="202">
                  <c:v>9734.0354726800579</c:v>
                </c:pt>
                <c:pt idx="203">
                  <c:v>9738.6108907544985</c:v>
                </c:pt>
                <c:pt idx="204">
                  <c:v>9747.1633734812494</c:v>
                </c:pt>
                <c:pt idx="205">
                  <c:v>9748.8021702528713</c:v>
                </c:pt>
                <c:pt idx="206">
                  <c:v>9748.5662508700043</c:v>
                </c:pt>
                <c:pt idx="207">
                  <c:v>9742.9082757858559</c:v>
                </c:pt>
                <c:pt idx="208">
                  <c:v>9737.0179535388015</c:v>
                </c:pt>
                <c:pt idx="209">
                  <c:v>9739.7264022743329</c:v>
                </c:pt>
                <c:pt idx="210">
                  <c:v>9745.4211552552879</c:v>
                </c:pt>
                <c:pt idx="211">
                  <c:v>9745.7213532479946</c:v>
                </c:pt>
                <c:pt idx="212">
                  <c:v>9746.4333834337303</c:v>
                </c:pt>
                <c:pt idx="213">
                  <c:v>9744.6108079474652</c:v>
                </c:pt>
                <c:pt idx="214">
                  <c:v>9741.4401170477649</c:v>
                </c:pt>
                <c:pt idx="215">
                  <c:v>9737.6287509537069</c:v>
                </c:pt>
                <c:pt idx="216">
                  <c:v>9742.0948451597942</c:v>
                </c:pt>
                <c:pt idx="217">
                  <c:v>9747.7983550028875</c:v>
                </c:pt>
                <c:pt idx="218">
                  <c:v>9749.5132612818852</c:v>
                </c:pt>
                <c:pt idx="219">
                  <c:v>9761.7299431559513</c:v>
                </c:pt>
                <c:pt idx="220">
                  <c:v>9768.0661680191697</c:v>
                </c:pt>
                <c:pt idx="221">
                  <c:v>9785.8493176712709</c:v>
                </c:pt>
                <c:pt idx="222">
                  <c:v>9798.9019612700213</c:v>
                </c:pt>
                <c:pt idx="223">
                  <c:v>9801.2671574621927</c:v>
                </c:pt>
                <c:pt idx="224">
                  <c:v>9799.212117604271</c:v>
                </c:pt>
                <c:pt idx="225">
                  <c:v>9801.0414663820411</c:v>
                </c:pt>
                <c:pt idx="226">
                  <c:v>9811.7839711327106</c:v>
                </c:pt>
                <c:pt idx="227">
                  <c:v>9825.5586300502182</c:v>
                </c:pt>
                <c:pt idx="228">
                  <c:v>9828.5662969937548</c:v>
                </c:pt>
                <c:pt idx="229">
                  <c:v>9831.4516842742451</c:v>
                </c:pt>
                <c:pt idx="230">
                  <c:v>9843.6792509796214</c:v>
                </c:pt>
                <c:pt idx="231">
                  <c:v>9854.3536567252595</c:v>
                </c:pt>
                <c:pt idx="232">
                  <c:v>9856.8847638231236</c:v>
                </c:pt>
                <c:pt idx="233">
                  <c:v>9875.5980254882015</c:v>
                </c:pt>
                <c:pt idx="234">
                  <c:v>9895.4484073435888</c:v>
                </c:pt>
                <c:pt idx="235">
                  <c:v>9909.1022815947654</c:v>
                </c:pt>
                <c:pt idx="236">
                  <c:v>9920.9022141236346</c:v>
                </c:pt>
                <c:pt idx="237">
                  <c:v>9931.2260419727536</c:v>
                </c:pt>
                <c:pt idx="238">
                  <c:v>9944.7025968530215</c:v>
                </c:pt>
                <c:pt idx="239">
                  <c:v>9954.9010245092213</c:v>
                </c:pt>
                <c:pt idx="240">
                  <c:v>9967.3132216795348</c:v>
                </c:pt>
                <c:pt idx="241">
                  <c:v>9981.0761117691873</c:v>
                </c:pt>
                <c:pt idx="242">
                  <c:v>9999.8282399233431</c:v>
                </c:pt>
                <c:pt idx="243">
                  <c:v>10015.131542176707</c:v>
                </c:pt>
                <c:pt idx="244">
                  <c:v>10023.51281330944</c:v>
                </c:pt>
                <c:pt idx="245">
                  <c:v>10031.713990469696</c:v>
                </c:pt>
                <c:pt idx="246">
                  <c:v>10028.912323036231</c:v>
                </c:pt>
                <c:pt idx="247">
                  <c:v>10037.599604872172</c:v>
                </c:pt>
                <c:pt idx="248">
                  <c:v>10041.582009897567</c:v>
                </c:pt>
                <c:pt idx="249">
                  <c:v>10060.605649961857</c:v>
                </c:pt>
                <c:pt idx="250">
                  <c:v>10071.529296217486</c:v>
                </c:pt>
                <c:pt idx="251">
                  <c:v>10075.136760890018</c:v>
                </c:pt>
                <c:pt idx="252">
                  <c:v>10080.68576922387</c:v>
                </c:pt>
                <c:pt idx="253">
                  <c:v>10083.687598822784</c:v>
                </c:pt>
                <c:pt idx="254">
                  <c:v>10089.685487487703</c:v>
                </c:pt>
                <c:pt idx="255">
                  <c:v>10107.672584520362</c:v>
                </c:pt>
                <c:pt idx="256">
                  <c:v>10127.474153738935</c:v>
                </c:pt>
                <c:pt idx="257">
                  <c:v>10146.931871306617</c:v>
                </c:pt>
                <c:pt idx="258">
                  <c:v>10159.563564371783</c:v>
                </c:pt>
                <c:pt idx="259">
                  <c:v>10171.586329290178</c:v>
                </c:pt>
                <c:pt idx="260">
                  <c:v>10173.92983322544</c:v>
                </c:pt>
                <c:pt idx="261">
                  <c:v>10180.239792592125</c:v>
                </c:pt>
                <c:pt idx="262">
                  <c:v>10181.656259977724</c:v>
                </c:pt>
                <c:pt idx="263">
                  <c:v>10189.368640650762</c:v>
                </c:pt>
                <c:pt idx="264">
                  <c:v>10189.65106480848</c:v>
                </c:pt>
                <c:pt idx="265">
                  <c:v>10187.112600183362</c:v>
                </c:pt>
                <c:pt idx="266">
                  <c:v>10180.783333430081</c:v>
                </c:pt>
                <c:pt idx="267">
                  <c:v>10192.066205032417</c:v>
                </c:pt>
                <c:pt idx="268">
                  <c:v>10213.082025829484</c:v>
                </c:pt>
                <c:pt idx="269">
                  <c:v>10224.111762170694</c:v>
                </c:pt>
                <c:pt idx="270">
                  <c:v>10242.804614738634</c:v>
                </c:pt>
                <c:pt idx="271">
                  <c:v>10259.556192325443</c:v>
                </c:pt>
                <c:pt idx="272">
                  <c:v>10282.64061832591</c:v>
                </c:pt>
                <c:pt idx="273">
                  <c:v>10292.077567965724</c:v>
                </c:pt>
                <c:pt idx="274">
                  <c:v>10318.131969931768</c:v>
                </c:pt>
                <c:pt idx="275">
                  <c:v>10335.426069845213</c:v>
                </c:pt>
                <c:pt idx="276">
                  <c:v>10355.397141164285</c:v>
                </c:pt>
                <c:pt idx="277">
                  <c:v>10363.43794608285</c:v>
                </c:pt>
                <c:pt idx="278">
                  <c:v>10375.875461600313</c:v>
                </c:pt>
                <c:pt idx="279">
                  <c:v>10385.866474632057</c:v>
                </c:pt>
                <c:pt idx="280">
                  <c:v>10405.035076312604</c:v>
                </c:pt>
                <c:pt idx="281">
                  <c:v>10417.307714067545</c:v>
                </c:pt>
                <c:pt idx="282">
                  <c:v>10425.327914611844</c:v>
                </c:pt>
                <c:pt idx="283">
                  <c:v>10442.859267049003</c:v>
                </c:pt>
                <c:pt idx="284">
                  <c:v>10453.589794370579</c:v>
                </c:pt>
                <c:pt idx="285">
                  <c:v>10465.375705122191</c:v>
                </c:pt>
                <c:pt idx="286">
                  <c:v>10482.581901879748</c:v>
                </c:pt>
                <c:pt idx="287">
                  <c:v>10502.960764552816</c:v>
                </c:pt>
                <c:pt idx="288">
                  <c:v>10526.662095059757</c:v>
                </c:pt>
                <c:pt idx="289">
                  <c:v>10552.68562128098</c:v>
                </c:pt>
                <c:pt idx="290">
                  <c:v>10579.555185301986</c:v>
                </c:pt>
                <c:pt idx="291">
                  <c:v>10601.264993794961</c:v>
                </c:pt>
                <c:pt idx="292">
                  <c:v>10622.076735259558</c:v>
                </c:pt>
                <c:pt idx="293">
                  <c:v>10640.338066777273</c:v>
                </c:pt>
                <c:pt idx="294">
                  <c:v>10663.806236002827</c:v>
                </c:pt>
                <c:pt idx="295">
                  <c:v>10680.610888883093</c:v>
                </c:pt>
                <c:pt idx="296">
                  <c:v>10704.1276308503</c:v>
                </c:pt>
                <c:pt idx="297">
                  <c:v>10721.127543726237</c:v>
                </c:pt>
                <c:pt idx="298">
                  <c:v>10741.666432990751</c:v>
                </c:pt>
                <c:pt idx="299">
                  <c:v>10766.688422020641</c:v>
                </c:pt>
                <c:pt idx="300">
                  <c:v>10781.898311671277</c:v>
                </c:pt>
                <c:pt idx="301">
                  <c:v>10817.454882615246</c:v>
                </c:pt>
                <c:pt idx="302">
                  <c:v>10830.545222882181</c:v>
                </c:pt>
                <c:pt idx="303">
                  <c:v>10850.044710222166</c:v>
                </c:pt>
                <c:pt idx="304">
                  <c:v>10867.492044348968</c:v>
                </c:pt>
                <c:pt idx="305">
                  <c:v>10889.172932658577</c:v>
                </c:pt>
                <c:pt idx="306">
                  <c:v>10916.949058527243</c:v>
                </c:pt>
                <c:pt idx="307">
                  <c:v>10930.932986257947</c:v>
                </c:pt>
                <c:pt idx="308">
                  <c:v>10950.156300442759</c:v>
                </c:pt>
                <c:pt idx="309">
                  <c:v>10979.019850633922</c:v>
                </c:pt>
                <c:pt idx="310">
                  <c:v>11013.265034582</c:v>
                </c:pt>
                <c:pt idx="311">
                  <c:v>11049.572824163653</c:v>
                </c:pt>
                <c:pt idx="312">
                  <c:v>11072.792593836144</c:v>
                </c:pt>
                <c:pt idx="313">
                  <c:v>11106.352290755429</c:v>
                </c:pt>
                <c:pt idx="314">
                  <c:v>11119.58108509687</c:v>
                </c:pt>
                <c:pt idx="315">
                  <c:v>11147.474300863396</c:v>
                </c:pt>
                <c:pt idx="316">
                  <c:v>11165.58542412956</c:v>
                </c:pt>
                <c:pt idx="317">
                  <c:v>11191.306538620498</c:v>
                </c:pt>
                <c:pt idx="318">
                  <c:v>11230.712004202604</c:v>
                </c:pt>
                <c:pt idx="319">
                  <c:v>11249.50849022828</c:v>
                </c:pt>
                <c:pt idx="320">
                  <c:v>11285.397247387747</c:v>
                </c:pt>
                <c:pt idx="321">
                  <c:v>11321.49723295333</c:v>
                </c:pt>
                <c:pt idx="322">
                  <c:v>11336.404823894438</c:v>
                </c:pt>
                <c:pt idx="323">
                  <c:v>11370.763823132496</c:v>
                </c:pt>
                <c:pt idx="324">
                  <c:v>11397.43923709495</c:v>
                </c:pt>
                <c:pt idx="325">
                  <c:v>11433.218107922003</c:v>
                </c:pt>
                <c:pt idx="326">
                  <c:v>11453.568449565675</c:v>
                </c:pt>
                <c:pt idx="327">
                  <c:v>11487.23436910403</c:v>
                </c:pt>
                <c:pt idx="328">
                  <c:v>11518.69616243802</c:v>
                </c:pt>
                <c:pt idx="329">
                  <c:v>11550.652232086286</c:v>
                </c:pt>
                <c:pt idx="330">
                  <c:v>11586.40203710366</c:v>
                </c:pt>
                <c:pt idx="331">
                  <c:v>11613.65293023744</c:v>
                </c:pt>
                <c:pt idx="332">
                  <c:v>11648.164728909498</c:v>
                </c:pt>
                <c:pt idx="333">
                  <c:v>11682.133105552872</c:v>
                </c:pt>
                <c:pt idx="334">
                  <c:v>11723.266968483105</c:v>
                </c:pt>
                <c:pt idx="335">
                  <c:v>11774.016576326685</c:v>
                </c:pt>
                <c:pt idx="336">
                  <c:v>11809.669755180192</c:v>
                </c:pt>
                <c:pt idx="337">
                  <c:v>11855.246792268939</c:v>
                </c:pt>
                <c:pt idx="338">
                  <c:v>11910.802972410107</c:v>
                </c:pt>
                <c:pt idx="339">
                  <c:v>11953.873778134061</c:v>
                </c:pt>
                <c:pt idx="340">
                  <c:v>12000.688130539318</c:v>
                </c:pt>
                <c:pt idx="341">
                  <c:v>12025.225024365936</c:v>
                </c:pt>
                <c:pt idx="342">
                  <c:v>12054.226404157613</c:v>
                </c:pt>
                <c:pt idx="343">
                  <c:v>12094.342806137051</c:v>
                </c:pt>
                <c:pt idx="344">
                  <c:v>12133.975438009133</c:v>
                </c:pt>
                <c:pt idx="345">
                  <c:v>12154.549294361525</c:v>
                </c:pt>
                <c:pt idx="346">
                  <c:v>12199.868238349009</c:v>
                </c:pt>
                <c:pt idx="347">
                  <c:v>12225.625138326875</c:v>
                </c:pt>
                <c:pt idx="348">
                  <c:v>12257.979482834693</c:v>
                </c:pt>
                <c:pt idx="349">
                  <c:v>12291.29537591897</c:v>
                </c:pt>
                <c:pt idx="350">
                  <c:v>12334.488048465457</c:v>
                </c:pt>
                <c:pt idx="351">
                  <c:v>12384.456194075232</c:v>
                </c:pt>
                <c:pt idx="352">
                  <c:v>12418.026082463995</c:v>
                </c:pt>
                <c:pt idx="353">
                  <c:v>12462.83072693029</c:v>
                </c:pt>
                <c:pt idx="354">
                  <c:v>12508.124154797464</c:v>
                </c:pt>
                <c:pt idx="355">
                  <c:v>12542.735566735209</c:v>
                </c:pt>
                <c:pt idx="356">
                  <c:v>12578.788388010813</c:v>
                </c:pt>
                <c:pt idx="357">
                  <c:v>12627.603635425214</c:v>
                </c:pt>
                <c:pt idx="358">
                  <c:v>12662.361490737414</c:v>
                </c:pt>
                <c:pt idx="359">
                  <c:v>12683.426109807973</c:v>
                </c:pt>
                <c:pt idx="360">
                  <c:v>12733.962569841649</c:v>
                </c:pt>
                <c:pt idx="361">
                  <c:v>12771.295815490244</c:v>
                </c:pt>
                <c:pt idx="362">
                  <c:v>12813.661308202019</c:v>
                </c:pt>
                <c:pt idx="363">
                  <c:v>12860.362127895736</c:v>
                </c:pt>
                <c:pt idx="364">
                  <c:v>12901.884349779786</c:v>
                </c:pt>
                <c:pt idx="365">
                  <c:v>12933.919708333771</c:v>
                </c:pt>
                <c:pt idx="366">
                  <c:v>12972.741262640928</c:v>
                </c:pt>
                <c:pt idx="367">
                  <c:v>13011.255357333204</c:v>
                </c:pt>
                <c:pt idx="368">
                  <c:v>13054.759285537177</c:v>
                </c:pt>
                <c:pt idx="369">
                  <c:v>13098.084726821748</c:v>
                </c:pt>
                <c:pt idx="370">
                  <c:v>13129.41581324616</c:v>
                </c:pt>
                <c:pt idx="371">
                  <c:v>13173.977113772824</c:v>
                </c:pt>
                <c:pt idx="372">
                  <c:v>13195.128311493609</c:v>
                </c:pt>
                <c:pt idx="373">
                  <c:v>13223.665024276299</c:v>
                </c:pt>
                <c:pt idx="374">
                  <c:v>13267.211858665047</c:v>
                </c:pt>
                <c:pt idx="375">
                  <c:v>13296.932607498253</c:v>
                </c:pt>
                <c:pt idx="376">
                  <c:v>13336.671521756682</c:v>
                </c:pt>
                <c:pt idx="377">
                  <c:v>13372.528845531633</c:v>
                </c:pt>
                <c:pt idx="378">
                  <c:v>13411.076053194127</c:v>
                </c:pt>
                <c:pt idx="379">
                  <c:v>13457.530198505672</c:v>
                </c:pt>
                <c:pt idx="380">
                  <c:v>13483.523383343534</c:v>
                </c:pt>
                <c:pt idx="381">
                  <c:v>13519.305803990108</c:v>
                </c:pt>
                <c:pt idx="382">
                  <c:v>13565.606989298656</c:v>
                </c:pt>
                <c:pt idx="383">
                  <c:v>13589.071956884523</c:v>
                </c:pt>
                <c:pt idx="384">
                  <c:v>13638.521288162621</c:v>
                </c:pt>
                <c:pt idx="385">
                  <c:v>13682.765631549526</c:v>
                </c:pt>
                <c:pt idx="386">
                  <c:v>13721.391472154937</c:v>
                </c:pt>
                <c:pt idx="387">
                  <c:v>13756.870101764041</c:v>
                </c:pt>
                <c:pt idx="388">
                  <c:v>13790.865504470188</c:v>
                </c:pt>
                <c:pt idx="389">
                  <c:v>13848.507214838639</c:v>
                </c:pt>
                <c:pt idx="390">
                  <c:v>13880.201725731487</c:v>
                </c:pt>
                <c:pt idx="391">
                  <c:v>13920.321788446628</c:v>
                </c:pt>
                <c:pt idx="392">
                  <c:v>13970.74806375074</c:v>
                </c:pt>
                <c:pt idx="393">
                  <c:v>13999.211621683877</c:v>
                </c:pt>
                <c:pt idx="394">
                  <c:v>14055.571381052498</c:v>
                </c:pt>
                <c:pt idx="395">
                  <c:v>14086.202737866894</c:v>
                </c:pt>
                <c:pt idx="396">
                  <c:v>14134.483045330737</c:v>
                </c:pt>
                <c:pt idx="397">
                  <c:v>14202.715678292327</c:v>
                </c:pt>
                <c:pt idx="398">
                  <c:v>14267.042482218007</c:v>
                </c:pt>
                <c:pt idx="399">
                  <c:v>14327.961215526972</c:v>
                </c:pt>
                <c:pt idx="400">
                  <c:v>14354.739171477035</c:v>
                </c:pt>
                <c:pt idx="401">
                  <c:v>14395.852104212274</c:v>
                </c:pt>
                <c:pt idx="402">
                  <c:v>14454.181829923997</c:v>
                </c:pt>
                <c:pt idx="403">
                  <c:v>14514.211511910311</c:v>
                </c:pt>
                <c:pt idx="404">
                  <c:v>14568.871962944861</c:v>
                </c:pt>
                <c:pt idx="405">
                  <c:v>14621.567196410266</c:v>
                </c:pt>
                <c:pt idx="406">
                  <c:v>14666.023881410016</c:v>
                </c:pt>
                <c:pt idx="407">
                  <c:v>14701.035035416251</c:v>
                </c:pt>
                <c:pt idx="408">
                  <c:v>14736.639925692463</c:v>
                </c:pt>
                <c:pt idx="409">
                  <c:v>14794.650569536665</c:v>
                </c:pt>
                <c:pt idx="410">
                  <c:v>14814.49379773243</c:v>
                </c:pt>
                <c:pt idx="411">
                  <c:v>14841.843053375895</c:v>
                </c:pt>
                <c:pt idx="412">
                  <c:v>14878.33931921568</c:v>
                </c:pt>
                <c:pt idx="413">
                  <c:v>14922.151029369859</c:v>
                </c:pt>
                <c:pt idx="414">
                  <c:v>14979.765973257454</c:v>
                </c:pt>
                <c:pt idx="415">
                  <c:v>15007.065186752938</c:v>
                </c:pt>
                <c:pt idx="416">
                  <c:v>15081.150405544031</c:v>
                </c:pt>
                <c:pt idx="417">
                  <c:v>15114.891647149008</c:v>
                </c:pt>
                <c:pt idx="418">
                  <c:v>15185.634380777272</c:v>
                </c:pt>
                <c:pt idx="419">
                  <c:v>15208.922621818405</c:v>
                </c:pt>
                <c:pt idx="420">
                  <c:v>15231.677179324266</c:v>
                </c:pt>
                <c:pt idx="421">
                  <c:v>15274.938244629535</c:v>
                </c:pt>
                <c:pt idx="422">
                  <c:v>15329.149476710983</c:v>
                </c:pt>
                <c:pt idx="423">
                  <c:v>15385.649912604291</c:v>
                </c:pt>
                <c:pt idx="424">
                  <c:v>15421.892903690488</c:v>
                </c:pt>
                <c:pt idx="425">
                  <c:v>15439.933405752436</c:v>
                </c:pt>
                <c:pt idx="426">
                  <c:v>15485.376860848162</c:v>
                </c:pt>
                <c:pt idx="427">
                  <c:v>15585.628682840208</c:v>
                </c:pt>
                <c:pt idx="428">
                  <c:v>15672.926917960125</c:v>
                </c:pt>
                <c:pt idx="429">
                  <c:v>15753.339880349755</c:v>
                </c:pt>
                <c:pt idx="430">
                  <c:v>15804.640861742329</c:v>
                </c:pt>
                <c:pt idx="431">
                  <c:v>15840.058610332184</c:v>
                </c:pt>
                <c:pt idx="432">
                  <c:v>15882.745826624086</c:v>
                </c:pt>
                <c:pt idx="433">
                  <c:v>15935.076324366179</c:v>
                </c:pt>
                <c:pt idx="434">
                  <c:v>15979.444519266341</c:v>
                </c:pt>
                <c:pt idx="435">
                  <c:v>16048.353834790963</c:v>
                </c:pt>
                <c:pt idx="436">
                  <c:v>16097.486172572098</c:v>
                </c:pt>
                <c:pt idx="437">
                  <c:v>16161.480406353146</c:v>
                </c:pt>
                <c:pt idx="438">
                  <c:v>16217.470999714698</c:v>
                </c:pt>
                <c:pt idx="439">
                  <c:v>16277.507303408513</c:v>
                </c:pt>
                <c:pt idx="440">
                  <c:v>16338.584417779535</c:v>
                </c:pt>
                <c:pt idx="441">
                  <c:v>16389.823101800241</c:v>
                </c:pt>
                <c:pt idx="442">
                  <c:v>16414.22896216833</c:v>
                </c:pt>
                <c:pt idx="443">
                  <c:v>16454.682322570239</c:v>
                </c:pt>
                <c:pt idx="444">
                  <c:v>16495.556088269106</c:v>
                </c:pt>
                <c:pt idx="445">
                  <c:v>16564.931896261289</c:v>
                </c:pt>
                <c:pt idx="446">
                  <c:v>16594.352821247128</c:v>
                </c:pt>
                <c:pt idx="447">
                  <c:v>16630.465636213194</c:v>
                </c:pt>
                <c:pt idx="448">
                  <c:v>16688.932627075003</c:v>
                </c:pt>
                <c:pt idx="449">
                  <c:v>16743.069744193723</c:v>
                </c:pt>
                <c:pt idx="450">
                  <c:v>16807.212034604512</c:v>
                </c:pt>
                <c:pt idx="451">
                  <c:v>16893.714862354798</c:v>
                </c:pt>
                <c:pt idx="452">
                  <c:v>16957.586229182096</c:v>
                </c:pt>
                <c:pt idx="453">
                  <c:v>17044.631442774684</c:v>
                </c:pt>
                <c:pt idx="454">
                  <c:v>17130.402192420035</c:v>
                </c:pt>
                <c:pt idx="455">
                  <c:v>17202.376251892361</c:v>
                </c:pt>
                <c:pt idx="456">
                  <c:v>17292.486983734649</c:v>
                </c:pt>
                <c:pt idx="457">
                  <c:v>17354.351422314299</c:v>
                </c:pt>
                <c:pt idx="458">
                  <c:v>17416.827917280723</c:v>
                </c:pt>
                <c:pt idx="459">
                  <c:v>17481.51683204493</c:v>
                </c:pt>
                <c:pt idx="460">
                  <c:v>17547.410548402171</c:v>
                </c:pt>
                <c:pt idx="461">
                  <c:v>17582.93505405559</c:v>
                </c:pt>
                <c:pt idx="462">
                  <c:v>17639.230841877346</c:v>
                </c:pt>
                <c:pt idx="463">
                  <c:v>17723.75984643877</c:v>
                </c:pt>
                <c:pt idx="464">
                  <c:v>17799.434001362519</c:v>
                </c:pt>
                <c:pt idx="465">
                  <c:v>17856.323397564222</c:v>
                </c:pt>
                <c:pt idx="466">
                  <c:v>17916.583460416281</c:v>
                </c:pt>
                <c:pt idx="467">
                  <c:v>18017.557557159671</c:v>
                </c:pt>
                <c:pt idx="468">
                  <c:v>18120.185938123417</c:v>
                </c:pt>
                <c:pt idx="469">
                  <c:v>18176.252649110487</c:v>
                </c:pt>
                <c:pt idx="470">
                  <c:v>18231.577772323049</c:v>
                </c:pt>
                <c:pt idx="471">
                  <c:v>18325.604668387026</c:v>
                </c:pt>
                <c:pt idx="472">
                  <c:v>18363.108933794243</c:v>
                </c:pt>
                <c:pt idx="473">
                  <c:v>18412.525830892078</c:v>
                </c:pt>
                <c:pt idx="474">
                  <c:v>18465.662905996462</c:v>
                </c:pt>
                <c:pt idx="475">
                  <c:v>18551.230414259859</c:v>
                </c:pt>
                <c:pt idx="476">
                  <c:v>18622.223208634765</c:v>
                </c:pt>
                <c:pt idx="477">
                  <c:v>18680.482387924887</c:v>
                </c:pt>
                <c:pt idx="478">
                  <c:v>18756.294047717325</c:v>
                </c:pt>
                <c:pt idx="479">
                  <c:v>18842.379590819997</c:v>
                </c:pt>
                <c:pt idx="480">
                  <c:v>18897.285437746756</c:v>
                </c:pt>
                <c:pt idx="481">
                  <c:v>18953.503378564725</c:v>
                </c:pt>
                <c:pt idx="482">
                  <c:v>19001.644579535845</c:v>
                </c:pt>
                <c:pt idx="483">
                  <c:v>19075.694040056755</c:v>
                </c:pt>
                <c:pt idx="484">
                  <c:v>19155.217972307379</c:v>
                </c:pt>
                <c:pt idx="485">
                  <c:v>19213.68925497579</c:v>
                </c:pt>
                <c:pt idx="486">
                  <c:v>19273.37137179522</c:v>
                </c:pt>
                <c:pt idx="487">
                  <c:v>19338.09789340783</c:v>
                </c:pt>
                <c:pt idx="488">
                  <c:v>19381.446070807171</c:v>
                </c:pt>
                <c:pt idx="489">
                  <c:v>19447.948875113478</c:v>
                </c:pt>
                <c:pt idx="490">
                  <c:v>19530.910081259179</c:v>
                </c:pt>
                <c:pt idx="491">
                  <c:v>19587.114374845027</c:v>
                </c:pt>
                <c:pt idx="492">
                  <c:v>19730.493956353283</c:v>
                </c:pt>
                <c:pt idx="493">
                  <c:v>19804.052268277912</c:v>
                </c:pt>
                <c:pt idx="494">
                  <c:v>19885.129440779274</c:v>
                </c:pt>
                <c:pt idx="495">
                  <c:v>19970.609193178767</c:v>
                </c:pt>
                <c:pt idx="496">
                  <c:v>20033.056867601874</c:v>
                </c:pt>
                <c:pt idx="497">
                  <c:v>20083.408517576041</c:v>
                </c:pt>
                <c:pt idx="498">
                  <c:v>20148.016688138639</c:v>
                </c:pt>
                <c:pt idx="499">
                  <c:v>20222.920252316035</c:v>
                </c:pt>
                <c:pt idx="500">
                  <c:v>20296.593397547622</c:v>
                </c:pt>
                <c:pt idx="501">
                  <c:v>20324.47111608542</c:v>
                </c:pt>
                <c:pt idx="502">
                  <c:v>20404.700770259136</c:v>
                </c:pt>
                <c:pt idx="503">
                  <c:v>20468.953099071688</c:v>
                </c:pt>
                <c:pt idx="504">
                  <c:v>20545.005827534289</c:v>
                </c:pt>
                <c:pt idx="505">
                  <c:v>20659.439130565414</c:v>
                </c:pt>
                <c:pt idx="506">
                  <c:v>20698.777522439676</c:v>
                </c:pt>
                <c:pt idx="507">
                  <c:v>20766.634772574034</c:v>
                </c:pt>
                <c:pt idx="508">
                  <c:v>20819.552914695916</c:v>
                </c:pt>
                <c:pt idx="509">
                  <c:v>20894.015578378094</c:v>
                </c:pt>
                <c:pt idx="510">
                  <c:v>20981.382612438269</c:v>
                </c:pt>
                <c:pt idx="511">
                  <c:v>21091.525249002967</c:v>
                </c:pt>
                <c:pt idx="512">
                  <c:v>21112.09672582848</c:v>
                </c:pt>
                <c:pt idx="513">
                  <c:v>21157.564743645264</c:v>
                </c:pt>
                <c:pt idx="514">
                  <c:v>21241.95186411887</c:v>
                </c:pt>
                <c:pt idx="515">
                  <c:v>21327.250548676813</c:v>
                </c:pt>
                <c:pt idx="516">
                  <c:v>21406.261885654494</c:v>
                </c:pt>
                <c:pt idx="517">
                  <c:v>21484.008077348564</c:v>
                </c:pt>
                <c:pt idx="518">
                  <c:v>21544.844065768215</c:v>
                </c:pt>
                <c:pt idx="519">
                  <c:v>21613.529185428568</c:v>
                </c:pt>
                <c:pt idx="520">
                  <c:v>21686.942232388334</c:v>
                </c:pt>
                <c:pt idx="521">
                  <c:v>21760.553068738081</c:v>
                </c:pt>
                <c:pt idx="522">
                  <c:v>21788.735531986167</c:v>
                </c:pt>
                <c:pt idx="523">
                  <c:v>21889.750472579733</c:v>
                </c:pt>
                <c:pt idx="524">
                  <c:v>21906.730773143572</c:v>
                </c:pt>
                <c:pt idx="525">
                  <c:v>22019.585455861932</c:v>
                </c:pt>
                <c:pt idx="526">
                  <c:v>22091.277456520133</c:v>
                </c:pt>
                <c:pt idx="527">
                  <c:v>22140.950545045554</c:v>
                </c:pt>
                <c:pt idx="528">
                  <c:v>22228.659826836505</c:v>
                </c:pt>
                <c:pt idx="529">
                  <c:v>22302.695506600387</c:v>
                </c:pt>
                <c:pt idx="530">
                  <c:v>22338.547813910714</c:v>
                </c:pt>
                <c:pt idx="531">
                  <c:v>22394.091954069139</c:v>
                </c:pt>
                <c:pt idx="532">
                  <c:v>22463.74049851278</c:v>
                </c:pt>
                <c:pt idx="533">
                  <c:v>22539.19171422522</c:v>
                </c:pt>
                <c:pt idx="534">
                  <c:v>22649.880560505931</c:v>
                </c:pt>
                <c:pt idx="535">
                  <c:v>22738.726229027758</c:v>
                </c:pt>
                <c:pt idx="536">
                  <c:v>22804.654237171839</c:v>
                </c:pt>
                <c:pt idx="537">
                  <c:v>22901.443622469815</c:v>
                </c:pt>
                <c:pt idx="538">
                  <c:v>23002.360652346222</c:v>
                </c:pt>
                <c:pt idx="539">
                  <c:v>23066.121066391934</c:v>
                </c:pt>
                <c:pt idx="540">
                  <c:v>23125.014480360987</c:v>
                </c:pt>
                <c:pt idx="541">
                  <c:v>23223.047487153759</c:v>
                </c:pt>
                <c:pt idx="542">
                  <c:v>23315.629044337344</c:v>
                </c:pt>
                <c:pt idx="543">
                  <c:v>23361.131417631477</c:v>
                </c:pt>
                <c:pt idx="544">
                  <c:v>23437.968357916179</c:v>
                </c:pt>
                <c:pt idx="545">
                  <c:v>23509.564647018313</c:v>
                </c:pt>
                <c:pt idx="546">
                  <c:v>23583.793167797558</c:v>
                </c:pt>
                <c:pt idx="547">
                  <c:v>23635.667497875664</c:v>
                </c:pt>
                <c:pt idx="548">
                  <c:v>23724.322961085243</c:v>
                </c:pt>
                <c:pt idx="549">
                  <c:v>23793.009583804174</c:v>
                </c:pt>
                <c:pt idx="550">
                  <c:v>23845.720044501533</c:v>
                </c:pt>
                <c:pt idx="551">
                  <c:v>23905.263744405675</c:v>
                </c:pt>
                <c:pt idx="552">
                  <c:v>23926.88864170431</c:v>
                </c:pt>
                <c:pt idx="553">
                  <c:v>23981.897552234244</c:v>
                </c:pt>
                <c:pt idx="554">
                  <c:v>24050.016611092095</c:v>
                </c:pt>
                <c:pt idx="555">
                  <c:v>24117.914838281937</c:v>
                </c:pt>
                <c:pt idx="556">
                  <c:v>24178.593954460561</c:v>
                </c:pt>
                <c:pt idx="557">
                  <c:v>24265.048705517271</c:v>
                </c:pt>
                <c:pt idx="558">
                  <c:v>24295.069651711048</c:v>
                </c:pt>
                <c:pt idx="559">
                  <c:v>24394.830056205574</c:v>
                </c:pt>
                <c:pt idx="560">
                  <c:v>24459.17329428692</c:v>
                </c:pt>
                <c:pt idx="561">
                  <c:v>24554.518824864303</c:v>
                </c:pt>
                <c:pt idx="562">
                  <c:v>24611.65512395648</c:v>
                </c:pt>
                <c:pt idx="563">
                  <c:v>24660.872455278928</c:v>
                </c:pt>
                <c:pt idx="564">
                  <c:v>24778.624238976561</c:v>
                </c:pt>
                <c:pt idx="565">
                  <c:v>24831.231116557312</c:v>
                </c:pt>
                <c:pt idx="566">
                  <c:v>24886.771379660306</c:v>
                </c:pt>
                <c:pt idx="567">
                  <c:v>24937.939289620728</c:v>
                </c:pt>
                <c:pt idx="568">
                  <c:v>24965.094070224113</c:v>
                </c:pt>
                <c:pt idx="569">
                  <c:v>25081.689486172159</c:v>
                </c:pt>
                <c:pt idx="570">
                  <c:v>25158.808085142686</c:v>
                </c:pt>
                <c:pt idx="571">
                  <c:v>25205.015439325038</c:v>
                </c:pt>
                <c:pt idx="572">
                  <c:v>25228.79320558214</c:v>
                </c:pt>
                <c:pt idx="573">
                  <c:v>25312.645561989484</c:v>
                </c:pt>
                <c:pt idx="574">
                  <c:v>25371.354195942302</c:v>
                </c:pt>
                <c:pt idx="575">
                  <c:v>25439.210884703512</c:v>
                </c:pt>
                <c:pt idx="576">
                  <c:v>25460.412518027078</c:v>
                </c:pt>
                <c:pt idx="577">
                  <c:v>25498.235952772644</c:v>
                </c:pt>
                <c:pt idx="578">
                  <c:v>25605.88577751819</c:v>
                </c:pt>
                <c:pt idx="579">
                  <c:v>25705.272107227582</c:v>
                </c:pt>
                <c:pt idx="580">
                  <c:v>25774.444786621185</c:v>
                </c:pt>
                <c:pt idx="581">
                  <c:v>25885.014895080822</c:v>
                </c:pt>
                <c:pt idx="582">
                  <c:v>25951.906945875628</c:v>
                </c:pt>
                <c:pt idx="583">
                  <c:v>26002.385556134854</c:v>
                </c:pt>
                <c:pt idx="584">
                  <c:v>26056.23284030833</c:v>
                </c:pt>
                <c:pt idx="585">
                  <c:v>26137.983563788141</c:v>
                </c:pt>
                <c:pt idx="586">
                  <c:v>26161.253455155005</c:v>
                </c:pt>
                <c:pt idx="587">
                  <c:v>26183.385834102053</c:v>
                </c:pt>
                <c:pt idx="588">
                  <c:v>26261.895088056219</c:v>
                </c:pt>
                <c:pt idx="589">
                  <c:v>26324.705461454898</c:v>
                </c:pt>
                <c:pt idx="590">
                  <c:v>26362.446806921551</c:v>
                </c:pt>
                <c:pt idx="591">
                  <c:v>26453.348743218128</c:v>
                </c:pt>
                <c:pt idx="592">
                  <c:v>26490.54647337459</c:v>
                </c:pt>
                <c:pt idx="593">
                  <c:v>26608.309126506225</c:v>
                </c:pt>
                <c:pt idx="594">
                  <c:v>26652.922181945658</c:v>
                </c:pt>
                <c:pt idx="595">
                  <c:v>26745.070105845152</c:v>
                </c:pt>
                <c:pt idx="596">
                  <c:v>26798.798650879311</c:v>
                </c:pt>
                <c:pt idx="597">
                  <c:v>26856.330298679022</c:v>
                </c:pt>
                <c:pt idx="598">
                  <c:v>26936.003195159676</c:v>
                </c:pt>
                <c:pt idx="599">
                  <c:v>26978.82791704683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1E-4AC2-8055-847B02E9C8D9}"/>
            </c:ext>
          </c:extLst>
        </c:ser>
        <c:ser>
          <c:idx val="2"/>
          <c:order val="2"/>
          <c:tx>
            <c:strRef>
              <c:f>MONEY!$D$3</c:f>
              <c:strCache>
                <c:ptCount val="1"/>
                <c:pt idx="0">
                  <c:v>Sum of cf_m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MONEY!$A$4:$A$604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MONEY!$D$4:$D$604</c:f>
              <c:numCache>
                <c:formatCode>General</c:formatCode>
                <c:ptCount val="600"/>
                <c:pt idx="0">
                  <c:v>1285.1770181655884</c:v>
                </c:pt>
                <c:pt idx="1">
                  <c:v>1213.8044500350952</c:v>
                </c:pt>
                <c:pt idx="2">
                  <c:v>1228.6140277385712</c:v>
                </c:pt>
                <c:pt idx="3">
                  <c:v>1262.7751463651657</c:v>
                </c:pt>
                <c:pt idx="4">
                  <c:v>1301.5748249292374</c:v>
                </c:pt>
                <c:pt idx="5">
                  <c:v>1344.4074430465698</c:v>
                </c:pt>
                <c:pt idx="6">
                  <c:v>1381.3598763942719</c:v>
                </c:pt>
                <c:pt idx="7">
                  <c:v>1433.6391454935074</c:v>
                </c:pt>
                <c:pt idx="8">
                  <c:v>1460.4985972642899</c:v>
                </c:pt>
                <c:pt idx="9">
                  <c:v>1494.5785433650017</c:v>
                </c:pt>
                <c:pt idx="10">
                  <c:v>1530.5266126990318</c:v>
                </c:pt>
                <c:pt idx="11">
                  <c:v>1562.7173365950584</c:v>
                </c:pt>
                <c:pt idx="12">
                  <c:v>1600.3789388537407</c:v>
                </c:pt>
                <c:pt idx="13">
                  <c:v>1634.2360042929649</c:v>
                </c:pt>
                <c:pt idx="14">
                  <c:v>1674.2434684634209</c:v>
                </c:pt>
                <c:pt idx="15">
                  <c:v>1701.5554160475731</c:v>
                </c:pt>
                <c:pt idx="16">
                  <c:v>1735.3616101145744</c:v>
                </c:pt>
                <c:pt idx="17">
                  <c:v>1751.0364906191826</c:v>
                </c:pt>
                <c:pt idx="18">
                  <c:v>1775.1304731965065</c:v>
                </c:pt>
                <c:pt idx="19">
                  <c:v>1806.4176056981087</c:v>
                </c:pt>
                <c:pt idx="20">
                  <c:v>1828.314237177372</c:v>
                </c:pt>
                <c:pt idx="21">
                  <c:v>1843.9057025313377</c:v>
                </c:pt>
                <c:pt idx="22">
                  <c:v>1858.4853078126907</c:v>
                </c:pt>
                <c:pt idx="23">
                  <c:v>1871.9915829896927</c:v>
                </c:pt>
                <c:pt idx="24">
                  <c:v>1883.234699010849</c:v>
                </c:pt>
                <c:pt idx="25">
                  <c:v>1899.5077110528946</c:v>
                </c:pt>
                <c:pt idx="26">
                  <c:v>1901.5135093927383</c:v>
                </c:pt>
                <c:pt idx="27">
                  <c:v>1899.8429896831512</c:v>
                </c:pt>
                <c:pt idx="28">
                  <c:v>1902.2878074645996</c:v>
                </c:pt>
                <c:pt idx="29">
                  <c:v>1908.2727323770523</c:v>
                </c:pt>
                <c:pt idx="30">
                  <c:v>1901.831261664629</c:v>
                </c:pt>
                <c:pt idx="31">
                  <c:v>1899.169969022274</c:v>
                </c:pt>
                <c:pt idx="32">
                  <c:v>1899.2758375257254</c:v>
                </c:pt>
                <c:pt idx="33">
                  <c:v>1882.6838530302048</c:v>
                </c:pt>
                <c:pt idx="34">
                  <c:v>1859.894561111927</c:v>
                </c:pt>
                <c:pt idx="35">
                  <c:v>1836.7008276879787</c:v>
                </c:pt>
                <c:pt idx="36">
                  <c:v>1816.5946450233459</c:v>
                </c:pt>
                <c:pt idx="37">
                  <c:v>1802.8483949005604</c:v>
                </c:pt>
                <c:pt idx="38">
                  <c:v>1792.3305926322937</c:v>
                </c:pt>
                <c:pt idx="39">
                  <c:v>1756.362708568573</c:v>
                </c:pt>
                <c:pt idx="40">
                  <c:v>1741.0178732722998</c:v>
                </c:pt>
                <c:pt idx="41">
                  <c:v>1725.7022097967565</c:v>
                </c:pt>
                <c:pt idx="42">
                  <c:v>1664.7084471583366</c:v>
                </c:pt>
                <c:pt idx="43">
                  <c:v>1642.3922264873981</c:v>
                </c:pt>
                <c:pt idx="44">
                  <c:v>1605.7870101332664</c:v>
                </c:pt>
                <c:pt idx="45">
                  <c:v>1562.5204330384731</c:v>
                </c:pt>
                <c:pt idx="46">
                  <c:v>1545.1749567985535</c:v>
                </c:pt>
                <c:pt idx="47">
                  <c:v>1485.5517951278016</c:v>
                </c:pt>
                <c:pt idx="48">
                  <c:v>1454.0687228925526</c:v>
                </c:pt>
                <c:pt idx="49">
                  <c:v>1405.139826618135</c:v>
                </c:pt>
                <c:pt idx="50">
                  <c:v>1369.4607888162136</c:v>
                </c:pt>
                <c:pt idx="51">
                  <c:v>1334.1880795415491</c:v>
                </c:pt>
                <c:pt idx="52">
                  <c:v>1296.5137572735548</c:v>
                </c:pt>
                <c:pt idx="53">
                  <c:v>1245.9271321743727</c:v>
                </c:pt>
                <c:pt idx="54">
                  <c:v>1210.0264827683568</c:v>
                </c:pt>
                <c:pt idx="55">
                  <c:v>1194.8827713998035</c:v>
                </c:pt>
                <c:pt idx="56">
                  <c:v>1148.6461002156138</c:v>
                </c:pt>
                <c:pt idx="57">
                  <c:v>1115.7460367623717</c:v>
                </c:pt>
                <c:pt idx="58">
                  <c:v>1085.1515364416409</c:v>
                </c:pt>
                <c:pt idx="59">
                  <c:v>1053.0503804534674</c:v>
                </c:pt>
                <c:pt idx="60">
                  <c:v>1022.3924783747643</c:v>
                </c:pt>
                <c:pt idx="61">
                  <c:v>990.47264432907104</c:v>
                </c:pt>
                <c:pt idx="62">
                  <c:v>972.80125038325787</c:v>
                </c:pt>
                <c:pt idx="63">
                  <c:v>931.22305569797754</c:v>
                </c:pt>
                <c:pt idx="64">
                  <c:v>906.361332366243</c:v>
                </c:pt>
                <c:pt idx="65">
                  <c:v>866.54973319172859</c:v>
                </c:pt>
                <c:pt idx="66">
                  <c:v>853.13412274420261</c:v>
                </c:pt>
                <c:pt idx="67">
                  <c:v>816.96760702878237</c:v>
                </c:pt>
                <c:pt idx="68">
                  <c:v>791.02364938240498</c:v>
                </c:pt>
                <c:pt idx="69">
                  <c:v>767.74245544476435</c:v>
                </c:pt>
                <c:pt idx="70">
                  <c:v>740.23879193887115</c:v>
                </c:pt>
                <c:pt idx="71">
                  <c:v>733.12465660460293</c:v>
                </c:pt>
                <c:pt idx="72">
                  <c:v>703.40405479073524</c:v>
                </c:pt>
                <c:pt idx="73">
                  <c:v>674.83557377569377</c:v>
                </c:pt>
                <c:pt idx="74">
                  <c:v>665.35790664236993</c:v>
                </c:pt>
                <c:pt idx="75">
                  <c:v>648.79939818009734</c:v>
                </c:pt>
                <c:pt idx="76">
                  <c:v>632.16734841000289</c:v>
                </c:pt>
                <c:pt idx="77">
                  <c:v>612.94904610933736</c:v>
                </c:pt>
                <c:pt idx="78">
                  <c:v>590.9095849795267</c:v>
                </c:pt>
                <c:pt idx="79">
                  <c:v>579.21330887475051</c:v>
                </c:pt>
                <c:pt idx="80">
                  <c:v>555.12142834812403</c:v>
                </c:pt>
                <c:pt idx="81">
                  <c:v>537.36478723492473</c:v>
                </c:pt>
                <c:pt idx="82">
                  <c:v>523.66972711961716</c:v>
                </c:pt>
                <c:pt idx="83">
                  <c:v>481.35938964784145</c:v>
                </c:pt>
                <c:pt idx="84">
                  <c:v>482.42066370509565</c:v>
                </c:pt>
                <c:pt idx="85">
                  <c:v>469.56374263949692</c:v>
                </c:pt>
                <c:pt idx="86">
                  <c:v>443.42721582576632</c:v>
                </c:pt>
                <c:pt idx="87">
                  <c:v>421.79386636987329</c:v>
                </c:pt>
                <c:pt idx="88">
                  <c:v>421.58374739345163</c:v>
                </c:pt>
                <c:pt idx="89">
                  <c:v>411.28562948014593</c:v>
                </c:pt>
                <c:pt idx="90">
                  <c:v>407.57181244250387</c:v>
                </c:pt>
                <c:pt idx="91">
                  <c:v>384.19252863852307</c:v>
                </c:pt>
                <c:pt idx="92">
                  <c:v>375.48616308346391</c:v>
                </c:pt>
                <c:pt idx="93">
                  <c:v>359.87131772562861</c:v>
                </c:pt>
                <c:pt idx="94">
                  <c:v>359.09416621550918</c:v>
                </c:pt>
                <c:pt idx="95">
                  <c:v>362.88662836782169</c:v>
                </c:pt>
                <c:pt idx="96">
                  <c:v>341.50922934152186</c:v>
                </c:pt>
                <c:pt idx="97">
                  <c:v>338.73705175146461</c:v>
                </c:pt>
                <c:pt idx="98">
                  <c:v>314.95217994600534</c:v>
                </c:pt>
                <c:pt idx="99">
                  <c:v>320.61546626593918</c:v>
                </c:pt>
                <c:pt idx="100">
                  <c:v>308.98486104793847</c:v>
                </c:pt>
                <c:pt idx="101">
                  <c:v>282.93090268597007</c:v>
                </c:pt>
                <c:pt idx="102">
                  <c:v>277.45323771610856</c:v>
                </c:pt>
                <c:pt idx="103">
                  <c:v>274.73312396131223</c:v>
                </c:pt>
                <c:pt idx="104">
                  <c:v>261.77780409343541</c:v>
                </c:pt>
                <c:pt idx="105">
                  <c:v>249.17229586839676</c:v>
                </c:pt>
                <c:pt idx="106">
                  <c:v>235.87635863409378</c:v>
                </c:pt>
                <c:pt idx="107">
                  <c:v>250.83292029588483</c:v>
                </c:pt>
                <c:pt idx="108">
                  <c:v>235.11182569339871</c:v>
                </c:pt>
                <c:pt idx="109">
                  <c:v>211.17530222318601</c:v>
                </c:pt>
                <c:pt idx="110">
                  <c:v>222.30270216241479</c:v>
                </c:pt>
                <c:pt idx="111">
                  <c:v>185.37959212157875</c:v>
                </c:pt>
                <c:pt idx="112">
                  <c:v>188.80210805591196</c:v>
                </c:pt>
                <c:pt idx="113">
                  <c:v>177.40086899977177</c:v>
                </c:pt>
                <c:pt idx="114">
                  <c:v>154.08035690209363</c:v>
                </c:pt>
                <c:pt idx="115">
                  <c:v>159.01455100812018</c:v>
                </c:pt>
                <c:pt idx="116">
                  <c:v>169.37502374034375</c:v>
                </c:pt>
                <c:pt idx="117">
                  <c:v>117.71499191783369</c:v>
                </c:pt>
                <c:pt idx="118">
                  <c:v>128.90513433143497</c:v>
                </c:pt>
                <c:pt idx="119">
                  <c:v>110.82190977409482</c:v>
                </c:pt>
                <c:pt idx="120">
                  <c:v>102.08022071048617</c:v>
                </c:pt>
                <c:pt idx="121">
                  <c:v>100.7246631286107</c:v>
                </c:pt>
                <c:pt idx="122">
                  <c:v>89.469241127371788</c:v>
                </c:pt>
                <c:pt idx="123">
                  <c:v>89.677827946841717</c:v>
                </c:pt>
                <c:pt idx="124">
                  <c:v>96.334978820756078</c:v>
                </c:pt>
                <c:pt idx="125">
                  <c:v>82.015072371810675</c:v>
                </c:pt>
                <c:pt idx="126">
                  <c:v>94.351194830611348</c:v>
                </c:pt>
                <c:pt idx="127">
                  <c:v>48.056911056861281</c:v>
                </c:pt>
                <c:pt idx="128">
                  <c:v>65.585404954850674</c:v>
                </c:pt>
                <c:pt idx="129">
                  <c:v>46.400497806956992</c:v>
                </c:pt>
                <c:pt idx="130">
                  <c:v>51.471027694642544</c:v>
                </c:pt>
                <c:pt idx="131">
                  <c:v>56.046415386430454</c:v>
                </c:pt>
                <c:pt idx="132">
                  <c:v>59.258456352516077</c:v>
                </c:pt>
                <c:pt idx="133">
                  <c:v>56.952181198634207</c:v>
                </c:pt>
                <c:pt idx="134">
                  <c:v>80.386204842478037</c:v>
                </c:pt>
                <c:pt idx="135">
                  <c:v>73.126986389688682</c:v>
                </c:pt>
                <c:pt idx="136">
                  <c:v>59.971198369166814</c:v>
                </c:pt>
                <c:pt idx="137">
                  <c:v>111.37964295456186</c:v>
                </c:pt>
                <c:pt idx="138">
                  <c:v>86.370082087814808</c:v>
                </c:pt>
                <c:pt idx="139">
                  <c:v>124.18324614828452</c:v>
                </c:pt>
                <c:pt idx="140">
                  <c:v>124.58327295887284</c:v>
                </c:pt>
                <c:pt idx="141">
                  <c:v>119.74561281688511</c:v>
                </c:pt>
                <c:pt idx="142">
                  <c:v>142.74279804783873</c:v>
                </c:pt>
                <c:pt idx="143">
                  <c:v>148.8420506878756</c:v>
                </c:pt>
                <c:pt idx="144">
                  <c:v>161.38147487863898</c:v>
                </c:pt>
                <c:pt idx="145">
                  <c:v>164.92716904403642</c:v>
                </c:pt>
                <c:pt idx="146">
                  <c:v>168.64239821955562</c:v>
                </c:pt>
                <c:pt idx="147">
                  <c:v>164.44071236718446</c:v>
                </c:pt>
                <c:pt idx="148">
                  <c:v>200.8399037886411</c:v>
                </c:pt>
                <c:pt idx="149">
                  <c:v>216.95093119889498</c:v>
                </c:pt>
                <c:pt idx="150">
                  <c:v>201.84363230038434</c:v>
                </c:pt>
                <c:pt idx="151">
                  <c:v>200.72618568316102</c:v>
                </c:pt>
                <c:pt idx="152">
                  <c:v>193.68494543246925</c:v>
                </c:pt>
                <c:pt idx="153">
                  <c:v>213.65337519627064</c:v>
                </c:pt>
                <c:pt idx="154">
                  <c:v>213.67830308154225</c:v>
                </c:pt>
                <c:pt idx="155">
                  <c:v>237.69737672246993</c:v>
                </c:pt>
                <c:pt idx="156">
                  <c:v>212.04505126085132</c:v>
                </c:pt>
                <c:pt idx="157">
                  <c:v>212.22295949608088</c:v>
                </c:pt>
                <c:pt idx="158">
                  <c:v>237.83421974908561</c:v>
                </c:pt>
                <c:pt idx="159">
                  <c:v>238.61347416949866</c:v>
                </c:pt>
                <c:pt idx="160">
                  <c:v>218.77612155489624</c:v>
                </c:pt>
                <c:pt idx="161">
                  <c:v>229.3787464145571</c:v>
                </c:pt>
                <c:pt idx="162">
                  <c:v>240.26918532047421</c:v>
                </c:pt>
                <c:pt idx="163">
                  <c:v>262.02366142906249</c:v>
                </c:pt>
                <c:pt idx="164">
                  <c:v>267.27271311357617</c:v>
                </c:pt>
                <c:pt idx="165">
                  <c:v>248.86007473466452</c:v>
                </c:pt>
                <c:pt idx="166">
                  <c:v>253.0746047059074</c:v>
                </c:pt>
                <c:pt idx="167">
                  <c:v>240.4607694982551</c:v>
                </c:pt>
                <c:pt idx="168">
                  <c:v>272.05683352681808</c:v>
                </c:pt>
                <c:pt idx="169">
                  <c:v>261.99079442908987</c:v>
                </c:pt>
                <c:pt idx="170">
                  <c:v>266.94609184050933</c:v>
                </c:pt>
                <c:pt idx="171">
                  <c:v>276.37367295287549</c:v>
                </c:pt>
                <c:pt idx="172">
                  <c:v>240.47392586246133</c:v>
                </c:pt>
                <c:pt idx="173">
                  <c:v>258.59563476033509</c:v>
                </c:pt>
                <c:pt idx="174">
                  <c:v>267.25798753835261</c:v>
                </c:pt>
                <c:pt idx="175">
                  <c:v>260.41527465730906</c:v>
                </c:pt>
                <c:pt idx="176">
                  <c:v>269.30815937090665</c:v>
                </c:pt>
                <c:pt idx="177">
                  <c:v>271.98912177421153</c:v>
                </c:pt>
                <c:pt idx="178">
                  <c:v>271.92356921453029</c:v>
                </c:pt>
                <c:pt idx="179">
                  <c:v>273.62756101391278</c:v>
                </c:pt>
                <c:pt idx="180">
                  <c:v>251.25083955656737</c:v>
                </c:pt>
                <c:pt idx="181">
                  <c:v>260.3300954028964</c:v>
                </c:pt>
                <c:pt idx="182">
                  <c:v>245.30499386391602</c:v>
                </c:pt>
                <c:pt idx="183">
                  <c:v>270.15451925806701</c:v>
                </c:pt>
                <c:pt idx="184">
                  <c:v>295.65821036603302</c:v>
                </c:pt>
                <c:pt idx="185">
                  <c:v>296.28432399500161</c:v>
                </c:pt>
                <c:pt idx="186">
                  <c:v>282.29434403311461</c:v>
                </c:pt>
                <c:pt idx="187">
                  <c:v>289.62798897409812</c:v>
                </c:pt>
                <c:pt idx="188">
                  <c:v>263.39598820742685</c:v>
                </c:pt>
                <c:pt idx="189">
                  <c:v>247.04339468572289</c:v>
                </c:pt>
                <c:pt idx="190">
                  <c:v>230.22311733290553</c:v>
                </c:pt>
                <c:pt idx="191">
                  <c:v>244.93446857761592</c:v>
                </c:pt>
                <c:pt idx="192">
                  <c:v>225.93893042393029</c:v>
                </c:pt>
                <c:pt idx="193">
                  <c:v>203.03883972828044</c:v>
                </c:pt>
                <c:pt idx="194">
                  <c:v>233.53986600227654</c:v>
                </c:pt>
                <c:pt idx="195">
                  <c:v>219.95640590041876</c:v>
                </c:pt>
                <c:pt idx="196">
                  <c:v>229.62712820246816</c:v>
                </c:pt>
                <c:pt idx="197">
                  <c:v>223.28705111984164</c:v>
                </c:pt>
                <c:pt idx="198">
                  <c:v>180.63216548971832</c:v>
                </c:pt>
                <c:pt idx="199">
                  <c:v>188.87730201985687</c:v>
                </c:pt>
                <c:pt idx="200">
                  <c:v>216.66042005084455</c:v>
                </c:pt>
                <c:pt idx="201">
                  <c:v>171.16547088301741</c:v>
                </c:pt>
                <c:pt idx="202">
                  <c:v>178.29641236271709</c:v>
                </c:pt>
                <c:pt idx="203">
                  <c:v>193.09956930950284</c:v>
                </c:pt>
                <c:pt idx="204">
                  <c:v>141.03128623217344</c:v>
                </c:pt>
                <c:pt idx="205">
                  <c:v>156.5273495092988</c:v>
                </c:pt>
                <c:pt idx="206">
                  <c:v>195.11262536328286</c:v>
                </c:pt>
                <c:pt idx="207">
                  <c:v>193.68973817303777</c:v>
                </c:pt>
                <c:pt idx="208">
                  <c:v>213.6195112913847</c:v>
                </c:pt>
                <c:pt idx="209">
                  <c:v>184.64006976038218</c:v>
                </c:pt>
                <c:pt idx="210">
                  <c:v>207.31846789922565</c:v>
                </c:pt>
                <c:pt idx="211">
                  <c:v>227.97631681710482</c:v>
                </c:pt>
                <c:pt idx="212">
                  <c:v>207.82469342090189</c:v>
                </c:pt>
                <c:pt idx="213">
                  <c:v>217.16269384603947</c:v>
                </c:pt>
                <c:pt idx="214">
                  <c:v>215.63562951702625</c:v>
                </c:pt>
                <c:pt idx="215">
                  <c:v>235.08712252229452</c:v>
                </c:pt>
                <c:pt idx="216">
                  <c:v>244.41456774435937</c:v>
                </c:pt>
                <c:pt idx="217">
                  <c:v>252.29242307506502</c:v>
                </c:pt>
                <c:pt idx="218">
                  <c:v>208.49952630978078</c:v>
                </c:pt>
                <c:pt idx="219">
                  <c:v>211.97193131991662</c:v>
                </c:pt>
                <c:pt idx="220">
                  <c:v>197.02353994362056</c:v>
                </c:pt>
                <c:pt idx="221">
                  <c:v>182.87946782633662</c:v>
                </c:pt>
                <c:pt idx="222">
                  <c:v>225.1422890778631</c:v>
                </c:pt>
                <c:pt idx="223">
                  <c:v>183.69389464985579</c:v>
                </c:pt>
                <c:pt idx="224">
                  <c:v>197.10687579261139</c:v>
                </c:pt>
                <c:pt idx="225">
                  <c:v>189.19185784831643</c:v>
                </c:pt>
                <c:pt idx="226">
                  <c:v>228.29743235884234</c:v>
                </c:pt>
                <c:pt idx="227">
                  <c:v>202.03493467438966</c:v>
                </c:pt>
                <c:pt idx="228">
                  <c:v>191.32681798003614</c:v>
                </c:pt>
                <c:pt idx="229">
                  <c:v>215.44607331044972</c:v>
                </c:pt>
                <c:pt idx="230">
                  <c:v>148.9919609669596</c:v>
                </c:pt>
                <c:pt idx="231">
                  <c:v>200.95521021727473</c:v>
                </c:pt>
                <c:pt idx="232">
                  <c:v>151.17215872183442</c:v>
                </c:pt>
                <c:pt idx="233">
                  <c:v>144.52833420224488</c:v>
                </c:pt>
                <c:pt idx="234">
                  <c:v>99.564323920756578</c:v>
                </c:pt>
                <c:pt idx="235">
                  <c:v>136.11861955188215</c:v>
                </c:pt>
                <c:pt idx="236">
                  <c:v>96.46279417630285</c:v>
                </c:pt>
                <c:pt idx="237">
                  <c:v>135.14504000917077</c:v>
                </c:pt>
                <c:pt idx="238">
                  <c:v>70.501125866081566</c:v>
                </c:pt>
                <c:pt idx="239">
                  <c:v>134.61505675408989</c:v>
                </c:pt>
                <c:pt idx="240">
                  <c:v>89.685138514731079</c:v>
                </c:pt>
                <c:pt idx="241">
                  <c:v>106.12463863007724</c:v>
                </c:pt>
                <c:pt idx="242">
                  <c:v>89.999448271468282</c:v>
                </c:pt>
                <c:pt idx="243">
                  <c:v>131.0183102209121</c:v>
                </c:pt>
                <c:pt idx="244">
                  <c:v>57.744739468675107</c:v>
                </c:pt>
                <c:pt idx="245">
                  <c:v>63.57943800650537</c:v>
                </c:pt>
                <c:pt idx="246">
                  <c:v>123.74695074744523</c:v>
                </c:pt>
                <c:pt idx="247">
                  <c:v>116.45531690306962</c:v>
                </c:pt>
                <c:pt idx="248">
                  <c:v>112.59008133225143</c:v>
                </c:pt>
                <c:pt idx="249">
                  <c:v>127.77093027345836</c:v>
                </c:pt>
                <c:pt idx="250">
                  <c:v>69.61617199331522</c:v>
                </c:pt>
                <c:pt idx="251">
                  <c:v>142.61418937146664</c:v>
                </c:pt>
                <c:pt idx="252">
                  <c:v>143.41274727880955</c:v>
                </c:pt>
                <c:pt idx="253">
                  <c:v>161.00696837157011</c:v>
                </c:pt>
                <c:pt idx="254">
                  <c:v>104.89183581387624</c:v>
                </c:pt>
                <c:pt idx="255">
                  <c:v>142.29929406102747</c:v>
                </c:pt>
                <c:pt idx="256">
                  <c:v>75.630080979317427</c:v>
                </c:pt>
                <c:pt idx="257">
                  <c:v>109.16348241828382</c:v>
                </c:pt>
                <c:pt idx="258">
                  <c:v>97.28386839106679</c:v>
                </c:pt>
                <c:pt idx="259">
                  <c:v>111.46487063611858</c:v>
                </c:pt>
                <c:pt idx="260">
                  <c:v>124.37549433670938</c:v>
                </c:pt>
                <c:pt idx="261">
                  <c:v>110.91470854450017</c:v>
                </c:pt>
                <c:pt idx="262">
                  <c:v>142.25660929642618</c:v>
                </c:pt>
                <c:pt idx="263">
                  <c:v>143.06495852023363</c:v>
                </c:pt>
                <c:pt idx="264">
                  <c:v>143.34043645486236</c:v>
                </c:pt>
                <c:pt idx="265">
                  <c:v>171.97018617764115</c:v>
                </c:pt>
                <c:pt idx="266">
                  <c:v>155.22664738073945</c:v>
                </c:pt>
                <c:pt idx="267">
                  <c:v>195.8279414921999</c:v>
                </c:pt>
                <c:pt idx="268">
                  <c:v>108.00765843782574</c:v>
                </c:pt>
                <c:pt idx="269">
                  <c:v>155.02527924999595</c:v>
                </c:pt>
                <c:pt idx="270">
                  <c:v>131.93421041220427</c:v>
                </c:pt>
                <c:pt idx="271">
                  <c:v>124.64705666713417</c:v>
                </c:pt>
                <c:pt idx="272">
                  <c:v>121.23008361458778</c:v>
                </c:pt>
                <c:pt idx="273">
                  <c:v>17.72650583833456</c:v>
                </c:pt>
                <c:pt idx="274">
                  <c:v>87.276059390511364</c:v>
                </c:pt>
                <c:pt idx="275">
                  <c:v>126.46401889435947</c:v>
                </c:pt>
                <c:pt idx="276">
                  <c:v>78.142422175034881</c:v>
                </c:pt>
                <c:pt idx="277">
                  <c:v>77.054133087396622</c:v>
                </c:pt>
                <c:pt idx="278">
                  <c:v>125.28376989951357</c:v>
                </c:pt>
                <c:pt idx="279">
                  <c:v>78.225316463969648</c:v>
                </c:pt>
                <c:pt idx="280">
                  <c:v>125.0271168500185</c:v>
                </c:pt>
                <c:pt idx="281">
                  <c:v>117.34991745837033</c:v>
                </c:pt>
                <c:pt idx="282">
                  <c:v>137.54194578155875</c:v>
                </c:pt>
                <c:pt idx="283">
                  <c:v>133.58164596557617</c:v>
                </c:pt>
                <c:pt idx="284">
                  <c:v>120.59292837779503</c:v>
                </c:pt>
                <c:pt idx="285">
                  <c:v>9.995052594691515</c:v>
                </c:pt>
                <c:pt idx="286">
                  <c:v>136.45989433303475</c:v>
                </c:pt>
                <c:pt idx="287">
                  <c:v>86.055964849889278</c:v>
                </c:pt>
                <c:pt idx="288">
                  <c:v>150.22559175267816</c:v>
                </c:pt>
                <c:pt idx="289">
                  <c:v>95.329164506867528</c:v>
                </c:pt>
                <c:pt idx="290">
                  <c:v>87.285580926341936</c:v>
                </c:pt>
                <c:pt idx="291">
                  <c:v>76.773123741149902</c:v>
                </c:pt>
                <c:pt idx="292">
                  <c:v>48.309319954365492</c:v>
                </c:pt>
                <c:pt idx="293">
                  <c:v>90.841848149895668</c:v>
                </c:pt>
                <c:pt idx="294">
                  <c:v>74.385411874391139</c:v>
                </c:pt>
                <c:pt idx="295">
                  <c:v>97.748400868847966</c:v>
                </c:pt>
                <c:pt idx="296">
                  <c:v>65.719764170236886</c:v>
                </c:pt>
                <c:pt idx="297">
                  <c:v>24.240048602223396</c:v>
                </c:pt>
                <c:pt idx="298">
                  <c:v>49.282890446484089</c:v>
                </c:pt>
                <c:pt idx="299">
                  <c:v>55.609503757208586</c:v>
                </c:pt>
                <c:pt idx="300">
                  <c:v>0.24844016134738922</c:v>
                </c:pt>
                <c:pt idx="301">
                  <c:v>28.381304401904345</c:v>
                </c:pt>
                <c:pt idx="302">
                  <c:v>-14.23724303022027</c:v>
                </c:pt>
                <c:pt idx="303">
                  <c:v>42.676749426871538</c:v>
                </c:pt>
                <c:pt idx="304">
                  <c:v>52.463312102481723</c:v>
                </c:pt>
                <c:pt idx="305">
                  <c:v>-68.371763719245791</c:v>
                </c:pt>
                <c:pt idx="306">
                  <c:v>97.299591142684221</c:v>
                </c:pt>
                <c:pt idx="307">
                  <c:v>120.18224183470011</c:v>
                </c:pt>
                <c:pt idx="308">
                  <c:v>72.602496914565563</c:v>
                </c:pt>
                <c:pt idx="309">
                  <c:v>17.811436645686626</c:v>
                </c:pt>
                <c:pt idx="310">
                  <c:v>-34.512039691209793</c:v>
                </c:pt>
                <c:pt idx="311">
                  <c:v>70.776557918637991</c:v>
                </c:pt>
                <c:pt idx="312">
                  <c:v>-28.030368313193321</c:v>
                </c:pt>
                <c:pt idx="313">
                  <c:v>21.633850075304508</c:v>
                </c:pt>
                <c:pt idx="314">
                  <c:v>-58.819112710654736</c:v>
                </c:pt>
                <c:pt idx="315">
                  <c:v>21.353655807673931</c:v>
                </c:pt>
                <c:pt idx="316">
                  <c:v>11.197515428066254</c:v>
                </c:pt>
                <c:pt idx="317">
                  <c:v>-34.181705985218287</c:v>
                </c:pt>
                <c:pt idx="318">
                  <c:v>-8.9367827698588371</c:v>
                </c:pt>
                <c:pt idx="319">
                  <c:v>66.247075192630291</c:v>
                </c:pt>
                <c:pt idx="320">
                  <c:v>10.079990401864052</c:v>
                </c:pt>
                <c:pt idx="321">
                  <c:v>13.889080007560551</c:v>
                </c:pt>
                <c:pt idx="322">
                  <c:v>-15.64676109328866</c:v>
                </c:pt>
                <c:pt idx="323">
                  <c:v>22.074610393494368</c:v>
                </c:pt>
                <c:pt idx="324">
                  <c:v>3.4225020557641983E-2</c:v>
                </c:pt>
                <c:pt idx="325">
                  <c:v>10.068387031555176</c:v>
                </c:pt>
                <c:pt idx="326">
                  <c:v>6.7168596835108474</c:v>
                </c:pt>
                <c:pt idx="327">
                  <c:v>2.4854979421943426</c:v>
                </c:pt>
                <c:pt idx="328">
                  <c:v>81.017341662198305</c:v>
                </c:pt>
                <c:pt idx="329">
                  <c:v>31.166336830705404</c:v>
                </c:pt>
                <c:pt idx="330">
                  <c:v>-58.089784938842058</c:v>
                </c:pt>
                <c:pt idx="331">
                  <c:v>-10.023077806457877</c:v>
                </c:pt>
                <c:pt idx="332">
                  <c:v>24.825438560917974</c:v>
                </c:pt>
                <c:pt idx="333">
                  <c:v>31.280722610652447</c:v>
                </c:pt>
                <c:pt idx="334">
                  <c:v>15.360237525776029</c:v>
                </c:pt>
                <c:pt idx="335">
                  <c:v>-28.481115598231554</c:v>
                </c:pt>
                <c:pt idx="336">
                  <c:v>-66.246136395260692</c:v>
                </c:pt>
                <c:pt idx="337">
                  <c:v>-57.805053194984794</c:v>
                </c:pt>
                <c:pt idx="338">
                  <c:v>-45.027421245351434</c:v>
                </c:pt>
                <c:pt idx="339">
                  <c:v>-4.9114135028794408</c:v>
                </c:pt>
                <c:pt idx="340">
                  <c:v>-31.951383953914046</c:v>
                </c:pt>
                <c:pt idx="341">
                  <c:v>-109.99206192139536</c:v>
                </c:pt>
                <c:pt idx="342">
                  <c:v>18.324852516670944</c:v>
                </c:pt>
                <c:pt idx="343">
                  <c:v>-16.652667880989611</c:v>
                </c:pt>
                <c:pt idx="344">
                  <c:v>15.287013726774603</c:v>
                </c:pt>
                <c:pt idx="345">
                  <c:v>-27.378540300764143</c:v>
                </c:pt>
                <c:pt idx="346">
                  <c:v>-35.510112209245563</c:v>
                </c:pt>
                <c:pt idx="347">
                  <c:v>-118.22362465132028</c:v>
                </c:pt>
                <c:pt idx="348">
                  <c:v>-35.371535187587142</c:v>
                </c:pt>
                <c:pt idx="349">
                  <c:v>-15.636632401961833</c:v>
                </c:pt>
                <c:pt idx="350">
                  <c:v>-70.495887453667819</c:v>
                </c:pt>
                <c:pt idx="351">
                  <c:v>-47.503995110280812</c:v>
                </c:pt>
                <c:pt idx="352">
                  <c:v>-23.511191228870302</c:v>
                </c:pt>
                <c:pt idx="353">
                  <c:v>-25.469272990245372</c:v>
                </c:pt>
                <c:pt idx="354">
                  <c:v>14.611460486892611</c:v>
                </c:pt>
                <c:pt idx="355">
                  <c:v>-100.51806087093428</c:v>
                </c:pt>
                <c:pt idx="356">
                  <c:v>-69.458057512063533</c:v>
                </c:pt>
                <c:pt idx="357">
                  <c:v>-100.9205290832324</c:v>
                </c:pt>
                <c:pt idx="358">
                  <c:v>-66.225956876762211</c:v>
                </c:pt>
                <c:pt idx="359">
                  <c:v>-93.442079902160913</c:v>
                </c:pt>
                <c:pt idx="360">
                  <c:v>-86.503649612423033</c:v>
                </c:pt>
                <c:pt idx="361">
                  <c:v>-107.69049581000581</c:v>
                </c:pt>
                <c:pt idx="362">
                  <c:v>-133.4133796626702</c:v>
                </c:pt>
                <c:pt idx="363">
                  <c:v>-142.52473680721596</c:v>
                </c:pt>
                <c:pt idx="364">
                  <c:v>-127.34123145928606</c:v>
                </c:pt>
                <c:pt idx="365">
                  <c:v>-118.52454979578033</c:v>
                </c:pt>
                <c:pt idx="366">
                  <c:v>-91.712733144406229</c:v>
                </c:pt>
                <c:pt idx="367">
                  <c:v>-197.84181621531025</c:v>
                </c:pt>
                <c:pt idx="368">
                  <c:v>-67.033831109758466</c:v>
                </c:pt>
                <c:pt idx="369">
                  <c:v>-43.288967833388597</c:v>
                </c:pt>
                <c:pt idx="370">
                  <c:v>-143.58225348312408</c:v>
                </c:pt>
                <c:pt idx="371">
                  <c:v>-81.857939417008311</c:v>
                </c:pt>
                <c:pt idx="372">
                  <c:v>-62.966354392934591</c:v>
                </c:pt>
                <c:pt idx="373">
                  <c:v>-102.4475226434879</c:v>
                </c:pt>
                <c:pt idx="374">
                  <c:v>-71.395660482812673</c:v>
                </c:pt>
                <c:pt idx="375">
                  <c:v>-18.536800411529839</c:v>
                </c:pt>
                <c:pt idx="376">
                  <c:v>-171.30447276635095</c:v>
                </c:pt>
                <c:pt idx="377">
                  <c:v>-63.320102692116052</c:v>
                </c:pt>
                <c:pt idx="378">
                  <c:v>-153.35659764427692</c:v>
                </c:pt>
                <c:pt idx="379">
                  <c:v>-186.91589942807332</c:v>
                </c:pt>
                <c:pt idx="380">
                  <c:v>-195.41735802683979</c:v>
                </c:pt>
                <c:pt idx="381">
                  <c:v>-61.149879975710064</c:v>
                </c:pt>
                <c:pt idx="382">
                  <c:v>-174.32145041879267</c:v>
                </c:pt>
                <c:pt idx="383">
                  <c:v>-195.8541973377578</c:v>
                </c:pt>
                <c:pt idx="384">
                  <c:v>-70.584578166250139</c:v>
                </c:pt>
                <c:pt idx="385">
                  <c:v>-105.25084564834833</c:v>
                </c:pt>
                <c:pt idx="386">
                  <c:v>-58.457303038332611</c:v>
                </c:pt>
                <c:pt idx="387">
                  <c:v>-119.80520528787747</c:v>
                </c:pt>
                <c:pt idx="388">
                  <c:v>-94.260681126732379</c:v>
                </c:pt>
                <c:pt idx="389">
                  <c:v>-136.20447717327625</c:v>
                </c:pt>
                <c:pt idx="390">
                  <c:v>-188.15972676733509</c:v>
                </c:pt>
                <c:pt idx="391">
                  <c:v>-157.19403496058658</c:v>
                </c:pt>
                <c:pt idx="392">
                  <c:v>-217.10561878466979</c:v>
                </c:pt>
                <c:pt idx="393">
                  <c:v>-127.2430995889008</c:v>
                </c:pt>
                <c:pt idx="394">
                  <c:v>-184.74621682846919</c:v>
                </c:pt>
                <c:pt idx="395">
                  <c:v>-191.98806555767078</c:v>
                </c:pt>
                <c:pt idx="396">
                  <c:v>-322.84292475017719</c:v>
                </c:pt>
                <c:pt idx="397">
                  <c:v>-98.355717260856181</c:v>
                </c:pt>
                <c:pt idx="398">
                  <c:v>-378.51679702778347</c:v>
                </c:pt>
                <c:pt idx="399">
                  <c:v>-117.0188364055939</c:v>
                </c:pt>
                <c:pt idx="400">
                  <c:v>-311.63476971071213</c:v>
                </c:pt>
                <c:pt idx="401">
                  <c:v>-125.63034632522613</c:v>
                </c:pt>
                <c:pt idx="402">
                  <c:v>-11.024742127861828</c:v>
                </c:pt>
                <c:pt idx="403">
                  <c:v>-221.12194720702246</c:v>
                </c:pt>
                <c:pt idx="404">
                  <c:v>-137.2705189534463</c:v>
                </c:pt>
                <c:pt idx="405">
                  <c:v>-188.07072798488662</c:v>
                </c:pt>
                <c:pt idx="406">
                  <c:v>-232.83621349511668</c:v>
                </c:pt>
                <c:pt idx="407">
                  <c:v>-58.586306151002645</c:v>
                </c:pt>
                <c:pt idx="408">
                  <c:v>-31.269366836437257</c:v>
                </c:pt>
                <c:pt idx="409">
                  <c:v>-150.84854638157412</c:v>
                </c:pt>
                <c:pt idx="410">
                  <c:v>-22.849993581417948</c:v>
                </c:pt>
                <c:pt idx="411">
                  <c:v>-3.4171918388456106</c:v>
                </c:pt>
                <c:pt idx="412">
                  <c:v>-214.80458026984707</c:v>
                </c:pt>
                <c:pt idx="413">
                  <c:v>-162.54966865899041</c:v>
                </c:pt>
                <c:pt idx="414">
                  <c:v>-405.90478117065504</c:v>
                </c:pt>
                <c:pt idx="415">
                  <c:v>-183.71924924757332</c:v>
                </c:pt>
                <c:pt idx="416">
                  <c:v>-247.41015185869765</c:v>
                </c:pt>
                <c:pt idx="417">
                  <c:v>-190.04271506378427</c:v>
                </c:pt>
                <c:pt idx="418">
                  <c:v>-375.17932602507062</c:v>
                </c:pt>
                <c:pt idx="419">
                  <c:v>-138.65224841283634</c:v>
                </c:pt>
                <c:pt idx="420">
                  <c:v>-303.14289532089606</c:v>
                </c:pt>
                <c:pt idx="421">
                  <c:v>-181.62575818318874</c:v>
                </c:pt>
                <c:pt idx="422">
                  <c:v>-158.0220169913955</c:v>
                </c:pt>
                <c:pt idx="423">
                  <c:v>-83.017400292214006</c:v>
                </c:pt>
                <c:pt idx="424">
                  <c:v>-206.07407495146617</c:v>
                </c:pt>
                <c:pt idx="425">
                  <c:v>-179.41792307654396</c:v>
                </c:pt>
                <c:pt idx="426">
                  <c:v>-147.57200070284307</c:v>
                </c:pt>
                <c:pt idx="427">
                  <c:v>-254.97993998322636</c:v>
                </c:pt>
                <c:pt idx="428">
                  <c:v>-203.75585336843506</c:v>
                </c:pt>
                <c:pt idx="429">
                  <c:v>-310.85173926549032</c:v>
                </c:pt>
                <c:pt idx="430">
                  <c:v>-279.6246885615401</c:v>
                </c:pt>
                <c:pt idx="431">
                  <c:v>-265.77675042580813</c:v>
                </c:pt>
                <c:pt idx="432">
                  <c:v>-212.43237742455676</c:v>
                </c:pt>
                <c:pt idx="433">
                  <c:v>-277.59966985788196</c:v>
                </c:pt>
                <c:pt idx="434">
                  <c:v>-454.74229364702478</c:v>
                </c:pt>
                <c:pt idx="435">
                  <c:v>-181.59305298468098</c:v>
                </c:pt>
                <c:pt idx="436">
                  <c:v>-438.27067062398419</c:v>
                </c:pt>
                <c:pt idx="437">
                  <c:v>-367.83447752101347</c:v>
                </c:pt>
                <c:pt idx="438">
                  <c:v>-288.29752513440326</c:v>
                </c:pt>
                <c:pt idx="439">
                  <c:v>-236.76357908034697</c:v>
                </c:pt>
                <c:pt idx="440">
                  <c:v>-319.62482314789668</c:v>
                </c:pt>
                <c:pt idx="441">
                  <c:v>-215.20234294096008</c:v>
                </c:pt>
                <c:pt idx="442">
                  <c:v>-578.97644935874268</c:v>
                </c:pt>
                <c:pt idx="443">
                  <c:v>-390.73965599248186</c:v>
                </c:pt>
                <c:pt idx="444">
                  <c:v>-229.7084995880723</c:v>
                </c:pt>
                <c:pt idx="445">
                  <c:v>-319.94959200778976</c:v>
                </c:pt>
                <c:pt idx="446">
                  <c:v>-321.23632150981575</c:v>
                </c:pt>
                <c:pt idx="447">
                  <c:v>-371.23481548484415</c:v>
                </c:pt>
                <c:pt idx="448">
                  <c:v>-211.5674855215475</c:v>
                </c:pt>
                <c:pt idx="449">
                  <c:v>-185.15266128722578</c:v>
                </c:pt>
                <c:pt idx="450">
                  <c:v>-541.72200396191329</c:v>
                </c:pt>
                <c:pt idx="451">
                  <c:v>-303.67660570796579</c:v>
                </c:pt>
                <c:pt idx="452">
                  <c:v>-485.49946534633636</c:v>
                </c:pt>
                <c:pt idx="453">
                  <c:v>-508.52152511384338</c:v>
                </c:pt>
                <c:pt idx="454">
                  <c:v>-307.37007991131395</c:v>
                </c:pt>
                <c:pt idx="455">
                  <c:v>-466.28944165538996</c:v>
                </c:pt>
                <c:pt idx="456">
                  <c:v>-317.81319915410131</c:v>
                </c:pt>
                <c:pt idx="457">
                  <c:v>-386.59439451992512</c:v>
                </c:pt>
                <c:pt idx="458">
                  <c:v>-469.3023791667074</c:v>
                </c:pt>
                <c:pt idx="459">
                  <c:v>-460.14360420685261</c:v>
                </c:pt>
                <c:pt idx="460">
                  <c:v>-248.35349041875452</c:v>
                </c:pt>
                <c:pt idx="461">
                  <c:v>-400.62165289279073</c:v>
                </c:pt>
                <c:pt idx="462">
                  <c:v>-357.37132161390036</c:v>
                </c:pt>
                <c:pt idx="463">
                  <c:v>-665.94830187316984</c:v>
                </c:pt>
                <c:pt idx="464">
                  <c:v>-652.28969111759216</c:v>
                </c:pt>
                <c:pt idx="465">
                  <c:v>-570.73858543578535</c:v>
                </c:pt>
                <c:pt idx="466">
                  <c:v>-666.84470152761787</c:v>
                </c:pt>
                <c:pt idx="467">
                  <c:v>-546.97557496186346</c:v>
                </c:pt>
                <c:pt idx="468">
                  <c:v>-738.49439306091517</c:v>
                </c:pt>
                <c:pt idx="469">
                  <c:v>-295.21184354624711</c:v>
                </c:pt>
                <c:pt idx="470">
                  <c:v>-846.32223467901349</c:v>
                </c:pt>
                <c:pt idx="471">
                  <c:v>-403.82889054808766</c:v>
                </c:pt>
                <c:pt idx="472">
                  <c:v>-683.41161901783198</c:v>
                </c:pt>
                <c:pt idx="473">
                  <c:v>-491.5545704131946</c:v>
                </c:pt>
                <c:pt idx="474">
                  <c:v>-408.96801837999374</c:v>
                </c:pt>
                <c:pt idx="475">
                  <c:v>-546.68520030984655</c:v>
                </c:pt>
                <c:pt idx="476">
                  <c:v>-846.35969149973243</c:v>
                </c:pt>
                <c:pt idx="477">
                  <c:v>-508.01024407055229</c:v>
                </c:pt>
                <c:pt idx="478">
                  <c:v>-724.96085862442851</c:v>
                </c:pt>
                <c:pt idx="479">
                  <c:v>-535.68281903862953</c:v>
                </c:pt>
                <c:pt idx="480">
                  <c:v>-519.62632441800088</c:v>
                </c:pt>
                <c:pt idx="481">
                  <c:v>-481.89986747782677</c:v>
                </c:pt>
                <c:pt idx="482">
                  <c:v>-846.00931149348617</c:v>
                </c:pt>
                <c:pt idx="483">
                  <c:v>-611.94007504009642</c:v>
                </c:pt>
                <c:pt idx="484">
                  <c:v>-402.44175555836409</c:v>
                </c:pt>
                <c:pt idx="485">
                  <c:v>-718.57673986535519</c:v>
                </c:pt>
                <c:pt idx="486">
                  <c:v>-757.11326414998621</c:v>
                </c:pt>
                <c:pt idx="487">
                  <c:v>-593.84266212303191</c:v>
                </c:pt>
                <c:pt idx="488">
                  <c:v>-666.45218247408047</c:v>
                </c:pt>
                <c:pt idx="489">
                  <c:v>-632.26040222914889</c:v>
                </c:pt>
                <c:pt idx="490">
                  <c:v>-647.43570742988959</c:v>
                </c:pt>
                <c:pt idx="491">
                  <c:v>-605.27573947748169</c:v>
                </c:pt>
                <c:pt idx="492">
                  <c:v>-605.01354583958164</c:v>
                </c:pt>
                <c:pt idx="493">
                  <c:v>-651.9419445283711</c:v>
                </c:pt>
                <c:pt idx="494">
                  <c:v>-617.34749926906079</c:v>
                </c:pt>
                <c:pt idx="495">
                  <c:v>-545.92897744849324</c:v>
                </c:pt>
                <c:pt idx="496">
                  <c:v>-634.90804640483111</c:v>
                </c:pt>
                <c:pt idx="497">
                  <c:v>-682.48757022619247</c:v>
                </c:pt>
                <c:pt idx="498">
                  <c:v>-658.72235049214214</c:v>
                </c:pt>
                <c:pt idx="499">
                  <c:v>-482.76021367218345</c:v>
                </c:pt>
                <c:pt idx="500">
                  <c:v>-671.63618538528681</c:v>
                </c:pt>
                <c:pt idx="501">
                  <c:v>-726.75837123021483</c:v>
                </c:pt>
                <c:pt idx="502">
                  <c:v>-608.65837105922401</c:v>
                </c:pt>
                <c:pt idx="503">
                  <c:v>-568.12728217151016</c:v>
                </c:pt>
                <c:pt idx="504">
                  <c:v>-604.53499965276569</c:v>
                </c:pt>
                <c:pt idx="505">
                  <c:v>-523.09677048306912</c:v>
                </c:pt>
                <c:pt idx="506">
                  <c:v>-384.53174328338355</c:v>
                </c:pt>
                <c:pt idx="507">
                  <c:v>-78.566292884759605</c:v>
                </c:pt>
                <c:pt idx="508">
                  <c:v>-654.96475028852001</c:v>
                </c:pt>
                <c:pt idx="509">
                  <c:v>-334.5009652976878</c:v>
                </c:pt>
                <c:pt idx="510">
                  <c:v>-533.26068948814645</c:v>
                </c:pt>
                <c:pt idx="511">
                  <c:v>-651.02332213381305</c:v>
                </c:pt>
                <c:pt idx="512">
                  <c:v>-957.26318573066965</c:v>
                </c:pt>
                <c:pt idx="513">
                  <c:v>-856.74277101596817</c:v>
                </c:pt>
                <c:pt idx="514">
                  <c:v>-1058.7275064499117</c:v>
                </c:pt>
                <c:pt idx="515">
                  <c:v>-920.87907215580344</c:v>
                </c:pt>
                <c:pt idx="516">
                  <c:v>-1294.4355554310605</c:v>
                </c:pt>
                <c:pt idx="517">
                  <c:v>-1221.8163840221241</c:v>
                </c:pt>
                <c:pt idx="518">
                  <c:v>-808.22961201425642</c:v>
                </c:pt>
                <c:pt idx="519">
                  <c:v>-942.59379705693573</c:v>
                </c:pt>
                <c:pt idx="520">
                  <c:v>-1212.4557966338471</c:v>
                </c:pt>
                <c:pt idx="521">
                  <c:v>-898.41350139785209</c:v>
                </c:pt>
                <c:pt idx="522">
                  <c:v>-837.13361716491636</c:v>
                </c:pt>
                <c:pt idx="523">
                  <c:v>-694.05864135036245</c:v>
                </c:pt>
                <c:pt idx="524">
                  <c:v>-680.80389592098072</c:v>
                </c:pt>
                <c:pt idx="525">
                  <c:v>-601.57059112424031</c:v>
                </c:pt>
                <c:pt idx="526">
                  <c:v>-676.50444698799402</c:v>
                </c:pt>
                <c:pt idx="527">
                  <c:v>-931.98223927151412</c:v>
                </c:pt>
                <c:pt idx="528">
                  <c:v>-642.35508359130472</c:v>
                </c:pt>
                <c:pt idx="529">
                  <c:v>-772.14036239404231</c:v>
                </c:pt>
                <c:pt idx="530">
                  <c:v>-934.14313778933138</c:v>
                </c:pt>
                <c:pt idx="531">
                  <c:v>-1343.5579014439136</c:v>
                </c:pt>
                <c:pt idx="532">
                  <c:v>-974.82030068524182</c:v>
                </c:pt>
                <c:pt idx="533">
                  <c:v>-862.52760238200426</c:v>
                </c:pt>
                <c:pt idx="534">
                  <c:v>-1671.4783961568028</c:v>
                </c:pt>
                <c:pt idx="535">
                  <c:v>-1373.4877169830725</c:v>
                </c:pt>
                <c:pt idx="536">
                  <c:v>-1462.4907736135647</c:v>
                </c:pt>
                <c:pt idx="537">
                  <c:v>-1183.2669210564345</c:v>
                </c:pt>
                <c:pt idx="538">
                  <c:v>-1308.6698584193364</c:v>
                </c:pt>
                <c:pt idx="539">
                  <c:v>-1539.319315337576</c:v>
                </c:pt>
                <c:pt idx="540">
                  <c:v>-1461.6173456078395</c:v>
                </c:pt>
                <c:pt idx="541">
                  <c:v>-1323.9032669775188</c:v>
                </c:pt>
                <c:pt idx="542">
                  <c:v>-1366.2606852753088</c:v>
                </c:pt>
                <c:pt idx="543">
                  <c:v>-1296.0149379624054</c:v>
                </c:pt>
                <c:pt idx="544">
                  <c:v>-1583.1356418123469</c:v>
                </c:pt>
                <c:pt idx="545">
                  <c:v>-1471.7386014340445</c:v>
                </c:pt>
                <c:pt idx="546">
                  <c:v>-1481.2314201211557</c:v>
                </c:pt>
                <c:pt idx="547">
                  <c:v>-1511.5987175414339</c:v>
                </c:pt>
                <c:pt idx="548">
                  <c:v>-1040.1871877759695</c:v>
                </c:pt>
                <c:pt idx="549">
                  <c:v>-1232.009981703246</c:v>
                </c:pt>
                <c:pt idx="550">
                  <c:v>-1130.9217201927677</c:v>
                </c:pt>
                <c:pt idx="551">
                  <c:v>-884.28661238681525</c:v>
                </c:pt>
                <c:pt idx="552">
                  <c:v>-1131.576981282793</c:v>
                </c:pt>
                <c:pt idx="553">
                  <c:v>-1014.8797955522314</c:v>
                </c:pt>
                <c:pt idx="554">
                  <c:v>-1492.7059795660898</c:v>
                </c:pt>
                <c:pt idx="555">
                  <c:v>-1355.3726249663159</c:v>
                </c:pt>
                <c:pt idx="556">
                  <c:v>-1100.1233223443851</c:v>
                </c:pt>
                <c:pt idx="557">
                  <c:v>-1535.2071705088019</c:v>
                </c:pt>
                <c:pt idx="558">
                  <c:v>-1342.6832451615483</c:v>
                </c:pt>
                <c:pt idx="559">
                  <c:v>-1279.1227585196029</c:v>
                </c:pt>
                <c:pt idx="560">
                  <c:v>-1374.5683877514675</c:v>
                </c:pt>
                <c:pt idx="561">
                  <c:v>-1042.0644189231098</c:v>
                </c:pt>
                <c:pt idx="562">
                  <c:v>-1676.7542275178712</c:v>
                </c:pt>
                <c:pt idx="563">
                  <c:v>-1621.5073111439124</c:v>
                </c:pt>
                <c:pt idx="564">
                  <c:v>-1524.7787271651905</c:v>
                </c:pt>
                <c:pt idx="565">
                  <c:v>-1535.9476468628272</c:v>
                </c:pt>
                <c:pt idx="566">
                  <c:v>-1609.039580126293</c:v>
                </c:pt>
                <c:pt idx="567">
                  <c:v>-1681.0505371047184</c:v>
                </c:pt>
                <c:pt idx="568">
                  <c:v>-1747.6992752291262</c:v>
                </c:pt>
                <c:pt idx="569">
                  <c:v>-1501.1402140781283</c:v>
                </c:pt>
                <c:pt idx="570">
                  <c:v>-1503.0749880857766</c:v>
                </c:pt>
                <c:pt idx="571">
                  <c:v>-1701.1047897366807</c:v>
                </c:pt>
                <c:pt idx="572">
                  <c:v>-1528.415251661092</c:v>
                </c:pt>
                <c:pt idx="573">
                  <c:v>-917.77853801753372</c:v>
                </c:pt>
                <c:pt idx="574">
                  <c:v>-1155.6805930994451</c:v>
                </c:pt>
                <c:pt idx="575">
                  <c:v>-1343.3208284480497</c:v>
                </c:pt>
                <c:pt idx="576">
                  <c:v>-1610.7738479366526</c:v>
                </c:pt>
                <c:pt idx="577">
                  <c:v>-1454.9133797474205</c:v>
                </c:pt>
                <c:pt idx="578">
                  <c:v>-1698.2431261288002</c:v>
                </c:pt>
                <c:pt idx="579">
                  <c:v>-1735.1553545193747</c:v>
                </c:pt>
                <c:pt idx="580">
                  <c:v>-2561.291728249751</c:v>
                </c:pt>
                <c:pt idx="581">
                  <c:v>-1836.0270783798769</c:v>
                </c:pt>
                <c:pt idx="582">
                  <c:v>-2207.3023756043985</c:v>
                </c:pt>
                <c:pt idx="583">
                  <c:v>-2180.6515922173858</c:v>
                </c:pt>
                <c:pt idx="584">
                  <c:v>-1654.1586758522317</c:v>
                </c:pt>
                <c:pt idx="585">
                  <c:v>-1977.2166291614994</c:v>
                </c:pt>
                <c:pt idx="586">
                  <c:v>-1549.2416418669745</c:v>
                </c:pt>
                <c:pt idx="587">
                  <c:v>-1656.8606242304668</c:v>
                </c:pt>
                <c:pt idx="588">
                  <c:v>-1941.5928194364533</c:v>
                </c:pt>
                <c:pt idx="589">
                  <c:v>-1220.0377537594177</c:v>
                </c:pt>
                <c:pt idx="590">
                  <c:v>-1814.4375888109207</c:v>
                </c:pt>
                <c:pt idx="591">
                  <c:v>-1362.4605410164222</c:v>
                </c:pt>
                <c:pt idx="592">
                  <c:v>-2075.1942249713466</c:v>
                </c:pt>
                <c:pt idx="593">
                  <c:v>-1946.7765102600679</c:v>
                </c:pt>
                <c:pt idx="594">
                  <c:v>-2252.2608885063091</c:v>
                </c:pt>
                <c:pt idx="595">
                  <c:v>-1751.069246920757</c:v>
                </c:pt>
                <c:pt idx="596">
                  <c:v>-2032.0256897965446</c:v>
                </c:pt>
                <c:pt idx="597">
                  <c:v>-1952.4882464921102</c:v>
                </c:pt>
                <c:pt idx="598">
                  <c:v>-1954.2028466155753</c:v>
                </c:pt>
                <c:pt idx="599">
                  <c:v>-1833.2613252429292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41E-4AC2-8055-847B02E9C8D9}"/>
            </c:ext>
          </c:extLst>
        </c:ser>
        <c:ser>
          <c:idx val="3"/>
          <c:order val="3"/>
          <c:tx>
            <c:strRef>
              <c:f>MONEY!$E$3</c:f>
              <c:strCache>
                <c:ptCount val="1"/>
                <c:pt idx="0">
                  <c:v>Sum of equity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MONEY!$A$4:$A$604</c:f>
              <c:strCache>
                <c:ptCount val="6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</c:strCache>
            </c:strRef>
          </c:cat>
          <c:val>
            <c:numRef>
              <c:f>MONEY!$E$4:$E$604</c:f>
              <c:numCache>
                <c:formatCode>General</c:formatCode>
                <c:ptCount val="600"/>
                <c:pt idx="0">
                  <c:v>3000</c:v>
                </c:pt>
                <c:pt idx="1">
                  <c:v>3000</c:v>
                </c:pt>
                <c:pt idx="2">
                  <c:v>3000</c:v>
                </c:pt>
                <c:pt idx="3">
                  <c:v>3000.02</c:v>
                </c:pt>
                <c:pt idx="4">
                  <c:v>3000.91</c:v>
                </c:pt>
                <c:pt idx="5">
                  <c:v>3001.37</c:v>
                </c:pt>
                <c:pt idx="6">
                  <c:v>3001.84</c:v>
                </c:pt>
                <c:pt idx="7">
                  <c:v>3002.32</c:v>
                </c:pt>
                <c:pt idx="8">
                  <c:v>3003.37</c:v>
                </c:pt>
                <c:pt idx="9">
                  <c:v>3004.46</c:v>
                </c:pt>
                <c:pt idx="10">
                  <c:v>3004.71</c:v>
                </c:pt>
                <c:pt idx="11">
                  <c:v>3004.95</c:v>
                </c:pt>
                <c:pt idx="12">
                  <c:v>3005.19</c:v>
                </c:pt>
                <c:pt idx="13">
                  <c:v>3005.43</c:v>
                </c:pt>
                <c:pt idx="14">
                  <c:v>3005.67</c:v>
                </c:pt>
                <c:pt idx="15">
                  <c:v>3005.91</c:v>
                </c:pt>
                <c:pt idx="16">
                  <c:v>3006.15</c:v>
                </c:pt>
                <c:pt idx="17">
                  <c:v>3006.38</c:v>
                </c:pt>
                <c:pt idx="18">
                  <c:v>3007.46</c:v>
                </c:pt>
                <c:pt idx="19">
                  <c:v>3009</c:v>
                </c:pt>
                <c:pt idx="20">
                  <c:v>3009.7</c:v>
                </c:pt>
                <c:pt idx="21">
                  <c:v>3010.06</c:v>
                </c:pt>
                <c:pt idx="22">
                  <c:v>3010.79</c:v>
                </c:pt>
                <c:pt idx="23">
                  <c:v>3012.01</c:v>
                </c:pt>
                <c:pt idx="24">
                  <c:v>3012.84</c:v>
                </c:pt>
                <c:pt idx="25">
                  <c:v>3015.23</c:v>
                </c:pt>
                <c:pt idx="26">
                  <c:v>3012.73</c:v>
                </c:pt>
                <c:pt idx="27">
                  <c:v>3014.98</c:v>
                </c:pt>
                <c:pt idx="28">
                  <c:v>3014.93</c:v>
                </c:pt>
                <c:pt idx="29">
                  <c:v>3016.1</c:v>
                </c:pt>
                <c:pt idx="30">
                  <c:v>3019.16</c:v>
                </c:pt>
                <c:pt idx="31">
                  <c:v>3017.46</c:v>
                </c:pt>
                <c:pt idx="32">
                  <c:v>3016.9</c:v>
                </c:pt>
                <c:pt idx="33">
                  <c:v>3017.84</c:v>
                </c:pt>
                <c:pt idx="34">
                  <c:v>3022.4</c:v>
                </c:pt>
                <c:pt idx="35">
                  <c:v>3018.33</c:v>
                </c:pt>
                <c:pt idx="36">
                  <c:v>3016.89</c:v>
                </c:pt>
                <c:pt idx="37">
                  <c:v>3018.82</c:v>
                </c:pt>
                <c:pt idx="38">
                  <c:v>3027.23</c:v>
                </c:pt>
                <c:pt idx="39">
                  <c:v>3026.21</c:v>
                </c:pt>
                <c:pt idx="40">
                  <c:v>3030.47</c:v>
                </c:pt>
                <c:pt idx="41">
                  <c:v>3036.4</c:v>
                </c:pt>
                <c:pt idx="42">
                  <c:v>3041.58</c:v>
                </c:pt>
                <c:pt idx="43">
                  <c:v>3046.13</c:v>
                </c:pt>
                <c:pt idx="44">
                  <c:v>3057.93</c:v>
                </c:pt>
                <c:pt idx="45">
                  <c:v>3067.56</c:v>
                </c:pt>
                <c:pt idx="46">
                  <c:v>3064.2</c:v>
                </c:pt>
                <c:pt idx="47">
                  <c:v>3068.15</c:v>
                </c:pt>
                <c:pt idx="48">
                  <c:v>3065.51</c:v>
                </c:pt>
                <c:pt idx="49">
                  <c:v>3061.15</c:v>
                </c:pt>
                <c:pt idx="50">
                  <c:v>3070.59</c:v>
                </c:pt>
                <c:pt idx="51">
                  <c:v>3072.79</c:v>
                </c:pt>
                <c:pt idx="52">
                  <c:v>3081.44</c:v>
                </c:pt>
                <c:pt idx="53">
                  <c:v>3088.89</c:v>
                </c:pt>
                <c:pt idx="54">
                  <c:v>3084.86</c:v>
                </c:pt>
                <c:pt idx="55">
                  <c:v>3079.73</c:v>
                </c:pt>
                <c:pt idx="56">
                  <c:v>3075.11</c:v>
                </c:pt>
                <c:pt idx="57">
                  <c:v>3063.38</c:v>
                </c:pt>
                <c:pt idx="58">
                  <c:v>3052.1</c:v>
                </c:pt>
                <c:pt idx="59">
                  <c:v>3059.34</c:v>
                </c:pt>
                <c:pt idx="60">
                  <c:v>3039.48</c:v>
                </c:pt>
                <c:pt idx="61">
                  <c:v>3035.88</c:v>
                </c:pt>
                <c:pt idx="62">
                  <c:v>3014.57</c:v>
                </c:pt>
                <c:pt idx="63">
                  <c:v>3023.01</c:v>
                </c:pt>
                <c:pt idx="64">
                  <c:v>3018.18</c:v>
                </c:pt>
                <c:pt idx="65">
                  <c:v>3018.72</c:v>
                </c:pt>
                <c:pt idx="66">
                  <c:v>2985.14</c:v>
                </c:pt>
                <c:pt idx="67">
                  <c:v>2974.86</c:v>
                </c:pt>
                <c:pt idx="68">
                  <c:v>2952.08</c:v>
                </c:pt>
                <c:pt idx="69">
                  <c:v>2951.79</c:v>
                </c:pt>
                <c:pt idx="70">
                  <c:v>2952.24</c:v>
                </c:pt>
                <c:pt idx="71">
                  <c:v>2913.09</c:v>
                </c:pt>
                <c:pt idx="72">
                  <c:v>2889.66</c:v>
                </c:pt>
                <c:pt idx="73">
                  <c:v>2896.2</c:v>
                </c:pt>
                <c:pt idx="74">
                  <c:v>2849.45</c:v>
                </c:pt>
                <c:pt idx="75">
                  <c:v>2830.41</c:v>
                </c:pt>
                <c:pt idx="76">
                  <c:v>2810.99</c:v>
                </c:pt>
                <c:pt idx="77">
                  <c:v>2781.92</c:v>
                </c:pt>
                <c:pt idx="78">
                  <c:v>2773.72</c:v>
                </c:pt>
                <c:pt idx="79">
                  <c:v>2750.12</c:v>
                </c:pt>
                <c:pt idx="80">
                  <c:v>2733.93</c:v>
                </c:pt>
                <c:pt idx="81">
                  <c:v>2672.4</c:v>
                </c:pt>
                <c:pt idx="82">
                  <c:v>2620.54</c:v>
                </c:pt>
                <c:pt idx="83">
                  <c:v>2635.66</c:v>
                </c:pt>
                <c:pt idx="84">
                  <c:v>2597.29</c:v>
                </c:pt>
                <c:pt idx="85">
                  <c:v>2552.86</c:v>
                </c:pt>
                <c:pt idx="86">
                  <c:v>2533.0500000000002</c:v>
                </c:pt>
                <c:pt idx="87">
                  <c:v>2505.52</c:v>
                </c:pt>
                <c:pt idx="88">
                  <c:v>2471.12</c:v>
                </c:pt>
                <c:pt idx="89">
                  <c:v>2432.56</c:v>
                </c:pt>
                <c:pt idx="90">
                  <c:v>2386.38</c:v>
                </c:pt>
                <c:pt idx="91">
                  <c:v>2366.5500000000002</c:v>
                </c:pt>
                <c:pt idx="92">
                  <c:v>2333.35</c:v>
                </c:pt>
                <c:pt idx="93">
                  <c:v>2307.6</c:v>
                </c:pt>
                <c:pt idx="94">
                  <c:v>2252.0300000000002</c:v>
                </c:pt>
                <c:pt idx="95">
                  <c:v>2212.88</c:v>
                </c:pt>
                <c:pt idx="96">
                  <c:v>2192.85</c:v>
                </c:pt>
                <c:pt idx="97">
                  <c:v>2140.66</c:v>
                </c:pt>
                <c:pt idx="98">
                  <c:v>2098.59</c:v>
                </c:pt>
                <c:pt idx="99">
                  <c:v>2047.05</c:v>
                </c:pt>
                <c:pt idx="100">
                  <c:v>2027.25</c:v>
                </c:pt>
                <c:pt idx="101">
                  <c:v>1987.55</c:v>
                </c:pt>
                <c:pt idx="102">
                  <c:v>1938.92</c:v>
                </c:pt>
                <c:pt idx="103">
                  <c:v>1883.13</c:v>
                </c:pt>
                <c:pt idx="104">
                  <c:v>1844.62</c:v>
                </c:pt>
                <c:pt idx="105">
                  <c:v>1797.2</c:v>
                </c:pt>
                <c:pt idx="106">
                  <c:v>1757.42</c:v>
                </c:pt>
                <c:pt idx="107">
                  <c:v>1692.09</c:v>
                </c:pt>
                <c:pt idx="108">
                  <c:v>1666.72</c:v>
                </c:pt>
                <c:pt idx="109">
                  <c:v>1638.77</c:v>
                </c:pt>
                <c:pt idx="110">
                  <c:v>1581.39</c:v>
                </c:pt>
                <c:pt idx="111">
                  <c:v>1550.66</c:v>
                </c:pt>
                <c:pt idx="112">
                  <c:v>1485.59</c:v>
                </c:pt>
                <c:pt idx="113">
                  <c:v>1430.24</c:v>
                </c:pt>
                <c:pt idx="114">
                  <c:v>1370.62</c:v>
                </c:pt>
                <c:pt idx="115">
                  <c:v>1298.7</c:v>
                </c:pt>
                <c:pt idx="116">
                  <c:v>1232.7</c:v>
                </c:pt>
                <c:pt idx="117">
                  <c:v>1186.53</c:v>
                </c:pt>
                <c:pt idx="118">
                  <c:v>1089.53</c:v>
                </c:pt>
                <c:pt idx="119">
                  <c:v>1018.43</c:v>
                </c:pt>
                <c:pt idx="120">
                  <c:v>949.90200000000004</c:v>
                </c:pt>
                <c:pt idx="121">
                  <c:v>882.846</c:v>
                </c:pt>
                <c:pt idx="122">
                  <c:v>821.00099999999998</c:v>
                </c:pt>
                <c:pt idx="123">
                  <c:v>757.00599999999997</c:v>
                </c:pt>
                <c:pt idx="124">
                  <c:v>694.60799999999995</c:v>
                </c:pt>
                <c:pt idx="125">
                  <c:v>649.779</c:v>
                </c:pt>
                <c:pt idx="126">
                  <c:v>593.36199999999997</c:v>
                </c:pt>
                <c:pt idx="127">
                  <c:v>558.56799999999998</c:v>
                </c:pt>
                <c:pt idx="128">
                  <c:v>478.90100000000001</c:v>
                </c:pt>
                <c:pt idx="129">
                  <c:v>428.79300000000001</c:v>
                </c:pt>
                <c:pt idx="130">
                  <c:v>360.46899999999999</c:v>
                </c:pt>
                <c:pt idx="131">
                  <c:v>299.01</c:v>
                </c:pt>
                <c:pt idx="132">
                  <c:v>240.215</c:v>
                </c:pt>
                <c:pt idx="133">
                  <c:v>176.76</c:v>
                </c:pt>
                <c:pt idx="134">
                  <c:v>103.17700000000001</c:v>
                </c:pt>
                <c:pt idx="135">
                  <c:v>48.381</c:v>
                </c:pt>
                <c:pt idx="136">
                  <c:v>-17.910299999999999</c:v>
                </c:pt>
                <c:pt idx="137">
                  <c:v>-106.79900000000001</c:v>
                </c:pt>
                <c:pt idx="138">
                  <c:v>-154.86000000000001</c:v>
                </c:pt>
                <c:pt idx="139">
                  <c:v>-237.97</c:v>
                </c:pt>
                <c:pt idx="140">
                  <c:v>-285.23</c:v>
                </c:pt>
                <c:pt idx="141">
                  <c:v>-344.19200000000001</c:v>
                </c:pt>
                <c:pt idx="142">
                  <c:v>-411.71899999999999</c:v>
                </c:pt>
                <c:pt idx="143">
                  <c:v>-470.67399999999998</c:v>
                </c:pt>
                <c:pt idx="144">
                  <c:v>-530.29600000000005</c:v>
                </c:pt>
                <c:pt idx="145">
                  <c:v>-599.08000000000004</c:v>
                </c:pt>
                <c:pt idx="146">
                  <c:v>-660.26099999999997</c:v>
                </c:pt>
                <c:pt idx="147">
                  <c:v>-714.56200000000001</c:v>
                </c:pt>
                <c:pt idx="148">
                  <c:v>-782.34299999999996</c:v>
                </c:pt>
                <c:pt idx="149">
                  <c:v>-837.92100000000005</c:v>
                </c:pt>
                <c:pt idx="150">
                  <c:v>-893.18700000000001</c:v>
                </c:pt>
                <c:pt idx="151">
                  <c:v>-953.78399999999999</c:v>
                </c:pt>
                <c:pt idx="152">
                  <c:v>-1011.82</c:v>
                </c:pt>
                <c:pt idx="153">
                  <c:v>-1075.19</c:v>
                </c:pt>
                <c:pt idx="154">
                  <c:v>-1133.51</c:v>
                </c:pt>
                <c:pt idx="155">
                  <c:v>-1201.3900000000001</c:v>
                </c:pt>
                <c:pt idx="156">
                  <c:v>-1238.82</c:v>
                </c:pt>
                <c:pt idx="157">
                  <c:v>-1304.77</c:v>
                </c:pt>
                <c:pt idx="158">
                  <c:v>-1364.01</c:v>
                </c:pt>
                <c:pt idx="159">
                  <c:v>-1409.99</c:v>
                </c:pt>
                <c:pt idx="160">
                  <c:v>-1454.49</c:v>
                </c:pt>
                <c:pt idx="161">
                  <c:v>-1533.4</c:v>
                </c:pt>
                <c:pt idx="162">
                  <c:v>-1596.14</c:v>
                </c:pt>
                <c:pt idx="163">
                  <c:v>-1655.85</c:v>
                </c:pt>
                <c:pt idx="164">
                  <c:v>-1713.79</c:v>
                </c:pt>
                <c:pt idx="165">
                  <c:v>-1757.01</c:v>
                </c:pt>
                <c:pt idx="166">
                  <c:v>-1830.64</c:v>
                </c:pt>
                <c:pt idx="167">
                  <c:v>-1882.05</c:v>
                </c:pt>
                <c:pt idx="168">
                  <c:v>-1949.33</c:v>
                </c:pt>
                <c:pt idx="169">
                  <c:v>-2000.37</c:v>
                </c:pt>
                <c:pt idx="170">
                  <c:v>-2054.9499999999998</c:v>
                </c:pt>
                <c:pt idx="171">
                  <c:v>-2115.1999999999998</c:v>
                </c:pt>
                <c:pt idx="172">
                  <c:v>-2151.7399999999998</c:v>
                </c:pt>
                <c:pt idx="173">
                  <c:v>-2228.85</c:v>
                </c:pt>
                <c:pt idx="174">
                  <c:v>-2284.3200000000002</c:v>
                </c:pt>
                <c:pt idx="175">
                  <c:v>-2344.3200000000002</c:v>
                </c:pt>
                <c:pt idx="176">
                  <c:v>-2418.2600000000002</c:v>
                </c:pt>
                <c:pt idx="177">
                  <c:v>-2499.38</c:v>
                </c:pt>
                <c:pt idx="178">
                  <c:v>-2574.54</c:v>
                </c:pt>
                <c:pt idx="179">
                  <c:v>-2638.55</c:v>
                </c:pt>
                <c:pt idx="180">
                  <c:v>-2701.14</c:v>
                </c:pt>
                <c:pt idx="181">
                  <c:v>-2781.11</c:v>
                </c:pt>
                <c:pt idx="182">
                  <c:v>-2838.55</c:v>
                </c:pt>
                <c:pt idx="183">
                  <c:v>-2926.34</c:v>
                </c:pt>
                <c:pt idx="184">
                  <c:v>-2997.85</c:v>
                </c:pt>
                <c:pt idx="185">
                  <c:v>-3061.68</c:v>
                </c:pt>
                <c:pt idx="186">
                  <c:v>-3131.97</c:v>
                </c:pt>
                <c:pt idx="187">
                  <c:v>-3208.92</c:v>
                </c:pt>
                <c:pt idx="188">
                  <c:v>-3276.45</c:v>
                </c:pt>
                <c:pt idx="189">
                  <c:v>-3359.59</c:v>
                </c:pt>
                <c:pt idx="190">
                  <c:v>-3432.89</c:v>
                </c:pt>
                <c:pt idx="191">
                  <c:v>-3530.96</c:v>
                </c:pt>
                <c:pt idx="192">
                  <c:v>-3619.19</c:v>
                </c:pt>
                <c:pt idx="193">
                  <c:v>-3711.36</c:v>
                </c:pt>
                <c:pt idx="194">
                  <c:v>-3822.54</c:v>
                </c:pt>
                <c:pt idx="195">
                  <c:v>-3909.13</c:v>
                </c:pt>
                <c:pt idx="196">
                  <c:v>-4005.39</c:v>
                </c:pt>
                <c:pt idx="197">
                  <c:v>-4092.23</c:v>
                </c:pt>
                <c:pt idx="198">
                  <c:v>-4169.58</c:v>
                </c:pt>
                <c:pt idx="199">
                  <c:v>-4273.29</c:v>
                </c:pt>
                <c:pt idx="200">
                  <c:v>-4374.4799999999996</c:v>
                </c:pt>
                <c:pt idx="201">
                  <c:v>-4450.7700000000004</c:v>
                </c:pt>
                <c:pt idx="202">
                  <c:v>-4573.7700000000004</c:v>
                </c:pt>
                <c:pt idx="203">
                  <c:v>-4670.5200000000004</c:v>
                </c:pt>
                <c:pt idx="204">
                  <c:v>-4768.72</c:v>
                </c:pt>
                <c:pt idx="205">
                  <c:v>-4889.97</c:v>
                </c:pt>
                <c:pt idx="206">
                  <c:v>-4996.66</c:v>
                </c:pt>
                <c:pt idx="207">
                  <c:v>-5067.83</c:v>
                </c:pt>
                <c:pt idx="208">
                  <c:v>-5154.6000000000004</c:v>
                </c:pt>
                <c:pt idx="209">
                  <c:v>-5237.37</c:v>
                </c:pt>
                <c:pt idx="210">
                  <c:v>-5346.42</c:v>
                </c:pt>
                <c:pt idx="211">
                  <c:v>-5454.66</c:v>
                </c:pt>
                <c:pt idx="212">
                  <c:v>-5535.23</c:v>
                </c:pt>
                <c:pt idx="213">
                  <c:v>-5622.78</c:v>
                </c:pt>
                <c:pt idx="214">
                  <c:v>-5697.64</c:v>
                </c:pt>
                <c:pt idx="215">
                  <c:v>-5797.56</c:v>
                </c:pt>
                <c:pt idx="216">
                  <c:v>-5895.05</c:v>
                </c:pt>
                <c:pt idx="217">
                  <c:v>-5993.4</c:v>
                </c:pt>
                <c:pt idx="218">
                  <c:v>-6087.45</c:v>
                </c:pt>
                <c:pt idx="219">
                  <c:v>-6205.5</c:v>
                </c:pt>
                <c:pt idx="220">
                  <c:v>-6316.42</c:v>
                </c:pt>
                <c:pt idx="221">
                  <c:v>-6436.24</c:v>
                </c:pt>
                <c:pt idx="222">
                  <c:v>-6566.56</c:v>
                </c:pt>
                <c:pt idx="223">
                  <c:v>-6662.59</c:v>
                </c:pt>
                <c:pt idx="224">
                  <c:v>-6790.46</c:v>
                </c:pt>
                <c:pt idx="225">
                  <c:v>-6895.65</c:v>
                </c:pt>
                <c:pt idx="226">
                  <c:v>-7018</c:v>
                </c:pt>
                <c:pt idx="227">
                  <c:v>-7104.42</c:v>
                </c:pt>
                <c:pt idx="228">
                  <c:v>-7209.32</c:v>
                </c:pt>
                <c:pt idx="229">
                  <c:v>-7321.99</c:v>
                </c:pt>
                <c:pt idx="230">
                  <c:v>-7413.04</c:v>
                </c:pt>
                <c:pt idx="231">
                  <c:v>-7559.6</c:v>
                </c:pt>
                <c:pt idx="232">
                  <c:v>-7637.35</c:v>
                </c:pt>
                <c:pt idx="233">
                  <c:v>-7755.83</c:v>
                </c:pt>
                <c:pt idx="234">
                  <c:v>-7867.64</c:v>
                </c:pt>
                <c:pt idx="235">
                  <c:v>-8020.56</c:v>
                </c:pt>
                <c:pt idx="236">
                  <c:v>-8152</c:v>
                </c:pt>
                <c:pt idx="237">
                  <c:v>-8307.4599999999991</c:v>
                </c:pt>
                <c:pt idx="238">
                  <c:v>-8427.2000000000007</c:v>
                </c:pt>
                <c:pt idx="239">
                  <c:v>-8591.27</c:v>
                </c:pt>
                <c:pt idx="240">
                  <c:v>-8697.35</c:v>
                </c:pt>
                <c:pt idx="241">
                  <c:v>-8850</c:v>
                </c:pt>
                <c:pt idx="242">
                  <c:v>-8990.09</c:v>
                </c:pt>
                <c:pt idx="243">
                  <c:v>-9140.1299999999992</c:v>
                </c:pt>
                <c:pt idx="244">
                  <c:v>-9259.6200000000008</c:v>
                </c:pt>
                <c:pt idx="245">
                  <c:v>-9425.27</c:v>
                </c:pt>
                <c:pt idx="246">
                  <c:v>-9578.9500000000007</c:v>
                </c:pt>
                <c:pt idx="247">
                  <c:v>-9676.56</c:v>
                </c:pt>
                <c:pt idx="248">
                  <c:v>-9799.2099999999991</c:v>
                </c:pt>
                <c:pt idx="249">
                  <c:v>-9949.51</c:v>
                </c:pt>
                <c:pt idx="250">
                  <c:v>-10083.1</c:v>
                </c:pt>
                <c:pt idx="251">
                  <c:v>-10277.799999999999</c:v>
                </c:pt>
                <c:pt idx="252">
                  <c:v>-10425.700000000001</c:v>
                </c:pt>
                <c:pt idx="253">
                  <c:v>-10580.2</c:v>
                </c:pt>
                <c:pt idx="254">
                  <c:v>-10721.7</c:v>
                </c:pt>
                <c:pt idx="255">
                  <c:v>-10897.5</c:v>
                </c:pt>
                <c:pt idx="256">
                  <c:v>-11046.5</c:v>
                </c:pt>
                <c:pt idx="257">
                  <c:v>-11252.8</c:v>
                </c:pt>
                <c:pt idx="258">
                  <c:v>-11418.3</c:v>
                </c:pt>
                <c:pt idx="259">
                  <c:v>-11578.8</c:v>
                </c:pt>
                <c:pt idx="260">
                  <c:v>-11732.9</c:v>
                </c:pt>
                <c:pt idx="261">
                  <c:v>-11878.1</c:v>
                </c:pt>
                <c:pt idx="262">
                  <c:v>-12038</c:v>
                </c:pt>
                <c:pt idx="263">
                  <c:v>-12166.6</c:v>
                </c:pt>
                <c:pt idx="264">
                  <c:v>-12311.9</c:v>
                </c:pt>
                <c:pt idx="265">
                  <c:v>-12460.3</c:v>
                </c:pt>
                <c:pt idx="266">
                  <c:v>-12575.7</c:v>
                </c:pt>
                <c:pt idx="267">
                  <c:v>-12727</c:v>
                </c:pt>
                <c:pt idx="268">
                  <c:v>-12856.8</c:v>
                </c:pt>
                <c:pt idx="269">
                  <c:v>-13065.2</c:v>
                </c:pt>
                <c:pt idx="270">
                  <c:v>-13228.1</c:v>
                </c:pt>
                <c:pt idx="271">
                  <c:v>-13412.3</c:v>
                </c:pt>
                <c:pt idx="272">
                  <c:v>-13595.2</c:v>
                </c:pt>
                <c:pt idx="273">
                  <c:v>-13759.8</c:v>
                </c:pt>
                <c:pt idx="274">
                  <c:v>-14008.4</c:v>
                </c:pt>
                <c:pt idx="275">
                  <c:v>-14184</c:v>
                </c:pt>
                <c:pt idx="276">
                  <c:v>-14332.3</c:v>
                </c:pt>
                <c:pt idx="277">
                  <c:v>-14543.7</c:v>
                </c:pt>
                <c:pt idx="278">
                  <c:v>-14730.3</c:v>
                </c:pt>
                <c:pt idx="279">
                  <c:v>-14864.5</c:v>
                </c:pt>
                <c:pt idx="280">
                  <c:v>-15039.3</c:v>
                </c:pt>
                <c:pt idx="281">
                  <c:v>-15183</c:v>
                </c:pt>
                <c:pt idx="282">
                  <c:v>-15347.7</c:v>
                </c:pt>
                <c:pt idx="283">
                  <c:v>-15494.3</c:v>
                </c:pt>
                <c:pt idx="284">
                  <c:v>-15633.1</c:v>
                </c:pt>
                <c:pt idx="285">
                  <c:v>-15787.6</c:v>
                </c:pt>
                <c:pt idx="286">
                  <c:v>-16049.3</c:v>
                </c:pt>
                <c:pt idx="287">
                  <c:v>-16190.5</c:v>
                </c:pt>
                <c:pt idx="288">
                  <c:v>-16398.599999999999</c:v>
                </c:pt>
                <c:pt idx="289">
                  <c:v>-16567.2</c:v>
                </c:pt>
                <c:pt idx="290">
                  <c:v>-16767.400000000001</c:v>
                </c:pt>
                <c:pt idx="291">
                  <c:v>-16962.5</c:v>
                </c:pt>
                <c:pt idx="292">
                  <c:v>-17163.5</c:v>
                </c:pt>
                <c:pt idx="293">
                  <c:v>-17398</c:v>
                </c:pt>
                <c:pt idx="294">
                  <c:v>-17591.2</c:v>
                </c:pt>
                <c:pt idx="295">
                  <c:v>-17794.7</c:v>
                </c:pt>
                <c:pt idx="296">
                  <c:v>-17971.400000000001</c:v>
                </c:pt>
                <c:pt idx="297">
                  <c:v>-18187.3</c:v>
                </c:pt>
                <c:pt idx="298">
                  <c:v>-18454.3</c:v>
                </c:pt>
                <c:pt idx="299">
                  <c:v>-18679</c:v>
                </c:pt>
                <c:pt idx="300">
                  <c:v>-18888.900000000001</c:v>
                </c:pt>
                <c:pt idx="301">
                  <c:v>-19160.599999999999</c:v>
                </c:pt>
                <c:pt idx="302">
                  <c:v>-19401.3</c:v>
                </c:pt>
                <c:pt idx="303">
                  <c:v>-19654.400000000001</c:v>
                </c:pt>
                <c:pt idx="304">
                  <c:v>-19876.3</c:v>
                </c:pt>
                <c:pt idx="305">
                  <c:v>-20107.599999999999</c:v>
                </c:pt>
                <c:pt idx="306">
                  <c:v>-20439.400000000001</c:v>
                </c:pt>
                <c:pt idx="307">
                  <c:v>-20632.599999999999</c:v>
                </c:pt>
                <c:pt idx="308">
                  <c:v>-20827.8</c:v>
                </c:pt>
                <c:pt idx="309">
                  <c:v>-21082.2</c:v>
                </c:pt>
                <c:pt idx="310">
                  <c:v>-21351.8</c:v>
                </c:pt>
                <c:pt idx="311">
                  <c:v>-21673.1</c:v>
                </c:pt>
                <c:pt idx="312">
                  <c:v>-21887</c:v>
                </c:pt>
                <c:pt idx="313">
                  <c:v>-22198.6</c:v>
                </c:pt>
                <c:pt idx="314">
                  <c:v>-22454.9</c:v>
                </c:pt>
                <c:pt idx="315">
                  <c:v>-22772.799999999999</c:v>
                </c:pt>
                <c:pt idx="316">
                  <c:v>-23017.3</c:v>
                </c:pt>
                <c:pt idx="317">
                  <c:v>-23271.3</c:v>
                </c:pt>
                <c:pt idx="318">
                  <c:v>-23563.3</c:v>
                </c:pt>
                <c:pt idx="319">
                  <c:v>-23832.7</c:v>
                </c:pt>
                <c:pt idx="320">
                  <c:v>-24037.1</c:v>
                </c:pt>
                <c:pt idx="321">
                  <c:v>-24297.3</c:v>
                </c:pt>
                <c:pt idx="322">
                  <c:v>-24555.200000000001</c:v>
                </c:pt>
                <c:pt idx="323">
                  <c:v>-24835.599999999999</c:v>
                </c:pt>
                <c:pt idx="324">
                  <c:v>-25094.2</c:v>
                </c:pt>
                <c:pt idx="325">
                  <c:v>-25374.400000000001</c:v>
                </c:pt>
                <c:pt idx="326">
                  <c:v>-25643.4</c:v>
                </c:pt>
                <c:pt idx="327">
                  <c:v>-25917.9</c:v>
                </c:pt>
                <c:pt idx="328">
                  <c:v>-26183.7</c:v>
                </c:pt>
                <c:pt idx="329">
                  <c:v>-26397.1</c:v>
                </c:pt>
                <c:pt idx="330">
                  <c:v>-26658.6</c:v>
                </c:pt>
                <c:pt idx="331">
                  <c:v>-26995.5</c:v>
                </c:pt>
                <c:pt idx="332">
                  <c:v>-27303.8</c:v>
                </c:pt>
                <c:pt idx="333">
                  <c:v>-27579.4</c:v>
                </c:pt>
                <c:pt idx="334">
                  <c:v>-27847.200000000001</c:v>
                </c:pt>
                <c:pt idx="335">
                  <c:v>-28131.200000000001</c:v>
                </c:pt>
                <c:pt idx="336">
                  <c:v>-28451.8</c:v>
                </c:pt>
                <c:pt idx="337">
                  <c:v>-28791.5</c:v>
                </c:pt>
                <c:pt idx="338">
                  <c:v>-29121.5</c:v>
                </c:pt>
                <c:pt idx="339">
                  <c:v>-29421.200000000001</c:v>
                </c:pt>
                <c:pt idx="340">
                  <c:v>-29688.799999999999</c:v>
                </c:pt>
                <c:pt idx="341">
                  <c:v>-29982.3</c:v>
                </c:pt>
                <c:pt idx="342">
                  <c:v>-30345.599999999999</c:v>
                </c:pt>
                <c:pt idx="343">
                  <c:v>-30579.200000000001</c:v>
                </c:pt>
                <c:pt idx="344">
                  <c:v>-30845.9</c:v>
                </c:pt>
                <c:pt idx="345">
                  <c:v>-31094.400000000001</c:v>
                </c:pt>
                <c:pt idx="346">
                  <c:v>-31405.200000000001</c:v>
                </c:pt>
                <c:pt idx="347">
                  <c:v>-31733.200000000001</c:v>
                </c:pt>
                <c:pt idx="348">
                  <c:v>-32133.9</c:v>
                </c:pt>
                <c:pt idx="349">
                  <c:v>-32442.799999999999</c:v>
                </c:pt>
                <c:pt idx="350">
                  <c:v>-32748.400000000001</c:v>
                </c:pt>
                <c:pt idx="351">
                  <c:v>-33110.1</c:v>
                </c:pt>
                <c:pt idx="352">
                  <c:v>-33445.199999999997</c:v>
                </c:pt>
                <c:pt idx="353">
                  <c:v>-33774.9</c:v>
                </c:pt>
                <c:pt idx="354">
                  <c:v>-34106.9</c:v>
                </c:pt>
                <c:pt idx="355">
                  <c:v>-34394.800000000003</c:v>
                </c:pt>
                <c:pt idx="356">
                  <c:v>-34782.5</c:v>
                </c:pt>
                <c:pt idx="357">
                  <c:v>-35131</c:v>
                </c:pt>
                <c:pt idx="358">
                  <c:v>-35513.800000000003</c:v>
                </c:pt>
                <c:pt idx="359">
                  <c:v>-35856.699999999997</c:v>
                </c:pt>
                <c:pt idx="360">
                  <c:v>-36227.599999999999</c:v>
                </c:pt>
                <c:pt idx="361">
                  <c:v>-36600.699999999997</c:v>
                </c:pt>
                <c:pt idx="362">
                  <c:v>-37000.5</c:v>
                </c:pt>
                <c:pt idx="363">
                  <c:v>-37419.800000000003</c:v>
                </c:pt>
                <c:pt idx="364">
                  <c:v>-37842.5</c:v>
                </c:pt>
                <c:pt idx="365">
                  <c:v>-38259.5</c:v>
                </c:pt>
                <c:pt idx="366">
                  <c:v>-38651.1</c:v>
                </c:pt>
                <c:pt idx="367">
                  <c:v>-39015.699999999997</c:v>
                </c:pt>
                <c:pt idx="368">
                  <c:v>-39480</c:v>
                </c:pt>
                <c:pt idx="369">
                  <c:v>-39812.199999999997</c:v>
                </c:pt>
                <c:pt idx="370">
                  <c:v>-40148</c:v>
                </c:pt>
                <c:pt idx="371">
                  <c:v>-40570.800000000003</c:v>
                </c:pt>
                <c:pt idx="372">
                  <c:v>-40938.6</c:v>
                </c:pt>
                <c:pt idx="373">
                  <c:v>-41309.300000000003</c:v>
                </c:pt>
                <c:pt idx="374">
                  <c:v>-41716.300000000003</c:v>
                </c:pt>
                <c:pt idx="375">
                  <c:v>-42098.3</c:v>
                </c:pt>
                <c:pt idx="376">
                  <c:v>-42438.6</c:v>
                </c:pt>
                <c:pt idx="377">
                  <c:v>-42918.6</c:v>
                </c:pt>
                <c:pt idx="378">
                  <c:v>-43270.400000000001</c:v>
                </c:pt>
                <c:pt idx="379">
                  <c:v>-43707.5</c:v>
                </c:pt>
                <c:pt idx="380">
                  <c:v>-44187.4</c:v>
                </c:pt>
                <c:pt idx="381">
                  <c:v>-44680.1</c:v>
                </c:pt>
                <c:pt idx="382">
                  <c:v>-45040.9</c:v>
                </c:pt>
                <c:pt idx="383">
                  <c:v>-45514.6</c:v>
                </c:pt>
                <c:pt idx="384">
                  <c:v>-46010.1</c:v>
                </c:pt>
                <c:pt idx="385">
                  <c:v>-46409.1</c:v>
                </c:pt>
                <c:pt idx="386">
                  <c:v>-46846.8</c:v>
                </c:pt>
                <c:pt idx="387">
                  <c:v>-47241.5</c:v>
                </c:pt>
                <c:pt idx="388">
                  <c:v>-47682.7</c:v>
                </c:pt>
                <c:pt idx="389">
                  <c:v>-48092.3</c:v>
                </c:pt>
                <c:pt idx="390">
                  <c:v>-48527.6</c:v>
                </c:pt>
                <c:pt idx="391">
                  <c:v>-49029.5</c:v>
                </c:pt>
                <c:pt idx="392">
                  <c:v>-49497.5</c:v>
                </c:pt>
                <c:pt idx="393">
                  <c:v>-50047.199999999997</c:v>
                </c:pt>
                <c:pt idx="394">
                  <c:v>-50501.8</c:v>
                </c:pt>
                <c:pt idx="395">
                  <c:v>-50995.199999999997</c:v>
                </c:pt>
                <c:pt idx="396">
                  <c:v>-51471</c:v>
                </c:pt>
                <c:pt idx="397">
                  <c:v>-52076.3</c:v>
                </c:pt>
                <c:pt idx="398">
                  <c:v>-52497.8</c:v>
                </c:pt>
                <c:pt idx="399">
                  <c:v>-53142.3</c:v>
                </c:pt>
                <c:pt idx="400">
                  <c:v>-53552.3</c:v>
                </c:pt>
                <c:pt idx="401">
                  <c:v>-54183.3</c:v>
                </c:pt>
                <c:pt idx="402">
                  <c:v>-54627.4</c:v>
                </c:pt>
                <c:pt idx="403">
                  <c:v>-54968.5</c:v>
                </c:pt>
                <c:pt idx="404">
                  <c:v>-55496.3</c:v>
                </c:pt>
                <c:pt idx="405">
                  <c:v>-55935.8</c:v>
                </c:pt>
                <c:pt idx="406">
                  <c:v>-56441.9</c:v>
                </c:pt>
                <c:pt idx="407">
                  <c:v>-56993.1</c:v>
                </c:pt>
                <c:pt idx="408">
                  <c:v>-57403.6</c:v>
                </c:pt>
                <c:pt idx="409">
                  <c:v>-57792.800000000003</c:v>
                </c:pt>
                <c:pt idx="410">
                  <c:v>-58309.1</c:v>
                </c:pt>
                <c:pt idx="411">
                  <c:v>-58687.5</c:v>
                </c:pt>
                <c:pt idx="412">
                  <c:v>-59035.199999999997</c:v>
                </c:pt>
                <c:pt idx="413">
                  <c:v>-59602.9</c:v>
                </c:pt>
                <c:pt idx="414">
                  <c:v>-60092.2</c:v>
                </c:pt>
                <c:pt idx="415">
                  <c:v>-60812.800000000003</c:v>
                </c:pt>
                <c:pt idx="416">
                  <c:v>-61347.6</c:v>
                </c:pt>
                <c:pt idx="417">
                  <c:v>-61949.5</c:v>
                </c:pt>
                <c:pt idx="418">
                  <c:v>-62504</c:v>
                </c:pt>
                <c:pt idx="419">
                  <c:v>-63202.6</c:v>
                </c:pt>
                <c:pt idx="420">
                  <c:v>-63662</c:v>
                </c:pt>
                <c:pt idx="421">
                  <c:v>-64282.9</c:v>
                </c:pt>
                <c:pt idx="422">
                  <c:v>-64806.6</c:v>
                </c:pt>
                <c:pt idx="423">
                  <c:v>-65336.4</c:v>
                </c:pt>
                <c:pt idx="424">
                  <c:v>-65782.8</c:v>
                </c:pt>
                <c:pt idx="425">
                  <c:v>-66358.7</c:v>
                </c:pt>
                <c:pt idx="426">
                  <c:v>-66921.100000000006</c:v>
                </c:pt>
                <c:pt idx="427">
                  <c:v>-67448.7</c:v>
                </c:pt>
                <c:pt idx="428">
                  <c:v>-68082.5</c:v>
                </c:pt>
                <c:pt idx="429">
                  <c:v>-68663.100000000006</c:v>
                </c:pt>
                <c:pt idx="430">
                  <c:v>-69334.399999999994</c:v>
                </c:pt>
                <c:pt idx="431">
                  <c:v>-69982.7</c:v>
                </c:pt>
                <c:pt idx="432">
                  <c:v>-70589.399999999994</c:v>
                </c:pt>
                <c:pt idx="433">
                  <c:v>-71155.899999999994</c:v>
                </c:pt>
                <c:pt idx="434">
                  <c:v>-71781.3</c:v>
                </c:pt>
                <c:pt idx="435">
                  <c:v>-72582.8</c:v>
                </c:pt>
                <c:pt idx="436">
                  <c:v>-73118</c:v>
                </c:pt>
                <c:pt idx="437">
                  <c:v>-73888.100000000006</c:v>
                </c:pt>
                <c:pt idx="438">
                  <c:v>-74596.600000000006</c:v>
                </c:pt>
                <c:pt idx="439">
                  <c:v>-75224.800000000003</c:v>
                </c:pt>
                <c:pt idx="440">
                  <c:v>-75789.399999999994</c:v>
                </c:pt>
                <c:pt idx="441">
                  <c:v>-76439.3</c:v>
                </c:pt>
                <c:pt idx="442">
                  <c:v>-76983.600000000006</c:v>
                </c:pt>
                <c:pt idx="443">
                  <c:v>-77897.2</c:v>
                </c:pt>
                <c:pt idx="444">
                  <c:v>-78620.2</c:v>
                </c:pt>
                <c:pt idx="445">
                  <c:v>-79201.600000000006</c:v>
                </c:pt>
                <c:pt idx="446">
                  <c:v>-79864.800000000003</c:v>
                </c:pt>
                <c:pt idx="447">
                  <c:v>-80540.800000000003</c:v>
                </c:pt>
                <c:pt idx="448">
                  <c:v>-81274</c:v>
                </c:pt>
                <c:pt idx="449">
                  <c:v>-81846.3</c:v>
                </c:pt>
                <c:pt idx="450">
                  <c:v>-82400.899999999994</c:v>
                </c:pt>
                <c:pt idx="451">
                  <c:v>-83294.600000000006</c:v>
                </c:pt>
                <c:pt idx="452">
                  <c:v>-83945.2</c:v>
                </c:pt>
                <c:pt idx="453">
                  <c:v>-84751.8</c:v>
                </c:pt>
                <c:pt idx="454">
                  <c:v>-85575.9</c:v>
                </c:pt>
                <c:pt idx="455">
                  <c:v>-86202.9</c:v>
                </c:pt>
                <c:pt idx="456">
                  <c:v>-86981.6</c:v>
                </c:pt>
                <c:pt idx="457">
                  <c:v>-87630.1</c:v>
                </c:pt>
                <c:pt idx="458">
                  <c:v>-88350.9</c:v>
                </c:pt>
                <c:pt idx="459">
                  <c:v>-89151.1</c:v>
                </c:pt>
                <c:pt idx="460">
                  <c:v>-89952.7</c:v>
                </c:pt>
                <c:pt idx="461">
                  <c:v>-90537.1</c:v>
                </c:pt>
                <c:pt idx="462">
                  <c:v>-91271.8</c:v>
                </c:pt>
                <c:pt idx="463">
                  <c:v>-91978.3</c:v>
                </c:pt>
                <c:pt idx="464">
                  <c:v>-92970.2</c:v>
                </c:pt>
                <c:pt idx="465">
                  <c:v>-93935.9</c:v>
                </c:pt>
                <c:pt idx="466">
                  <c:v>-94833.2</c:v>
                </c:pt>
                <c:pt idx="467">
                  <c:v>-95837.7</c:v>
                </c:pt>
                <c:pt idx="468">
                  <c:v>-96717.1</c:v>
                </c:pt>
                <c:pt idx="469">
                  <c:v>-97774.5</c:v>
                </c:pt>
                <c:pt idx="470">
                  <c:v>-98399</c:v>
                </c:pt>
                <c:pt idx="471">
                  <c:v>-99560.7</c:v>
                </c:pt>
                <c:pt idx="472">
                  <c:v>-100283</c:v>
                </c:pt>
                <c:pt idx="473">
                  <c:v>-101296</c:v>
                </c:pt>
                <c:pt idx="474">
                  <c:v>-102101</c:v>
                </c:pt>
                <c:pt idx="475">
                  <c:v>-102839</c:v>
                </c:pt>
                <c:pt idx="476">
                  <c:v>-103716</c:v>
                </c:pt>
                <c:pt idx="477">
                  <c:v>-104874</c:v>
                </c:pt>
                <c:pt idx="478">
                  <c:v>-105702</c:v>
                </c:pt>
                <c:pt idx="479">
                  <c:v>-106745</c:v>
                </c:pt>
                <c:pt idx="480">
                  <c:v>-107616</c:v>
                </c:pt>
                <c:pt idx="481">
                  <c:v>-108474</c:v>
                </c:pt>
                <c:pt idx="482">
                  <c:v>-109311</c:v>
                </c:pt>
                <c:pt idx="483">
                  <c:v>-110503</c:v>
                </c:pt>
                <c:pt idx="484">
                  <c:v>-111452</c:v>
                </c:pt>
                <c:pt idx="485">
                  <c:v>-112206</c:v>
                </c:pt>
                <c:pt idx="486">
                  <c:v>-113287</c:v>
                </c:pt>
                <c:pt idx="487">
                  <c:v>-114397</c:v>
                </c:pt>
                <c:pt idx="488">
                  <c:v>-115336</c:v>
                </c:pt>
                <c:pt idx="489">
                  <c:v>-116355</c:v>
                </c:pt>
                <c:pt idx="490">
                  <c:v>-117333</c:v>
                </c:pt>
                <c:pt idx="491">
                  <c:v>-118342</c:v>
                </c:pt>
                <c:pt idx="492">
                  <c:v>-119312</c:v>
                </c:pt>
                <c:pt idx="493">
                  <c:v>-120249</c:v>
                </c:pt>
                <c:pt idx="494">
                  <c:v>-121257</c:v>
                </c:pt>
                <c:pt idx="495">
                  <c:v>-122220</c:v>
                </c:pt>
                <c:pt idx="496">
                  <c:v>-123136</c:v>
                </c:pt>
                <c:pt idx="497">
                  <c:v>-124146</c:v>
                </c:pt>
                <c:pt idx="498">
                  <c:v>-125182</c:v>
                </c:pt>
                <c:pt idx="499">
                  <c:v>-126188</c:v>
                </c:pt>
                <c:pt idx="500">
                  <c:v>-127033</c:v>
                </c:pt>
                <c:pt idx="501">
                  <c:v>-128066</c:v>
                </c:pt>
                <c:pt idx="502">
                  <c:v>-129174</c:v>
                </c:pt>
                <c:pt idx="503">
                  <c:v>-130144</c:v>
                </c:pt>
                <c:pt idx="504">
                  <c:v>-131101</c:v>
                </c:pt>
                <c:pt idx="505">
                  <c:v>-132099</c:v>
                </c:pt>
                <c:pt idx="506">
                  <c:v>-133025</c:v>
                </c:pt>
                <c:pt idx="507">
                  <c:v>-133820</c:v>
                </c:pt>
                <c:pt idx="508">
                  <c:v>-134342</c:v>
                </c:pt>
                <c:pt idx="509">
                  <c:v>-135444</c:v>
                </c:pt>
                <c:pt idx="510">
                  <c:v>-136231</c:v>
                </c:pt>
                <c:pt idx="511">
                  <c:v>-137211</c:v>
                </c:pt>
                <c:pt idx="512">
                  <c:v>-138283</c:v>
                </c:pt>
                <c:pt idx="513">
                  <c:v>-139673</c:v>
                </c:pt>
                <c:pt idx="514">
                  <c:v>-140936</c:v>
                </c:pt>
                <c:pt idx="515">
                  <c:v>-142361</c:v>
                </c:pt>
                <c:pt idx="516">
                  <c:v>-143650</c:v>
                </c:pt>
                <c:pt idx="517">
                  <c:v>-145304</c:v>
                </c:pt>
                <c:pt idx="518">
                  <c:v>-146833</c:v>
                </c:pt>
                <c:pt idx="519">
                  <c:v>-147942</c:v>
                </c:pt>
                <c:pt idx="520">
                  <c:v>-149195</c:v>
                </c:pt>
                <c:pt idx="521">
                  <c:v>-150718</c:v>
                </c:pt>
                <c:pt idx="522">
                  <c:v>-151940</c:v>
                </c:pt>
                <c:pt idx="523">
                  <c:v>-153121</c:v>
                </c:pt>
                <c:pt idx="524">
                  <c:v>-154158</c:v>
                </c:pt>
                <c:pt idx="525">
                  <c:v>-155215</c:v>
                </c:pt>
                <c:pt idx="526">
                  <c:v>-156209</c:v>
                </c:pt>
                <c:pt idx="527">
                  <c:v>-157270</c:v>
                </c:pt>
                <c:pt idx="528">
                  <c:v>-158565</c:v>
                </c:pt>
                <c:pt idx="529">
                  <c:v>-159573</c:v>
                </c:pt>
                <c:pt idx="530">
                  <c:v>-160718</c:v>
                </c:pt>
                <c:pt idx="531">
                  <c:v>-162019</c:v>
                </c:pt>
                <c:pt idx="532">
                  <c:v>-163699</c:v>
                </c:pt>
                <c:pt idx="533">
                  <c:v>-165021</c:v>
                </c:pt>
                <c:pt idx="534">
                  <c:v>-166258</c:v>
                </c:pt>
                <c:pt idx="535">
                  <c:v>-168299</c:v>
                </c:pt>
                <c:pt idx="536">
                  <c:v>-170008</c:v>
                </c:pt>
                <c:pt idx="537">
                  <c:v>-171783</c:v>
                </c:pt>
                <c:pt idx="538">
                  <c:v>-173304</c:v>
                </c:pt>
                <c:pt idx="539">
                  <c:v>-174917</c:v>
                </c:pt>
                <c:pt idx="540">
                  <c:v>-176743</c:v>
                </c:pt>
                <c:pt idx="541">
                  <c:v>-178491</c:v>
                </c:pt>
                <c:pt idx="542">
                  <c:v>-180118</c:v>
                </c:pt>
                <c:pt idx="543">
                  <c:v>-181795</c:v>
                </c:pt>
                <c:pt idx="544">
                  <c:v>-183394</c:v>
                </c:pt>
                <c:pt idx="545">
                  <c:v>-185267</c:v>
                </c:pt>
                <c:pt idx="546">
                  <c:v>-187027</c:v>
                </c:pt>
                <c:pt idx="547">
                  <c:v>-188807</c:v>
                </c:pt>
                <c:pt idx="548">
                  <c:v>-190604</c:v>
                </c:pt>
                <c:pt idx="549">
                  <c:v>-191955</c:v>
                </c:pt>
                <c:pt idx="550">
                  <c:v>-193507</c:v>
                </c:pt>
                <c:pt idx="551">
                  <c:v>-194971</c:v>
                </c:pt>
                <c:pt idx="552">
                  <c:v>-196188</c:v>
                </c:pt>
                <c:pt idx="553">
                  <c:v>-197644</c:v>
                </c:pt>
                <c:pt idx="554">
                  <c:v>-198993</c:v>
                </c:pt>
                <c:pt idx="555">
                  <c:v>-200831</c:v>
                </c:pt>
                <c:pt idx="556">
                  <c:v>-202551</c:v>
                </c:pt>
                <c:pt idx="557">
                  <c:v>-204024</c:v>
                </c:pt>
                <c:pt idx="558">
                  <c:v>-205936</c:v>
                </c:pt>
                <c:pt idx="559">
                  <c:v>-207652</c:v>
                </c:pt>
                <c:pt idx="560">
                  <c:v>-209312</c:v>
                </c:pt>
                <c:pt idx="561">
                  <c:v>-211079</c:v>
                </c:pt>
                <c:pt idx="562">
                  <c:v>-212517</c:v>
                </c:pt>
                <c:pt idx="563">
                  <c:v>-214592</c:v>
                </c:pt>
                <c:pt idx="564">
                  <c:v>-216599</c:v>
                </c:pt>
                <c:pt idx="565">
                  <c:v>-218501</c:v>
                </c:pt>
                <c:pt idx="566">
                  <c:v>-220388</c:v>
                </c:pt>
                <c:pt idx="567">
                  <c:v>-222344</c:v>
                </c:pt>
                <c:pt idx="568">
                  <c:v>-224372</c:v>
                </c:pt>
                <c:pt idx="569">
                  <c:v>-226442</c:v>
                </c:pt>
                <c:pt idx="570">
                  <c:v>-228272</c:v>
                </c:pt>
                <c:pt idx="571">
                  <c:v>-230106</c:v>
                </c:pt>
                <c:pt idx="572">
                  <c:v>-232150</c:v>
                </c:pt>
                <c:pt idx="573">
                  <c:v>-234022</c:v>
                </c:pt>
                <c:pt idx="574">
                  <c:v>-235302</c:v>
                </c:pt>
                <c:pt idx="575">
                  <c:v>-236822</c:v>
                </c:pt>
                <c:pt idx="576">
                  <c:v>-238539</c:v>
                </c:pt>
                <c:pt idx="577">
                  <c:v>-240540</c:v>
                </c:pt>
                <c:pt idx="578">
                  <c:v>-242381</c:v>
                </c:pt>
                <c:pt idx="579">
                  <c:v>-244447</c:v>
                </c:pt>
                <c:pt idx="580">
                  <c:v>-246551</c:v>
                </c:pt>
                <c:pt idx="581">
                  <c:v>-249464</c:v>
                </c:pt>
                <c:pt idx="582">
                  <c:v>-251657</c:v>
                </c:pt>
                <c:pt idx="583">
                  <c:v>-254211</c:v>
                </c:pt>
                <c:pt idx="584">
                  <c:v>-256723</c:v>
                </c:pt>
                <c:pt idx="585">
                  <c:v>-258705</c:v>
                </c:pt>
                <c:pt idx="586">
                  <c:v>-260979</c:v>
                </c:pt>
                <c:pt idx="587">
                  <c:v>-262846</c:v>
                </c:pt>
                <c:pt idx="588">
                  <c:v>-264834</c:v>
                </c:pt>
                <c:pt idx="589">
                  <c:v>-267120</c:v>
                </c:pt>
                <c:pt idx="590">
                  <c:v>-268715</c:v>
                </c:pt>
                <c:pt idx="591">
                  <c:v>-270890</c:v>
                </c:pt>
                <c:pt idx="592">
                  <c:v>-272641</c:v>
                </c:pt>
                <c:pt idx="593">
                  <c:v>-275107</c:v>
                </c:pt>
                <c:pt idx="594">
                  <c:v>-277429</c:v>
                </c:pt>
                <c:pt idx="595">
                  <c:v>-280021</c:v>
                </c:pt>
                <c:pt idx="596">
                  <c:v>-282132</c:v>
                </c:pt>
                <c:pt idx="597">
                  <c:v>-284515</c:v>
                </c:pt>
                <c:pt idx="598">
                  <c:v>-286830</c:v>
                </c:pt>
                <c:pt idx="599">
                  <c:v>-289150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4-4EA0-BE95-EC06185BE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91775"/>
        <c:axId val="186685535"/>
      </c:lineChart>
      <c:catAx>
        <c:axId val="18669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85535"/>
        <c:crosses val="autoZero"/>
        <c:auto val="1"/>
        <c:lblAlgn val="ctr"/>
        <c:lblOffset val="100"/>
        <c:noMultiLvlLbl val="0"/>
      </c:catAx>
      <c:valAx>
        <c:axId val="1866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91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Sheet1!$C$6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Sheet1!$A$7:$A$106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cat>
          <c:val>
            <c:numRef>
              <c:f>Sheet1!$C$7:$C$106</c:f>
              <c:numCache>
                <c:formatCode>General</c:formatCode>
                <c:ptCount val="100"/>
                <c:pt idx="0">
                  <c:v>3.0331576693277532E-3</c:v>
                </c:pt>
                <c:pt idx="1">
                  <c:v>3.0753802741664759E-3</c:v>
                </c:pt>
                <c:pt idx="2">
                  <c:v>3.1181887939805168E-3</c:v>
                </c:pt>
                <c:pt idx="3">
                  <c:v>3.1615913078691786E-3</c:v>
                </c:pt>
                <c:pt idx="4">
                  <c:v>3.2055960048889853E-3</c:v>
                </c:pt>
                <c:pt idx="5">
                  <c:v>3.250211185509647E-3</c:v>
                </c:pt>
                <c:pt idx="6">
                  <c:v>3.2954452630881829E-3</c:v>
                </c:pt>
                <c:pt idx="7">
                  <c:v>3.3413067653613694E-3</c:v>
                </c:pt>
                <c:pt idx="8">
                  <c:v>3.3878043359566908E-3</c:v>
                </c:pt>
                <c:pt idx="9">
                  <c:v>3.4349467359220281E-3</c:v>
                </c:pt>
                <c:pt idx="10">
                  <c:v>3.4827428452742573E-3</c:v>
                </c:pt>
                <c:pt idx="11">
                  <c:v>3.5312016645669365E-3</c:v>
                </c:pt>
                <c:pt idx="12">
                  <c:v>3.5803323164773373E-3</c:v>
                </c:pt>
                <c:pt idx="13">
                  <c:v>3.6301440474129382E-3</c:v>
                </c:pt>
                <c:pt idx="14">
                  <c:v>3.6806462291376651E-3</c:v>
                </c:pt>
                <c:pt idx="15">
                  <c:v>3.7318483604180225E-3</c:v>
                </c:pt>
                <c:pt idx="16">
                  <c:v>3.7837600686893135E-3</c:v>
                </c:pt>
                <c:pt idx="17">
                  <c:v>3.8363911117422177E-3</c:v>
                </c:pt>
                <c:pt idx="18">
                  <c:v>3.8897513794298273E-3</c:v>
                </c:pt>
                <c:pt idx="19">
                  <c:v>3.9438508953954406E-3</c:v>
                </c:pt>
                <c:pt idx="20">
                  <c:v>3.9986998188212709E-3</c:v>
                </c:pt>
                <c:pt idx="21">
                  <c:v>4.0543084461982532E-3</c:v>
                </c:pt>
                <c:pt idx="22">
                  <c:v>4.1106872131172175E-3</c:v>
                </c:pt>
                <c:pt idx="23">
                  <c:v>4.1678466960815902E-3</c:v>
                </c:pt>
                <c:pt idx="24">
                  <c:v>4.2257976143418099E-3</c:v>
                </c:pt>
                <c:pt idx="25">
                  <c:v>4.284550831751748E-3</c:v>
                </c:pt>
                <c:pt idx="26">
                  <c:v>4.3441173586472193E-3</c:v>
                </c:pt>
                <c:pt idx="27">
                  <c:v>4.4045083537469091E-3</c:v>
                </c:pt>
                <c:pt idx="28">
                  <c:v>4.4657351260758609E-3</c:v>
                </c:pt>
                <c:pt idx="29">
                  <c:v>4.5278091369117032E-3</c:v>
                </c:pt>
                <c:pt idx="30">
                  <c:v>4.5907420017539235E-3</c:v>
                </c:pt>
                <c:pt idx="31">
                  <c:v>4.6545454923162715E-3</c:v>
                </c:pt>
                <c:pt idx="32">
                  <c:v>4.719231538542608E-3</c:v>
                </c:pt>
                <c:pt idx="33">
                  <c:v>4.7848122306463478E-3</c:v>
                </c:pt>
                <c:pt idx="34">
                  <c:v>4.8512998211736906E-3</c:v>
                </c:pt>
                <c:pt idx="35">
                  <c:v>4.9187067270908989E-3</c:v>
                </c:pt>
                <c:pt idx="36">
                  <c:v>4.9870455318958068E-3</c:v>
                </c:pt>
                <c:pt idx="37">
                  <c:v>5.0563289877537084E-3</c:v>
                </c:pt>
                <c:pt idx="38">
                  <c:v>5.1265700176579519E-3</c:v>
                </c:pt>
                <c:pt idx="39">
                  <c:v>5.1977817176152965E-3</c:v>
                </c:pt>
                <c:pt idx="40">
                  <c:v>5.269977358856366E-3</c:v>
                </c:pt>
                <c:pt idx="41">
                  <c:v>5.3431703900713315E-3</c:v>
                </c:pt>
                <c:pt idx="42">
                  <c:v>5.4173744396710018E-3</c:v>
                </c:pt>
                <c:pt idx="43">
                  <c:v>5.4926033180736173E-3</c:v>
                </c:pt>
                <c:pt idx="44">
                  <c:v>5.5688710200174161E-3</c:v>
                </c:pt>
                <c:pt idx="45">
                  <c:v>5.6461917268992926E-3</c:v>
                </c:pt>
                <c:pt idx="46">
                  <c:v>5.724579809139675E-3</c:v>
                </c:pt>
                <c:pt idx="47">
                  <c:v>5.8040498285737967E-3</c:v>
                </c:pt>
                <c:pt idx="48">
                  <c:v>5.8846165408696213E-3</c:v>
                </c:pt>
                <c:pt idx="49">
                  <c:v>5.9662948979725813E-3</c:v>
                </c:pt>
                <c:pt idx="50">
                  <c:v>6.0491000505772611E-3</c:v>
                </c:pt>
                <c:pt idx="51">
                  <c:v>6.1330473506263257E-3</c:v>
                </c:pt>
                <c:pt idx="52">
                  <c:v>6.2181523538367544E-3</c:v>
                </c:pt>
                <c:pt idx="53">
                  <c:v>6.3044308222536547E-3</c:v>
                </c:pt>
                <c:pt idx="54">
                  <c:v>6.3918987268317988E-3</c:v>
                </c:pt>
                <c:pt idx="55">
                  <c:v>6.4805722500450155E-3</c:v>
                </c:pt>
                <c:pt idx="56">
                  <c:v>6.5704677885237142E-3</c:v>
                </c:pt>
                <c:pt idx="57">
                  <c:v>6.6616019557205735E-3</c:v>
                </c:pt>
                <c:pt idx="58">
                  <c:v>6.7539915846046806E-3</c:v>
                </c:pt>
                <c:pt idx="59">
                  <c:v>6.8476537303842353E-3</c:v>
                </c:pt>
                <c:pt idx="60">
                  <c:v>6.9426056732579235E-3</c:v>
                </c:pt>
                <c:pt idx="61">
                  <c:v>7.0388649211952084E-3</c:v>
                </c:pt>
                <c:pt idx="62">
                  <c:v>7.1364492127456523E-3</c:v>
                </c:pt>
                <c:pt idx="63">
                  <c:v>7.2353765198773425E-3</c:v>
                </c:pt>
                <c:pt idx="64">
                  <c:v>7.3356650508447085E-3</c:v>
                </c:pt>
                <c:pt idx="65">
                  <c:v>7.4373332530857034E-3</c:v>
                </c:pt>
                <c:pt idx="66">
                  <c:v>7.5403998161485972E-3</c:v>
                </c:pt>
                <c:pt idx="67">
                  <c:v>7.6448836746484889E-3</c:v>
                </c:pt>
                <c:pt idx="68">
                  <c:v>7.7508040112535485E-3</c:v>
                </c:pt>
                <c:pt idx="69">
                  <c:v>7.8581802597013049E-3</c:v>
                </c:pt>
                <c:pt idx="70">
                  <c:v>7.9670321078448535E-3</c:v>
                </c:pt>
                <c:pt idx="71">
                  <c:v>8.0773795007292662E-3</c:v>
                </c:pt>
                <c:pt idx="72">
                  <c:v>8.1892426436982434E-3</c:v>
                </c:pt>
                <c:pt idx="73">
                  <c:v>8.3026420055310052E-3</c:v>
                </c:pt>
                <c:pt idx="74">
                  <c:v>8.4175983216096418E-3</c:v>
                </c:pt>
                <c:pt idx="75">
                  <c:v>8.5341325971169391E-3</c:v>
                </c:pt>
                <c:pt idx="76">
                  <c:v>8.6522661102646607E-3</c:v>
                </c:pt>
                <c:pt idx="77">
                  <c:v>8.7720204155524745E-3</c:v>
                </c:pt>
                <c:pt idx="78">
                  <c:v>8.8934173470575327E-3</c:v>
                </c:pt>
                <c:pt idx="79">
                  <c:v>9.0164790217546267E-3</c:v>
                </c:pt>
                <c:pt idx="80">
                  <c:v>9.1412278428671633E-3</c:v>
                </c:pt>
                <c:pt idx="81">
                  <c:v>9.2676865032487316E-3</c:v>
                </c:pt>
                <c:pt idx="82">
                  <c:v>9.3958779887955354E-3</c:v>
                </c:pt>
                <c:pt idx="83">
                  <c:v>9.5258255818894133E-3</c:v>
                </c:pt>
                <c:pt idx="84">
                  <c:v>9.6575528648716619E-3</c:v>
                </c:pt>
                <c:pt idx="85">
                  <c:v>9.7910837235475594E-3</c:v>
                </c:pt>
                <c:pt idx="86">
                  <c:v>9.9264423507214525E-3</c:v>
                </c:pt>
                <c:pt idx="87">
                  <c:v>1.0063653249762548E-2</c:v>
                </c:pt>
                <c:pt idx="88">
                  <c:v>1.0202741238201238E-2</c:v>
                </c:pt>
                <c:pt idx="89">
                  <c:v>1.034373145135584E-2</c:v>
                </c:pt>
                <c:pt idx="90">
                  <c:v>1.0486649345989793E-2</c:v>
                </c:pt>
                <c:pt idx="91">
                  <c:v>1.0631520703999179E-2</c:v>
                </c:pt>
                <c:pt idx="92">
                  <c:v>1.0778371636130287E-2</c:v>
                </c:pt>
                <c:pt idx="93">
                  <c:v>1.0927228585727427E-2</c:v>
                </c:pt>
                <c:pt idx="94">
                  <c:v>1.1078118332510455E-2</c:v>
                </c:pt>
                <c:pt idx="95">
                  <c:v>1.1231067996382226E-2</c:v>
                </c:pt>
                <c:pt idx="96">
                  <c:v>1.1386105041265485E-2</c:v>
                </c:pt>
                <c:pt idx="97">
                  <c:v>1.1543257278969224E-2</c:v>
                </c:pt>
                <c:pt idx="98">
                  <c:v>1.1702552873084219E-2</c:v>
                </c:pt>
                <c:pt idx="99">
                  <c:v>1.1864020342907443E-2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DD-46CB-93EA-754F40098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06992"/>
        <c:axId val="20104592"/>
      </c:lineChart>
      <c:catAx>
        <c:axId val="2010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4592"/>
        <c:crosses val="autoZero"/>
        <c:auto val="1"/>
        <c:lblAlgn val="ctr"/>
        <c:lblOffset val="100"/>
        <c:noMultiLvlLbl val="0"/>
      </c:catAx>
      <c:valAx>
        <c:axId val="2010459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cross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6992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0</xdr:row>
      <xdr:rowOff>114300</xdr:rowOff>
    </xdr:from>
    <xdr:to>
      <xdr:col>23</xdr:col>
      <xdr:colOff>295275</xdr:colOff>
      <xdr:row>34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123E9-88ED-D997-28DA-81537DF30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0</xdr:row>
      <xdr:rowOff>80962</xdr:rowOff>
    </xdr:from>
    <xdr:to>
      <xdr:col>21</xdr:col>
      <xdr:colOff>600074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0A4531-EBE7-B9FA-53A9-D3ED5C74E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1371600</xdr:colOff>
      <xdr:row>0</xdr:row>
      <xdr:rowOff>47624</xdr:rowOff>
    </xdr:from>
    <xdr:to>
      <xdr:col>19</xdr:col>
      <xdr:colOff>533400</xdr:colOff>
      <xdr:row>33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68E5A2-5991-3A3B-D25F-4B3E33C54B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542925</xdr:colOff>
      <xdr:row>0</xdr:row>
      <xdr:rowOff>80962</xdr:rowOff>
    </xdr:from>
    <xdr:to>
      <xdr:col>21</xdr:col>
      <xdr:colOff>466725</xdr:colOff>
      <xdr:row>30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1ED1B-BD2C-9F8E-AB82-7673CA3143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571500</xdr:colOff>
      <xdr:row>1</xdr:row>
      <xdr:rowOff>161925</xdr:rowOff>
    </xdr:from>
    <xdr:to>
      <xdr:col>20</xdr:col>
      <xdr:colOff>104775</xdr:colOff>
      <xdr:row>31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CBF4A6-6CAA-DA69-A8EB-2554DB166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097.811702083331" createdVersion="8" refreshedVersion="8" minRefreshableVersion="3" recordCount="600" xr:uid="{48198278-F57A-482A-8102-4FBBF62A2959}">
  <cacheSource type="worksheet">
    <worksheetSource name="worker_data"/>
  </cacheSource>
  <cacheFields count="10">
    <cacheField name="step_no" numFmtId="0">
      <sharedItems containsSemiMixedTypes="0" containsString="0" containsNumber="1" containsInteger="1" minValue="1" maxValue="2200" count="22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 u="1"/>
        <n v="602" u="1"/>
        <n v="603" u="1"/>
        <n v="604" u="1"/>
        <n v="605" u="1"/>
        <n v="606" u="1"/>
        <n v="607" u="1"/>
        <n v="608" u="1"/>
        <n v="609" u="1"/>
        <n v="610" u="1"/>
        <n v="611" u="1"/>
        <n v="612" u="1"/>
        <n v="613" u="1"/>
        <n v="614" u="1"/>
        <n v="615" u="1"/>
        <n v="616" u="1"/>
        <n v="617" u="1"/>
        <n v="618" u="1"/>
        <n v="619" u="1"/>
        <n v="620" u="1"/>
        <n v="621" u="1"/>
        <n v="622" u="1"/>
        <n v="623" u="1"/>
        <n v="624" u="1"/>
        <n v="625" u="1"/>
        <n v="626" u="1"/>
        <n v="627" u="1"/>
        <n v="628" u="1"/>
        <n v="629" u="1"/>
        <n v="630" u="1"/>
        <n v="631" u="1"/>
        <n v="632" u="1"/>
        <n v="633" u="1"/>
        <n v="634" u="1"/>
        <n v="635" u="1"/>
        <n v="636" u="1"/>
        <n v="637" u="1"/>
        <n v="638" u="1"/>
        <n v="639" u="1"/>
        <n v="640" u="1"/>
        <n v="641" u="1"/>
        <n v="642" u="1"/>
        <n v="643" u="1"/>
        <n v="644" u="1"/>
        <n v="645" u="1"/>
        <n v="646" u="1"/>
        <n v="647" u="1"/>
        <n v="648" u="1"/>
        <n v="649" u="1"/>
        <n v="650" u="1"/>
        <n v="651" u="1"/>
        <n v="652" u="1"/>
        <n v="653" u="1"/>
        <n v="654" u="1"/>
        <n v="655" u="1"/>
        <n v="656" u="1"/>
        <n v="657" u="1"/>
        <n v="658" u="1"/>
        <n v="659" u="1"/>
        <n v="660" u="1"/>
        <n v="661" u="1"/>
        <n v="662" u="1"/>
        <n v="663" u="1"/>
        <n v="664" u="1"/>
        <n v="665" u="1"/>
        <n v="666" u="1"/>
        <n v="667" u="1"/>
        <n v="668" u="1"/>
        <n v="669" u="1"/>
        <n v="670" u="1"/>
        <n v="671" u="1"/>
        <n v="672" u="1"/>
        <n v="673" u="1"/>
        <n v="674" u="1"/>
        <n v="675" u="1"/>
        <n v="676" u="1"/>
        <n v="677" u="1"/>
        <n v="678" u="1"/>
        <n v="679" u="1"/>
        <n v="680" u="1"/>
        <n v="681" u="1"/>
        <n v="682" u="1"/>
        <n v="683" u="1"/>
        <n v="684" u="1"/>
        <n v="685" u="1"/>
        <n v="686" u="1"/>
        <n v="687" u="1"/>
        <n v="688" u="1"/>
        <n v="689" u="1"/>
        <n v="690" u="1"/>
        <n v="691" u="1"/>
        <n v="692" u="1"/>
        <n v="693" u="1"/>
        <n v="694" u="1"/>
        <n v="695" u="1"/>
        <n v="696" u="1"/>
        <n v="697" u="1"/>
        <n v="698" u="1"/>
        <n v="699" u="1"/>
        <n v="700" u="1"/>
        <n v="701" u="1"/>
        <n v="702" u="1"/>
        <n v="703" u="1"/>
        <n v="704" u="1"/>
        <n v="705" u="1"/>
        <n v="706" u="1"/>
        <n v="707" u="1"/>
        <n v="708" u="1"/>
        <n v="709" u="1"/>
        <n v="710" u="1"/>
        <n v="711" u="1"/>
        <n v="712" u="1"/>
        <n v="713" u="1"/>
        <n v="714" u="1"/>
        <n v="715" u="1"/>
        <n v="716" u="1"/>
        <n v="717" u="1"/>
        <n v="718" u="1"/>
        <n v="719" u="1"/>
        <n v="720" u="1"/>
        <n v="721" u="1"/>
        <n v="722" u="1"/>
        <n v="723" u="1"/>
        <n v="724" u="1"/>
        <n v="725" u="1"/>
        <n v="726" u="1"/>
        <n v="727" u="1"/>
        <n v="728" u="1"/>
        <n v="729" u="1"/>
        <n v="730" u="1"/>
        <n v="731" u="1"/>
        <n v="732" u="1"/>
        <n v="733" u="1"/>
        <n v="734" u="1"/>
        <n v="735" u="1"/>
        <n v="736" u="1"/>
        <n v="737" u="1"/>
        <n v="738" u="1"/>
        <n v="739" u="1"/>
        <n v="740" u="1"/>
        <n v="741" u="1"/>
        <n v="742" u="1"/>
        <n v="743" u="1"/>
        <n v="744" u="1"/>
        <n v="745" u="1"/>
        <n v="746" u="1"/>
        <n v="747" u="1"/>
        <n v="748" u="1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  <n v="773" u="1"/>
        <n v="774" u="1"/>
        <n v="775" u="1"/>
        <n v="776" u="1"/>
        <n v="777" u="1"/>
        <n v="778" u="1"/>
        <n v="779" u="1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  <n v="793" u="1"/>
        <n v="794" u="1"/>
        <n v="795" u="1"/>
        <n v="796" u="1"/>
        <n v="797" u="1"/>
        <n v="798" u="1"/>
        <n v="799" u="1"/>
        <n v="800" u="1"/>
        <n v="801" u="1"/>
        <n v="802" u="1"/>
        <n v="803" u="1"/>
        <n v="804" u="1"/>
        <n v="805" u="1"/>
        <n v="806" u="1"/>
        <n v="807" u="1"/>
        <n v="808" u="1"/>
        <n v="809" u="1"/>
        <n v="810" u="1"/>
        <n v="811" u="1"/>
        <n v="812" u="1"/>
        <n v="813" u="1"/>
        <n v="814" u="1"/>
        <n v="815" u="1"/>
        <n v="816" u="1"/>
        <n v="817" u="1"/>
        <n v="818" u="1"/>
        <n v="819" u="1"/>
        <n v="820" u="1"/>
        <n v="821" u="1"/>
        <n v="822" u="1"/>
        <n v="823" u="1"/>
        <n v="824" u="1"/>
        <n v="825" u="1"/>
        <n v="826" u="1"/>
        <n v="827" u="1"/>
        <n v="828" u="1"/>
        <n v="829" u="1"/>
        <n v="830" u="1"/>
        <n v="831" u="1"/>
        <n v="832" u="1"/>
        <n v="833" u="1"/>
        <n v="834" u="1"/>
        <n v="835" u="1"/>
        <n v="836" u="1"/>
        <n v="837" u="1"/>
        <n v="838" u="1"/>
        <n v="839" u="1"/>
        <n v="840" u="1"/>
        <n v="841" u="1"/>
        <n v="842" u="1"/>
        <n v="843" u="1"/>
        <n v="844" u="1"/>
        <n v="845" u="1"/>
        <n v="846" u="1"/>
        <n v="847" u="1"/>
        <n v="848" u="1"/>
        <n v="849" u="1"/>
        <n v="850" u="1"/>
        <n v="851" u="1"/>
        <n v="852" u="1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  <n v="875" u="1"/>
        <n v="876" u="1"/>
        <n v="877" u="1"/>
        <n v="878" u="1"/>
        <n v="879" u="1"/>
        <n v="880" u="1"/>
        <n v="881" u="1"/>
        <n v="882" u="1"/>
        <n v="883" u="1"/>
        <n v="884" u="1"/>
        <n v="885" u="1"/>
        <n v="886" u="1"/>
        <n v="887" u="1"/>
        <n v="888" u="1"/>
        <n v="889" u="1"/>
        <n v="890" u="1"/>
        <n v="891" u="1"/>
        <n v="892" u="1"/>
        <n v="893" u="1"/>
        <n v="894" u="1"/>
        <n v="895" u="1"/>
        <n v="896" u="1"/>
        <n v="897" u="1"/>
        <n v="898" u="1"/>
        <n v="899" u="1"/>
        <n v="900" u="1"/>
        <n v="901" u="1"/>
        <n v="902" u="1"/>
        <n v="903" u="1"/>
        <n v="904" u="1"/>
        <n v="905" u="1"/>
        <n v="906" u="1"/>
        <n v="907" u="1"/>
        <n v="908" u="1"/>
        <n v="909" u="1"/>
        <n v="910" u="1"/>
        <n v="911" u="1"/>
        <n v="912" u="1"/>
        <n v="913" u="1"/>
        <n v="914" u="1"/>
        <n v="915" u="1"/>
        <n v="916" u="1"/>
        <n v="917" u="1"/>
        <n v="918" u="1"/>
        <n v="919" u="1"/>
        <n v="920" u="1"/>
        <n v="921" u="1"/>
        <n v="922" u="1"/>
        <n v="923" u="1"/>
        <n v="924" u="1"/>
        <n v="925" u="1"/>
        <n v="926" u="1"/>
        <n v="927" u="1"/>
        <n v="928" u="1"/>
        <n v="929" u="1"/>
        <n v="930" u="1"/>
        <n v="931" u="1"/>
        <n v="932" u="1"/>
        <n v="933" u="1"/>
        <n v="934" u="1"/>
        <n v="935" u="1"/>
        <n v="936" u="1"/>
        <n v="937" u="1"/>
        <n v="938" u="1"/>
        <n v="939" u="1"/>
        <n v="940" u="1"/>
        <n v="941" u="1"/>
        <n v="942" u="1"/>
        <n v="943" u="1"/>
        <n v="944" u="1"/>
        <n v="945" u="1"/>
        <n v="946" u="1"/>
        <n v="947" u="1"/>
        <n v="948" u="1"/>
        <n v="949" u="1"/>
        <n v="950" u="1"/>
        <n v="951" u="1"/>
        <n v="952" u="1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  <n v="968" u="1"/>
        <n v="969" u="1"/>
        <n v="970" u="1"/>
        <n v="971" u="1"/>
        <n v="972" u="1"/>
        <n v="973" u="1"/>
        <n v="974" u="1"/>
        <n v="975" u="1"/>
        <n v="976" u="1"/>
        <n v="977" u="1"/>
        <n v="978" u="1"/>
        <n v="979" u="1"/>
        <n v="980" u="1"/>
        <n v="981" u="1"/>
        <n v="982" u="1"/>
        <n v="983" u="1"/>
        <n v="984" u="1"/>
        <n v="985" u="1"/>
        <n v="986" u="1"/>
        <n v="987" u="1"/>
        <n v="988" u="1"/>
        <n v="989" u="1"/>
        <n v="990" u="1"/>
        <n v="991" u="1"/>
        <n v="992" u="1"/>
        <n v="993" u="1"/>
        <n v="994" u="1"/>
        <n v="995" u="1"/>
        <n v="996" u="1"/>
        <n v="997" u="1"/>
        <n v="998" u="1"/>
        <n v="999" u="1"/>
        <n v="1000" u="1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</sharedItems>
    </cacheField>
    <cacheField name="step_id" numFmtId="0">
      <sharedItems containsSemiMixedTypes="0" containsString="0" containsNumber="1" containsInteger="1" minValue="2658098" maxValue="999756168"/>
    </cacheField>
    <cacheField name="worker_id" numFmtId="0">
      <sharedItems/>
    </cacheField>
    <cacheField name="wealth" numFmtId="0">
      <sharedItems containsSemiMixedTypes="0" containsString="0" containsNumber="1" minValue="0" maxValue="8.4134399999999996"/>
    </cacheField>
    <cacheField name="Column1" numFmtId="0">
      <sharedItems containsSemiMixedTypes="0" containsString="0" containsNumber="1" minValue="-0.90054900000000004" maxValue="1"/>
    </cacheField>
    <cacheField name="human_wealth" numFmtId="0">
      <sharedItems containsSemiMixedTypes="0" containsString="0" containsNumber="1" minValue="8.5174300000000002E-11" maxValue="0.479877"/>
    </cacheField>
    <cacheField name="spent_amount" numFmtId="0">
      <sharedItems containsSemiMixedTypes="0" containsString="0" containsNumber="1" minValue="0" maxValue="0.90054900000000004"/>
    </cacheField>
    <cacheField name="employed" numFmtId="0">
      <sharedItems containsSemiMixedTypes="0" containsString="0" containsNumber="1" containsInteger="1" minValue="0" maxValue="1"/>
    </cacheField>
    <cacheField name="employer_id" numFmtId="0">
      <sharedItems/>
    </cacheField>
    <cacheField name="budget" numFmtId="0">
      <sharedItems containsSemiMixedTypes="0" containsString="0" containsNumber="1" minValue="0" maxValue="0.90054900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097.811702662038" createdVersion="8" refreshedVersion="8" minRefreshableVersion="3" recordCount="600" xr:uid="{311560E8-D151-4338-9C20-2E72587D1EC5}">
  <cacheSource type="worksheet">
    <worksheetSource name="firm_data"/>
  </cacheSource>
  <cacheFields count="28">
    <cacheField name="step_no" numFmtId="0">
      <sharedItems containsSemiMixedTypes="0" containsString="0" containsNumber="1" containsInteger="1" minValue="1" maxValue="3000" count="3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 u="1"/>
        <n v="602" u="1"/>
        <n v="603" u="1"/>
        <n v="604" u="1"/>
        <n v="605" u="1"/>
        <n v="606" u="1"/>
        <n v="607" u="1"/>
        <n v="608" u="1"/>
        <n v="609" u="1"/>
        <n v="610" u="1"/>
        <n v="611" u="1"/>
        <n v="612" u="1"/>
        <n v="613" u="1"/>
        <n v="614" u="1"/>
        <n v="615" u="1"/>
        <n v="616" u="1"/>
        <n v="617" u="1"/>
        <n v="618" u="1"/>
        <n v="619" u="1"/>
        <n v="620" u="1"/>
        <n v="621" u="1"/>
        <n v="622" u="1"/>
        <n v="623" u="1"/>
        <n v="624" u="1"/>
        <n v="625" u="1"/>
        <n v="626" u="1"/>
        <n v="627" u="1"/>
        <n v="628" u="1"/>
        <n v="629" u="1"/>
        <n v="630" u="1"/>
        <n v="631" u="1"/>
        <n v="632" u="1"/>
        <n v="633" u="1"/>
        <n v="634" u="1"/>
        <n v="635" u="1"/>
        <n v="636" u="1"/>
        <n v="637" u="1"/>
        <n v="638" u="1"/>
        <n v="639" u="1"/>
        <n v="640" u="1"/>
        <n v="641" u="1"/>
        <n v="642" u="1"/>
        <n v="643" u="1"/>
        <n v="644" u="1"/>
        <n v="645" u="1"/>
        <n v="646" u="1"/>
        <n v="647" u="1"/>
        <n v="648" u="1"/>
        <n v="649" u="1"/>
        <n v="650" u="1"/>
        <n v="651" u="1"/>
        <n v="652" u="1"/>
        <n v="653" u="1"/>
        <n v="654" u="1"/>
        <n v="655" u="1"/>
        <n v="656" u="1"/>
        <n v="657" u="1"/>
        <n v="658" u="1"/>
        <n v="659" u="1"/>
        <n v="660" u="1"/>
        <n v="661" u="1"/>
        <n v="662" u="1"/>
        <n v="663" u="1"/>
        <n v="664" u="1"/>
        <n v="665" u="1"/>
        <n v="666" u="1"/>
        <n v="667" u="1"/>
        <n v="668" u="1"/>
        <n v="669" u="1"/>
        <n v="670" u="1"/>
        <n v="671" u="1"/>
        <n v="672" u="1"/>
        <n v="673" u="1"/>
        <n v="674" u="1"/>
        <n v="675" u="1"/>
        <n v="676" u="1"/>
        <n v="677" u="1"/>
        <n v="678" u="1"/>
        <n v="679" u="1"/>
        <n v="680" u="1"/>
        <n v="681" u="1"/>
        <n v="682" u="1"/>
        <n v="683" u="1"/>
        <n v="684" u="1"/>
        <n v="685" u="1"/>
        <n v="686" u="1"/>
        <n v="687" u="1"/>
        <n v="688" u="1"/>
        <n v="689" u="1"/>
        <n v="690" u="1"/>
        <n v="691" u="1"/>
        <n v="692" u="1"/>
        <n v="693" u="1"/>
        <n v="694" u="1"/>
        <n v="695" u="1"/>
        <n v="696" u="1"/>
        <n v="697" u="1"/>
        <n v="698" u="1"/>
        <n v="699" u="1"/>
        <n v="700" u="1"/>
        <n v="701" u="1"/>
        <n v="702" u="1"/>
        <n v="703" u="1"/>
        <n v="704" u="1"/>
        <n v="705" u="1"/>
        <n v="706" u="1"/>
        <n v="707" u="1"/>
        <n v="708" u="1"/>
        <n v="709" u="1"/>
        <n v="710" u="1"/>
        <n v="711" u="1"/>
        <n v="712" u="1"/>
        <n v="713" u="1"/>
        <n v="714" u="1"/>
        <n v="715" u="1"/>
        <n v="716" u="1"/>
        <n v="717" u="1"/>
        <n v="718" u="1"/>
        <n v="719" u="1"/>
        <n v="720" u="1"/>
        <n v="721" u="1"/>
        <n v="722" u="1"/>
        <n v="723" u="1"/>
        <n v="724" u="1"/>
        <n v="725" u="1"/>
        <n v="726" u="1"/>
        <n v="727" u="1"/>
        <n v="728" u="1"/>
        <n v="729" u="1"/>
        <n v="730" u="1"/>
        <n v="731" u="1"/>
        <n v="732" u="1"/>
        <n v="733" u="1"/>
        <n v="734" u="1"/>
        <n v="735" u="1"/>
        <n v="736" u="1"/>
        <n v="737" u="1"/>
        <n v="738" u="1"/>
        <n v="739" u="1"/>
        <n v="740" u="1"/>
        <n v="741" u="1"/>
        <n v="742" u="1"/>
        <n v="743" u="1"/>
        <n v="744" u="1"/>
        <n v="745" u="1"/>
        <n v="746" u="1"/>
        <n v="747" u="1"/>
        <n v="748" u="1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  <n v="773" u="1"/>
        <n v="774" u="1"/>
        <n v="775" u="1"/>
        <n v="776" u="1"/>
        <n v="777" u="1"/>
        <n v="778" u="1"/>
        <n v="779" u="1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  <n v="793" u="1"/>
        <n v="794" u="1"/>
        <n v="795" u="1"/>
        <n v="796" u="1"/>
        <n v="797" u="1"/>
        <n v="798" u="1"/>
        <n v="799" u="1"/>
        <n v="800" u="1"/>
        <n v="801" u="1"/>
        <n v="802" u="1"/>
        <n v="803" u="1"/>
        <n v="804" u="1"/>
        <n v="805" u="1"/>
        <n v="806" u="1"/>
        <n v="807" u="1"/>
        <n v="808" u="1"/>
        <n v="809" u="1"/>
        <n v="810" u="1"/>
        <n v="811" u="1"/>
        <n v="812" u="1"/>
        <n v="813" u="1"/>
        <n v="814" u="1"/>
        <n v="815" u="1"/>
        <n v="816" u="1"/>
        <n v="817" u="1"/>
        <n v="818" u="1"/>
        <n v="819" u="1"/>
        <n v="820" u="1"/>
        <n v="821" u="1"/>
        <n v="822" u="1"/>
        <n v="823" u="1"/>
        <n v="824" u="1"/>
        <n v="825" u="1"/>
        <n v="826" u="1"/>
        <n v="827" u="1"/>
        <n v="828" u="1"/>
        <n v="829" u="1"/>
        <n v="830" u="1"/>
        <n v="831" u="1"/>
        <n v="832" u="1"/>
        <n v="833" u="1"/>
        <n v="834" u="1"/>
        <n v="835" u="1"/>
        <n v="836" u="1"/>
        <n v="837" u="1"/>
        <n v="838" u="1"/>
        <n v="839" u="1"/>
        <n v="840" u="1"/>
        <n v="841" u="1"/>
        <n v="842" u="1"/>
        <n v="843" u="1"/>
        <n v="844" u="1"/>
        <n v="845" u="1"/>
        <n v="846" u="1"/>
        <n v="847" u="1"/>
        <n v="848" u="1"/>
        <n v="849" u="1"/>
        <n v="850" u="1"/>
        <n v="851" u="1"/>
        <n v="852" u="1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  <n v="875" u="1"/>
        <n v="876" u="1"/>
        <n v="877" u="1"/>
        <n v="878" u="1"/>
        <n v="879" u="1"/>
        <n v="880" u="1"/>
        <n v="881" u="1"/>
        <n v="882" u="1"/>
        <n v="883" u="1"/>
        <n v="884" u="1"/>
        <n v="885" u="1"/>
        <n v="886" u="1"/>
        <n v="887" u="1"/>
        <n v="888" u="1"/>
        <n v="889" u="1"/>
        <n v="890" u="1"/>
        <n v="891" u="1"/>
        <n v="892" u="1"/>
        <n v="893" u="1"/>
        <n v="894" u="1"/>
        <n v="895" u="1"/>
        <n v="896" u="1"/>
        <n v="897" u="1"/>
        <n v="898" u="1"/>
        <n v="899" u="1"/>
        <n v="900" u="1"/>
        <n v="901" u="1"/>
        <n v="902" u="1"/>
        <n v="903" u="1"/>
        <n v="904" u="1"/>
        <n v="905" u="1"/>
        <n v="906" u="1"/>
        <n v="907" u="1"/>
        <n v="908" u="1"/>
        <n v="909" u="1"/>
        <n v="910" u="1"/>
        <n v="911" u="1"/>
        <n v="912" u="1"/>
        <n v="913" u="1"/>
        <n v="914" u="1"/>
        <n v="915" u="1"/>
        <n v="916" u="1"/>
        <n v="917" u="1"/>
        <n v="918" u="1"/>
        <n v="919" u="1"/>
        <n v="920" u="1"/>
        <n v="921" u="1"/>
        <n v="922" u="1"/>
        <n v="923" u="1"/>
        <n v="924" u="1"/>
        <n v="925" u="1"/>
        <n v="926" u="1"/>
        <n v="927" u="1"/>
        <n v="928" u="1"/>
        <n v="929" u="1"/>
        <n v="930" u="1"/>
        <n v="931" u="1"/>
        <n v="932" u="1"/>
        <n v="933" u="1"/>
        <n v="934" u="1"/>
        <n v="935" u="1"/>
        <n v="936" u="1"/>
        <n v="937" u="1"/>
        <n v="938" u="1"/>
        <n v="939" u="1"/>
        <n v="940" u="1"/>
        <n v="941" u="1"/>
        <n v="942" u="1"/>
        <n v="943" u="1"/>
        <n v="944" u="1"/>
        <n v="945" u="1"/>
        <n v="946" u="1"/>
        <n v="947" u="1"/>
        <n v="948" u="1"/>
        <n v="949" u="1"/>
        <n v="950" u="1"/>
        <n v="951" u="1"/>
        <n v="952" u="1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  <n v="968" u="1"/>
        <n v="969" u="1"/>
        <n v="970" u="1"/>
        <n v="971" u="1"/>
        <n v="972" u="1"/>
        <n v="973" u="1"/>
        <n v="974" u="1"/>
        <n v="975" u="1"/>
        <n v="976" u="1"/>
        <n v="977" u="1"/>
        <n v="978" u="1"/>
        <n v="979" u="1"/>
        <n v="980" u="1"/>
        <n v="981" u="1"/>
        <n v="982" u="1"/>
        <n v="983" u="1"/>
        <n v="984" u="1"/>
        <n v="985" u="1"/>
        <n v="986" u="1"/>
        <n v="987" u="1"/>
        <n v="988" u="1"/>
        <n v="989" u="1"/>
        <n v="990" u="1"/>
        <n v="991" u="1"/>
        <n v="992" u="1"/>
        <n v="993" u="1"/>
        <n v="994" u="1"/>
        <n v="995" u="1"/>
        <n v="996" u="1"/>
        <n v="997" u="1"/>
        <n v="998" u="1"/>
        <n v="999" u="1"/>
        <n v="1000" u="1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  <n v="2201" u="1"/>
        <n v="2202" u="1"/>
        <n v="2203" u="1"/>
        <n v="2204" u="1"/>
        <n v="2205" u="1"/>
        <n v="2206" u="1"/>
        <n v="2207" u="1"/>
        <n v="2208" u="1"/>
        <n v="2209" u="1"/>
        <n v="2210" u="1"/>
        <n v="2211" u="1"/>
        <n v="2212" u="1"/>
        <n v="2213" u="1"/>
        <n v="2214" u="1"/>
        <n v="2215" u="1"/>
        <n v="2216" u="1"/>
        <n v="2217" u="1"/>
        <n v="2218" u="1"/>
        <n v="2219" u="1"/>
        <n v="2220" u="1"/>
        <n v="2221" u="1"/>
        <n v="2222" u="1"/>
        <n v="2223" u="1"/>
        <n v="2224" u="1"/>
        <n v="2225" u="1"/>
        <n v="2226" u="1"/>
        <n v="2227" u="1"/>
        <n v="2228" u="1"/>
        <n v="2229" u="1"/>
        <n v="2230" u="1"/>
        <n v="2231" u="1"/>
        <n v="2232" u="1"/>
        <n v="2233" u="1"/>
        <n v="2234" u="1"/>
        <n v="2235" u="1"/>
        <n v="2236" u="1"/>
        <n v="2237" u="1"/>
        <n v="2238" u="1"/>
        <n v="2239" u="1"/>
        <n v="2240" u="1"/>
        <n v="2241" u="1"/>
        <n v="2242" u="1"/>
        <n v="2243" u="1"/>
        <n v="2244" u="1"/>
        <n v="2245" u="1"/>
        <n v="2246" u="1"/>
        <n v="2247" u="1"/>
        <n v="2248" u="1"/>
        <n v="2249" u="1"/>
        <n v="2250" u="1"/>
        <n v="2251" u="1"/>
        <n v="2252" u="1"/>
        <n v="2253" u="1"/>
        <n v="2254" u="1"/>
        <n v="2255" u="1"/>
        <n v="2256" u="1"/>
        <n v="2257" u="1"/>
        <n v="2258" u="1"/>
        <n v="2259" u="1"/>
        <n v="2260" u="1"/>
        <n v="2261" u="1"/>
        <n v="2262" u="1"/>
        <n v="2263" u="1"/>
        <n v="2264" u="1"/>
        <n v="2265" u="1"/>
        <n v="2266" u="1"/>
        <n v="2267" u="1"/>
        <n v="2268" u="1"/>
        <n v="2269" u="1"/>
        <n v="2270" u="1"/>
        <n v="2271" u="1"/>
        <n v="2272" u="1"/>
        <n v="2273" u="1"/>
        <n v="2274" u="1"/>
        <n v="2275" u="1"/>
        <n v="2276" u="1"/>
        <n v="2277" u="1"/>
        <n v="2278" u="1"/>
        <n v="2279" u="1"/>
        <n v="2280" u="1"/>
        <n v="2281" u="1"/>
        <n v="2282" u="1"/>
        <n v="2283" u="1"/>
        <n v="2284" u="1"/>
        <n v="2285" u="1"/>
        <n v="2286" u="1"/>
        <n v="2287" u="1"/>
        <n v="2288" u="1"/>
        <n v="2289" u="1"/>
        <n v="2290" u="1"/>
        <n v="2291" u="1"/>
        <n v="2292" u="1"/>
        <n v="2293" u="1"/>
        <n v="2294" u="1"/>
        <n v="2295" u="1"/>
        <n v="2296" u="1"/>
        <n v="2297" u="1"/>
        <n v="2298" u="1"/>
        <n v="2299" u="1"/>
        <n v="2300" u="1"/>
        <n v="2301" u="1"/>
        <n v="2302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314" u="1"/>
        <n v="2315" u="1"/>
        <n v="2316" u="1"/>
        <n v="2317" u="1"/>
        <n v="2318" u="1"/>
        <n v="2319" u="1"/>
        <n v="2320" u="1"/>
        <n v="2321" u="1"/>
        <n v="2322" u="1"/>
        <n v="2323" u="1"/>
        <n v="2324" u="1"/>
        <n v="2325" u="1"/>
        <n v="2326" u="1"/>
        <n v="2327" u="1"/>
        <n v="2328" u="1"/>
        <n v="2329" u="1"/>
        <n v="2330" u="1"/>
        <n v="2331" u="1"/>
        <n v="2332" u="1"/>
        <n v="2333" u="1"/>
        <n v="2334" u="1"/>
        <n v="2335" u="1"/>
        <n v="2336" u="1"/>
        <n v="2337" u="1"/>
        <n v="2338" u="1"/>
        <n v="2339" u="1"/>
        <n v="2340" u="1"/>
        <n v="2341" u="1"/>
        <n v="2342" u="1"/>
        <n v="2343" u="1"/>
        <n v="2344" u="1"/>
        <n v="2345" u="1"/>
        <n v="2346" u="1"/>
        <n v="2347" u="1"/>
        <n v="2348" u="1"/>
        <n v="2349" u="1"/>
        <n v="2350" u="1"/>
        <n v="2351" u="1"/>
        <n v="2352" u="1"/>
        <n v="2353" u="1"/>
        <n v="2354" u="1"/>
        <n v="2355" u="1"/>
        <n v="2356" u="1"/>
        <n v="2357" u="1"/>
        <n v="2358" u="1"/>
        <n v="2359" u="1"/>
        <n v="2360" u="1"/>
        <n v="2361" u="1"/>
        <n v="2362" u="1"/>
        <n v="2363" u="1"/>
        <n v="2364" u="1"/>
        <n v="2365" u="1"/>
        <n v="2366" u="1"/>
        <n v="2367" u="1"/>
        <n v="2368" u="1"/>
        <n v="2369" u="1"/>
        <n v="2370" u="1"/>
        <n v="2371" u="1"/>
        <n v="2372" u="1"/>
        <n v="2373" u="1"/>
        <n v="2374" u="1"/>
        <n v="2375" u="1"/>
        <n v="2376" u="1"/>
        <n v="2377" u="1"/>
        <n v="2378" u="1"/>
        <n v="2379" u="1"/>
        <n v="2380" u="1"/>
        <n v="2381" u="1"/>
        <n v="2382" u="1"/>
        <n v="2383" u="1"/>
        <n v="2384" u="1"/>
        <n v="2385" u="1"/>
        <n v="2386" u="1"/>
        <n v="2387" u="1"/>
        <n v="2388" u="1"/>
        <n v="2389" u="1"/>
        <n v="2390" u="1"/>
        <n v="2391" u="1"/>
        <n v="2392" u="1"/>
        <n v="2393" u="1"/>
        <n v="2394" u="1"/>
        <n v="2395" u="1"/>
        <n v="2396" u="1"/>
        <n v="2397" u="1"/>
        <n v="2398" u="1"/>
        <n v="2399" u="1"/>
        <n v="2400" u="1"/>
        <n v="2401" u="1"/>
        <n v="2402" u="1"/>
        <n v="2403" u="1"/>
        <n v="2404" u="1"/>
        <n v="2405" u="1"/>
        <n v="2406" u="1"/>
        <n v="2407" u="1"/>
        <n v="2408" u="1"/>
        <n v="2409" u="1"/>
        <n v="2410" u="1"/>
        <n v="2411" u="1"/>
        <n v="2412" u="1"/>
        <n v="2413" u="1"/>
        <n v="2414" u="1"/>
        <n v="2415" u="1"/>
        <n v="2416" u="1"/>
        <n v="2417" u="1"/>
        <n v="2418" u="1"/>
        <n v="2419" u="1"/>
        <n v="2420" u="1"/>
        <n v="2421" u="1"/>
        <n v="2422" u="1"/>
        <n v="2423" u="1"/>
        <n v="2424" u="1"/>
        <n v="2425" u="1"/>
        <n v="2426" u="1"/>
        <n v="2427" u="1"/>
        <n v="2428" u="1"/>
        <n v="2429" u="1"/>
        <n v="2430" u="1"/>
        <n v="2431" u="1"/>
        <n v="2432" u="1"/>
        <n v="2433" u="1"/>
        <n v="2434" u="1"/>
        <n v="2435" u="1"/>
        <n v="2436" u="1"/>
        <n v="2437" u="1"/>
        <n v="2438" u="1"/>
        <n v="2439" u="1"/>
        <n v="2440" u="1"/>
        <n v="2441" u="1"/>
        <n v="2442" u="1"/>
        <n v="2443" u="1"/>
        <n v="2444" u="1"/>
        <n v="2445" u="1"/>
        <n v="2446" u="1"/>
        <n v="2447" u="1"/>
        <n v="2448" u="1"/>
        <n v="2449" u="1"/>
        <n v="2450" u="1"/>
        <n v="2451" u="1"/>
        <n v="2452" u="1"/>
        <n v="2453" u="1"/>
        <n v="2454" u="1"/>
        <n v="2455" u="1"/>
        <n v="2456" u="1"/>
        <n v="2457" u="1"/>
        <n v="2458" u="1"/>
        <n v="2459" u="1"/>
        <n v="2460" u="1"/>
        <n v="2461" u="1"/>
        <n v="2462" u="1"/>
        <n v="2463" u="1"/>
        <n v="2464" u="1"/>
        <n v="2465" u="1"/>
        <n v="2466" u="1"/>
        <n v="2467" u="1"/>
        <n v="2468" u="1"/>
        <n v="2469" u="1"/>
        <n v="2470" u="1"/>
        <n v="2471" u="1"/>
        <n v="2472" u="1"/>
        <n v="2473" u="1"/>
        <n v="2474" u="1"/>
        <n v="2475" u="1"/>
        <n v="2476" u="1"/>
        <n v="2477" u="1"/>
        <n v="2478" u="1"/>
        <n v="2479" u="1"/>
        <n v="2480" u="1"/>
        <n v="2481" u="1"/>
        <n v="2482" u="1"/>
        <n v="2483" u="1"/>
        <n v="2484" u="1"/>
        <n v="2485" u="1"/>
        <n v="2486" u="1"/>
        <n v="2487" u="1"/>
        <n v="2488" u="1"/>
        <n v="2489" u="1"/>
        <n v="2490" u="1"/>
        <n v="2491" u="1"/>
        <n v="2492" u="1"/>
        <n v="2493" u="1"/>
        <n v="2494" u="1"/>
        <n v="2495" u="1"/>
        <n v="2496" u="1"/>
        <n v="2497" u="1"/>
        <n v="2498" u="1"/>
        <n v="2499" u="1"/>
        <n v="2500" u="1"/>
        <n v="2501" u="1"/>
        <n v="2502" u="1"/>
        <n v="2503" u="1"/>
        <n v="2504" u="1"/>
        <n v="2505" u="1"/>
        <n v="2506" u="1"/>
        <n v="2507" u="1"/>
        <n v="2508" u="1"/>
        <n v="2509" u="1"/>
        <n v="2510" u="1"/>
        <n v="2511" u="1"/>
        <n v="2512" u="1"/>
        <n v="2513" u="1"/>
        <n v="2514" u="1"/>
        <n v="2515" u="1"/>
        <n v="2516" u="1"/>
        <n v="2517" u="1"/>
        <n v="2518" u="1"/>
        <n v="2519" u="1"/>
        <n v="2520" u="1"/>
        <n v="2521" u="1"/>
        <n v="2522" u="1"/>
        <n v="2523" u="1"/>
        <n v="2524" u="1"/>
        <n v="2525" u="1"/>
        <n v="2526" u="1"/>
        <n v="2527" u="1"/>
        <n v="2528" u="1"/>
        <n v="2529" u="1"/>
        <n v="2530" u="1"/>
        <n v="2531" u="1"/>
        <n v="2532" u="1"/>
        <n v="2533" u="1"/>
        <n v="2534" u="1"/>
        <n v="2535" u="1"/>
        <n v="2536" u="1"/>
        <n v="2537" u="1"/>
        <n v="2538" u="1"/>
        <n v="2539" u="1"/>
        <n v="2540" u="1"/>
        <n v="2541" u="1"/>
        <n v="2542" u="1"/>
        <n v="2543" u="1"/>
        <n v="2544" u="1"/>
        <n v="2545" u="1"/>
        <n v="2546" u="1"/>
        <n v="2547" u="1"/>
        <n v="2548" u="1"/>
        <n v="2549" u="1"/>
        <n v="2550" u="1"/>
        <n v="2551" u="1"/>
        <n v="2552" u="1"/>
        <n v="2553" u="1"/>
        <n v="2554" u="1"/>
        <n v="2555" u="1"/>
        <n v="2556" u="1"/>
        <n v="2557" u="1"/>
        <n v="2558" u="1"/>
        <n v="2559" u="1"/>
        <n v="2560" u="1"/>
        <n v="2561" u="1"/>
        <n v="2562" u="1"/>
        <n v="2563" u="1"/>
        <n v="2564" u="1"/>
        <n v="2565" u="1"/>
        <n v="2566" u="1"/>
        <n v="2567" u="1"/>
        <n v="2568" u="1"/>
        <n v="2569" u="1"/>
        <n v="2570" u="1"/>
        <n v="2571" u="1"/>
        <n v="2572" u="1"/>
        <n v="2573" u="1"/>
        <n v="2574" u="1"/>
        <n v="2575" u="1"/>
        <n v="2576" u="1"/>
        <n v="2577" u="1"/>
        <n v="2578" u="1"/>
        <n v="2579" u="1"/>
        <n v="2580" u="1"/>
        <n v="2581" u="1"/>
        <n v="2582" u="1"/>
        <n v="2583" u="1"/>
        <n v="2584" u="1"/>
        <n v="2585" u="1"/>
        <n v="2586" u="1"/>
        <n v="2587" u="1"/>
        <n v="2588" u="1"/>
        <n v="2589" u="1"/>
        <n v="2590" u="1"/>
        <n v="2591" u="1"/>
        <n v="2592" u="1"/>
        <n v="2593" u="1"/>
        <n v="2594" u="1"/>
        <n v="2595" u="1"/>
        <n v="2596" u="1"/>
        <n v="2597" u="1"/>
        <n v="2598" u="1"/>
        <n v="2599" u="1"/>
        <n v="2600" u="1"/>
        <n v="2601" u="1"/>
        <n v="2602" u="1"/>
        <n v="2603" u="1"/>
        <n v="2604" u="1"/>
        <n v="2605" u="1"/>
        <n v="2606" u="1"/>
        <n v="2607" u="1"/>
        <n v="2608" u="1"/>
        <n v="2609" u="1"/>
        <n v="2610" u="1"/>
        <n v="2611" u="1"/>
        <n v="2612" u="1"/>
        <n v="2613" u="1"/>
        <n v="2614" u="1"/>
        <n v="2615" u="1"/>
        <n v="2616" u="1"/>
        <n v="2617" u="1"/>
        <n v="2618" u="1"/>
        <n v="2619" u="1"/>
        <n v="2620" u="1"/>
        <n v="2621" u="1"/>
        <n v="2622" u="1"/>
        <n v="2623" u="1"/>
        <n v="2624" u="1"/>
        <n v="2625" u="1"/>
        <n v="2626" u="1"/>
        <n v="2627" u="1"/>
        <n v="2628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39" u="1"/>
        <n v="2640" u="1"/>
        <n v="2641" u="1"/>
        <n v="2642" u="1"/>
        <n v="2643" u="1"/>
        <n v="2644" u="1"/>
        <n v="2645" u="1"/>
        <n v="2646" u="1"/>
        <n v="2647" u="1"/>
        <n v="2648" u="1"/>
        <n v="2649" u="1"/>
        <n v="2650" u="1"/>
        <n v="2651" u="1"/>
        <n v="2652" u="1"/>
        <n v="2653" u="1"/>
        <n v="2654" u="1"/>
        <n v="2655" u="1"/>
        <n v="2656" u="1"/>
        <n v="2657" u="1"/>
        <n v="2658" u="1"/>
        <n v="2659" u="1"/>
        <n v="2660" u="1"/>
        <n v="2661" u="1"/>
        <n v="2662" u="1"/>
        <n v="2663" u="1"/>
        <n v="2664" u="1"/>
        <n v="2665" u="1"/>
        <n v="2666" u="1"/>
        <n v="2667" u="1"/>
        <n v="2668" u="1"/>
        <n v="2669" u="1"/>
        <n v="2670" u="1"/>
        <n v="2671" u="1"/>
        <n v="2672" u="1"/>
        <n v="2673" u="1"/>
        <n v="2674" u="1"/>
        <n v="2675" u="1"/>
        <n v="2676" u="1"/>
        <n v="2677" u="1"/>
        <n v="2678" u="1"/>
        <n v="2679" u="1"/>
        <n v="2680" u="1"/>
        <n v="2681" u="1"/>
        <n v="2682" u="1"/>
        <n v="2683" u="1"/>
        <n v="2684" u="1"/>
        <n v="2685" u="1"/>
        <n v="2686" u="1"/>
        <n v="2687" u="1"/>
        <n v="2688" u="1"/>
        <n v="2689" u="1"/>
        <n v="2690" u="1"/>
        <n v="2691" u="1"/>
        <n v="2692" u="1"/>
        <n v="2693" u="1"/>
        <n v="2694" u="1"/>
        <n v="2695" u="1"/>
        <n v="2696" u="1"/>
        <n v="2697" u="1"/>
        <n v="2698" u="1"/>
        <n v="2699" u="1"/>
        <n v="2700" u="1"/>
        <n v="2701" u="1"/>
        <n v="2702" u="1"/>
        <n v="2703" u="1"/>
        <n v="2704" u="1"/>
        <n v="2705" u="1"/>
        <n v="2706" u="1"/>
        <n v="2707" u="1"/>
        <n v="2708" u="1"/>
        <n v="2709" u="1"/>
        <n v="2710" u="1"/>
        <n v="2711" u="1"/>
        <n v="2712" u="1"/>
        <n v="2713" u="1"/>
        <n v="2714" u="1"/>
        <n v="2715" u="1"/>
        <n v="2716" u="1"/>
        <n v="2717" u="1"/>
        <n v="2718" u="1"/>
        <n v="2719" u="1"/>
        <n v="2720" u="1"/>
        <n v="2721" u="1"/>
        <n v="2722" u="1"/>
        <n v="2723" u="1"/>
        <n v="2724" u="1"/>
        <n v="2725" u="1"/>
        <n v="2726" u="1"/>
        <n v="2727" u="1"/>
        <n v="2728" u="1"/>
        <n v="2729" u="1"/>
        <n v="2730" u="1"/>
        <n v="2731" u="1"/>
        <n v="2732" u="1"/>
        <n v="2733" u="1"/>
        <n v="2734" u="1"/>
        <n v="2735" u="1"/>
        <n v="2736" u="1"/>
        <n v="2737" u="1"/>
        <n v="2738" u="1"/>
        <n v="2739" u="1"/>
        <n v="2740" u="1"/>
        <n v="2741" u="1"/>
        <n v="2742" u="1"/>
        <n v="2743" u="1"/>
        <n v="2744" u="1"/>
        <n v="2745" u="1"/>
        <n v="2746" u="1"/>
        <n v="2747" u="1"/>
        <n v="2748" u="1"/>
        <n v="2749" u="1"/>
        <n v="2750" u="1"/>
        <n v="2751" u="1"/>
        <n v="2752" u="1"/>
        <n v="2753" u="1"/>
        <n v="2754" u="1"/>
        <n v="2755" u="1"/>
        <n v="2756" u="1"/>
        <n v="2757" u="1"/>
        <n v="2758" u="1"/>
        <n v="2759" u="1"/>
        <n v="2760" u="1"/>
        <n v="2761" u="1"/>
        <n v="2762" u="1"/>
        <n v="2763" u="1"/>
        <n v="2764" u="1"/>
        <n v="2765" u="1"/>
        <n v="2766" u="1"/>
        <n v="2767" u="1"/>
        <n v="2768" u="1"/>
        <n v="2769" u="1"/>
        <n v="2770" u="1"/>
        <n v="2771" u="1"/>
        <n v="2772" u="1"/>
        <n v="2773" u="1"/>
        <n v="2774" u="1"/>
        <n v="2775" u="1"/>
        <n v="2776" u="1"/>
        <n v="2777" u="1"/>
        <n v="2778" u="1"/>
        <n v="2779" u="1"/>
        <n v="2780" u="1"/>
        <n v="2781" u="1"/>
        <n v="2782" u="1"/>
        <n v="2783" u="1"/>
        <n v="2784" u="1"/>
        <n v="2785" u="1"/>
        <n v="2786" u="1"/>
        <n v="2787" u="1"/>
        <n v="2788" u="1"/>
        <n v="2789" u="1"/>
        <n v="2790" u="1"/>
        <n v="2791" u="1"/>
        <n v="2792" u="1"/>
        <n v="2793" u="1"/>
        <n v="2794" u="1"/>
        <n v="2795" u="1"/>
        <n v="2796" u="1"/>
        <n v="2797" u="1"/>
        <n v="2798" u="1"/>
        <n v="2799" u="1"/>
        <n v="2800" u="1"/>
        <n v="2801" u="1"/>
        <n v="2802" u="1"/>
        <n v="2803" u="1"/>
        <n v="2804" u="1"/>
        <n v="2805" u="1"/>
        <n v="2806" u="1"/>
        <n v="2807" u="1"/>
        <n v="2808" u="1"/>
        <n v="2809" u="1"/>
        <n v="2810" u="1"/>
        <n v="2811" u="1"/>
        <n v="2812" u="1"/>
        <n v="2813" u="1"/>
        <n v="2814" u="1"/>
        <n v="2815" u="1"/>
        <n v="2816" u="1"/>
        <n v="2817" u="1"/>
        <n v="2818" u="1"/>
        <n v="2819" u="1"/>
        <n v="2820" u="1"/>
        <n v="2821" u="1"/>
        <n v="2822" u="1"/>
        <n v="2823" u="1"/>
        <n v="2824" u="1"/>
        <n v="2825" u="1"/>
        <n v="2826" u="1"/>
        <n v="2827" u="1"/>
        <n v="2828" u="1"/>
        <n v="2829" u="1"/>
        <n v="2830" u="1"/>
        <n v="2831" u="1"/>
        <n v="2832" u="1"/>
        <n v="2833" u="1"/>
        <n v="2834" u="1"/>
        <n v="2835" u="1"/>
        <n v="2836" u="1"/>
        <n v="2837" u="1"/>
        <n v="2838" u="1"/>
        <n v="2839" u="1"/>
        <n v="2840" u="1"/>
        <n v="2841" u="1"/>
        <n v="2842" u="1"/>
        <n v="2843" u="1"/>
        <n v="2844" u="1"/>
        <n v="2845" u="1"/>
        <n v="2846" u="1"/>
        <n v="2847" u="1"/>
        <n v="2848" u="1"/>
        <n v="2849" u="1"/>
        <n v="2850" u="1"/>
        <n v="2851" u="1"/>
        <n v="2852" u="1"/>
        <n v="2853" u="1"/>
        <n v="2854" u="1"/>
        <n v="2855" u="1"/>
        <n v="2856" u="1"/>
        <n v="2857" u="1"/>
        <n v="2858" u="1"/>
        <n v="2859" u="1"/>
        <n v="2860" u="1"/>
        <n v="2861" u="1"/>
        <n v="2862" u="1"/>
        <n v="2863" u="1"/>
        <n v="2864" u="1"/>
        <n v="2865" u="1"/>
        <n v="2866" u="1"/>
        <n v="2867" u="1"/>
        <n v="2868" u="1"/>
        <n v="2869" u="1"/>
        <n v="2870" u="1"/>
        <n v="2871" u="1"/>
        <n v="2872" u="1"/>
        <n v="2873" u="1"/>
        <n v="2874" u="1"/>
        <n v="2875" u="1"/>
        <n v="2876" u="1"/>
        <n v="2877" u="1"/>
        <n v="2878" u="1"/>
        <n v="2879" u="1"/>
        <n v="2880" u="1"/>
        <n v="2881" u="1"/>
        <n v="2882" u="1"/>
        <n v="2883" u="1"/>
        <n v="2884" u="1"/>
        <n v="2885" u="1"/>
        <n v="2886" u="1"/>
        <n v="2887" u="1"/>
        <n v="2888" u="1"/>
        <n v="2889" u="1"/>
        <n v="2890" u="1"/>
        <n v="2891" u="1"/>
        <n v="2892" u="1"/>
        <n v="2893" u="1"/>
        <n v="2894" u="1"/>
        <n v="2895" u="1"/>
        <n v="2896" u="1"/>
        <n v="2897" u="1"/>
        <n v="2898" u="1"/>
        <n v="2899" u="1"/>
        <n v="2900" u="1"/>
        <n v="2901" u="1"/>
        <n v="2902" u="1"/>
        <n v="2903" u="1"/>
        <n v="2904" u="1"/>
        <n v="2905" u="1"/>
        <n v="2906" u="1"/>
        <n v="2907" u="1"/>
        <n v="2908" u="1"/>
        <n v="2909" u="1"/>
        <n v="2910" u="1"/>
        <n v="2911" u="1"/>
        <n v="2912" u="1"/>
        <n v="2913" u="1"/>
        <n v="2914" u="1"/>
        <n v="2915" u="1"/>
        <n v="2916" u="1"/>
        <n v="2917" u="1"/>
        <n v="2918" u="1"/>
        <n v="2919" u="1"/>
        <n v="2920" u="1"/>
        <n v="2921" u="1"/>
        <n v="2922" u="1"/>
        <n v="2923" u="1"/>
        <n v="2924" u="1"/>
        <n v="2925" u="1"/>
        <n v="2926" u="1"/>
        <n v="2927" u="1"/>
        <n v="2928" u="1"/>
        <n v="2929" u="1"/>
        <n v="2930" u="1"/>
        <n v="2931" u="1"/>
        <n v="2932" u="1"/>
        <n v="2933" u="1"/>
        <n v="2934" u="1"/>
        <n v="2935" u="1"/>
        <n v="2936" u="1"/>
        <n v="2937" u="1"/>
        <n v="2938" u="1"/>
        <n v="2939" u="1"/>
        <n v="2940" u="1"/>
        <n v="2941" u="1"/>
        <n v="2942" u="1"/>
        <n v="2943" u="1"/>
        <n v="2944" u="1"/>
        <n v="2945" u="1"/>
        <n v="2946" u="1"/>
        <n v="2947" u="1"/>
        <n v="2948" u="1"/>
        <n v="2949" u="1"/>
        <n v="2950" u="1"/>
        <n v="2951" u="1"/>
        <n v="2952" u="1"/>
        <n v="2953" u="1"/>
        <n v="2954" u="1"/>
        <n v="2955" u="1"/>
        <n v="2956" u="1"/>
        <n v="2957" u="1"/>
        <n v="2958" u="1"/>
        <n v="2959" u="1"/>
        <n v="2960" u="1"/>
        <n v="2961" u="1"/>
        <n v="2962" u="1"/>
        <n v="2963" u="1"/>
        <n v="2964" u="1"/>
        <n v="2965" u="1"/>
        <n v="2966" u="1"/>
        <n v="2967" u="1"/>
        <n v="2968" u="1"/>
        <n v="2969" u="1"/>
        <n v="2970" u="1"/>
        <n v="2971" u="1"/>
        <n v="2972" u="1"/>
        <n v="2973" u="1"/>
        <n v="2974" u="1"/>
        <n v="2975" u="1"/>
        <n v="2976" u="1"/>
        <n v="2977" u="1"/>
        <n v="2978" u="1"/>
        <n v="2979" u="1"/>
        <n v="2980" u="1"/>
        <n v="2981" u="1"/>
        <n v="2982" u="1"/>
        <n v="2983" u="1"/>
        <n v="2984" u="1"/>
        <n v="2985" u="1"/>
        <n v="2986" u="1"/>
        <n v="2987" u="1"/>
        <n v="2988" u="1"/>
        <n v="2989" u="1"/>
        <n v="2990" u="1"/>
        <n v="2991" u="1"/>
        <n v="2992" u="1"/>
        <n v="2993" u="1"/>
        <n v="2994" u="1"/>
        <n v="2995" u="1"/>
        <n v="2996" u="1"/>
        <n v="2997" u="1"/>
        <n v="2998" u="1"/>
        <n v="2999" u="1"/>
        <n v="3000" u="1"/>
      </sharedItems>
    </cacheField>
    <cacheField name="step_id" numFmtId="0">
      <sharedItems containsSemiMixedTypes="0" containsString="0" containsNumber="1" containsInteger="1" minValue="2658098" maxValue="999756168"/>
    </cacheField>
    <cacheField name="cf_id" numFmtId="0">
      <sharedItems/>
    </cacheField>
    <cacheField name="liquidity" numFmtId="0">
      <sharedItems containsSemiMixedTypes="0" containsString="0" containsNumber="1" minValue="-159.27799999999999" maxValue="12.054399999999999"/>
    </cacheField>
    <cacheField name="price" numFmtId="0">
      <sharedItems containsSemiMixedTypes="0" containsString="0" containsNumber="1" minValue="1.91351" maxValue="2.4"/>
    </cacheField>
    <cacheField name="equity" numFmtId="0">
      <sharedItems containsSemiMixedTypes="0" containsString="0" containsNumber="1" minValue="-159.27799999999999" maxValue="12.333"/>
    </cacheField>
    <cacheField name="unsold" numFmtId="164">
      <sharedItems containsSemiMixedTypes="0" containsString="0" containsNumber="1" minValue="0" maxValue="2.109121"/>
    </cacheField>
    <cacheField name="debt" numFmtId="0">
      <sharedItems containsSemiMixedTypes="0" containsString="0" containsNumber="1" minValue="0" maxValue="4.6684200000000002"/>
    </cacheField>
    <cacheField name="profit" numFmtId="0">
      <sharedItems containsSemiMixedTypes="0" containsString="0" containsNumber="1" minValue="-5.3490700000000002" maxValue="4.8094900000000003"/>
    </cacheField>
    <cacheField name="production" numFmtId="0">
      <sharedItems containsSemiMixedTypes="0" containsString="0" containsNumber="1" minValue="1.5057" maxValue="3"/>
    </cacheField>
    <cacheField name="sales" numFmtId="0">
      <sharedItems containsSemiMixedTypes="0" containsString="0" containsNumber="1" minValue="0.89087899999999998" maxValue="3"/>
    </cacheField>
    <cacheField name="queue" numFmtId="0">
      <sharedItems containsSemiMixedTypes="0" containsString="0" containsNumber="1" minValue="0" maxValue="1.1299699999999999"/>
    </cacheField>
    <cacheField name="expected_demand" numFmtId="0">
      <sharedItems containsSemiMixedTypes="0" containsString="0" containsNumber="1" containsInteger="1" minValue="5" maxValue="5"/>
    </cacheField>
    <cacheField name="intresses" numFmtId="0">
      <sharedItems containsSemiMixedTypes="0" containsString="0" containsNumber="1" minValue="0" maxValue="0.166686"/>
    </cacheField>
    <cacheField name="labour_demand" numFmtId="0">
      <sharedItems containsSemiMixedTypes="0" containsString="0" containsNumber="1" minValue="0" maxValue="0.80169999999999997"/>
    </cacheField>
    <cacheField name="lmbda" numFmtId="0">
      <sharedItems containsSemiMixedTypes="0" containsString="0" containsNumber="1" minValue="0" maxValue="0.99990000000000001"/>
    </cacheField>
    <cacheField name="loans" numFmtId="0">
      <sharedItems longText="1"/>
    </cacheField>
    <cacheField name="staff" numFmtId="0">
      <sharedItems/>
    </cacheField>
    <cacheField name="first_step" numFmtId="0">
      <sharedItems containsSemiMixedTypes="0" containsString="0" containsNumber="1" containsInteger="1" minValue="0" maxValue="0"/>
    </cacheField>
    <cacheField name="capital" numFmtId="0">
      <sharedItems containsSemiMixedTypes="0" containsString="0" containsNumber="1" minValue="4.52163" maxValue="10.9316"/>
    </cacheField>
    <cacheField name="capital_avg" numFmtId="0">
      <sharedItems containsSemiMixedTypes="0" containsString="0" containsNumber="1" minValue="4.6158200000000003" maxValue="9.00901"/>
    </cacheField>
    <cacheField name="invested" numFmtId="0">
      <sharedItems containsSemiMixedTypes="0" containsString="0" containsNumber="1" minValue="0" maxValue="159.10499999999999"/>
    </cacheField>
    <cacheField name="planned_production" numFmtId="0">
      <sharedItems containsSemiMixedTypes="0" containsString="0" containsNumber="1" minValue="1.8311200000000001" maxValue="5"/>
    </cacheField>
    <cacheField name="planned_investment" numFmtId="0">
      <sharedItems containsSemiMixedTypes="0" containsString="0" containsNumber="1" minValue="0" maxValue="2.5464799999999999"/>
    </cacheField>
    <cacheField name="wage_bill" numFmtId="0">
      <sharedItems containsSemiMixedTypes="0" containsString="0" containsNumber="1" containsInteger="1" minValue="4" maxValue="6"/>
    </cacheField>
    <cacheField name="investment_cost" numFmtId="0">
      <sharedItems containsSemiMixedTypes="0" containsString="0" containsNumber="1" minValue="0" maxValue="233.905"/>
    </cacheField>
    <cacheField name="capital_book" numFmtId="0">
      <sharedItems containsSemiMixedTypes="0" containsString="0" containsNumber="1" minValue="17.7881" maxValue="1131.81"/>
    </cacheField>
    <cacheField name="desired_capital" numFmtId="0">
      <sharedItems containsSemiMixedTypes="0" containsString="0" containsNumber="1" minValue="5.5411999999999999" maxValue="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097.811703240739" createdVersion="8" refreshedVersion="8" minRefreshableVersion="3" recordCount="600" xr:uid="{E8AD75AD-F9CF-493C-830F-D61651013BAD}">
  <cacheSource type="worksheet">
    <worksheetSource name="capitalist_data"/>
  </cacheSource>
  <cacheFields count="7">
    <cacheField name="step_no" numFmtId="0">
      <sharedItems containsSemiMixedTypes="0" containsString="0" containsNumber="1" containsInteger="1" minValue="1" maxValue="2200" count="22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 u="1"/>
        <n v="602" u="1"/>
        <n v="603" u="1"/>
        <n v="604" u="1"/>
        <n v="605" u="1"/>
        <n v="606" u="1"/>
        <n v="607" u="1"/>
        <n v="608" u="1"/>
        <n v="609" u="1"/>
        <n v="610" u="1"/>
        <n v="611" u="1"/>
        <n v="612" u="1"/>
        <n v="613" u="1"/>
        <n v="614" u="1"/>
        <n v="615" u="1"/>
        <n v="616" u="1"/>
        <n v="617" u="1"/>
        <n v="618" u="1"/>
        <n v="619" u="1"/>
        <n v="620" u="1"/>
        <n v="621" u="1"/>
        <n v="622" u="1"/>
        <n v="623" u="1"/>
        <n v="624" u="1"/>
        <n v="625" u="1"/>
        <n v="626" u="1"/>
        <n v="627" u="1"/>
        <n v="628" u="1"/>
        <n v="629" u="1"/>
        <n v="630" u="1"/>
        <n v="631" u="1"/>
        <n v="632" u="1"/>
        <n v="633" u="1"/>
        <n v="634" u="1"/>
        <n v="635" u="1"/>
        <n v="636" u="1"/>
        <n v="637" u="1"/>
        <n v="638" u="1"/>
        <n v="639" u="1"/>
        <n v="640" u="1"/>
        <n v="641" u="1"/>
        <n v="642" u="1"/>
        <n v="643" u="1"/>
        <n v="644" u="1"/>
        <n v="645" u="1"/>
        <n v="646" u="1"/>
        <n v="647" u="1"/>
        <n v="648" u="1"/>
        <n v="649" u="1"/>
        <n v="650" u="1"/>
        <n v="651" u="1"/>
        <n v="652" u="1"/>
        <n v="653" u="1"/>
        <n v="654" u="1"/>
        <n v="655" u="1"/>
        <n v="656" u="1"/>
        <n v="657" u="1"/>
        <n v="658" u="1"/>
        <n v="659" u="1"/>
        <n v="660" u="1"/>
        <n v="661" u="1"/>
        <n v="662" u="1"/>
        <n v="663" u="1"/>
        <n v="664" u="1"/>
        <n v="665" u="1"/>
        <n v="666" u="1"/>
        <n v="667" u="1"/>
        <n v="668" u="1"/>
        <n v="669" u="1"/>
        <n v="670" u="1"/>
        <n v="671" u="1"/>
        <n v="672" u="1"/>
        <n v="673" u="1"/>
        <n v="674" u="1"/>
        <n v="675" u="1"/>
        <n v="676" u="1"/>
        <n v="677" u="1"/>
        <n v="678" u="1"/>
        <n v="679" u="1"/>
        <n v="680" u="1"/>
        <n v="681" u="1"/>
        <n v="682" u="1"/>
        <n v="683" u="1"/>
        <n v="684" u="1"/>
        <n v="685" u="1"/>
        <n v="686" u="1"/>
        <n v="687" u="1"/>
        <n v="688" u="1"/>
        <n v="689" u="1"/>
        <n v="690" u="1"/>
        <n v="691" u="1"/>
        <n v="692" u="1"/>
        <n v="693" u="1"/>
        <n v="694" u="1"/>
        <n v="695" u="1"/>
        <n v="696" u="1"/>
        <n v="697" u="1"/>
        <n v="698" u="1"/>
        <n v="699" u="1"/>
        <n v="700" u="1"/>
        <n v="701" u="1"/>
        <n v="702" u="1"/>
        <n v="703" u="1"/>
        <n v="704" u="1"/>
        <n v="705" u="1"/>
        <n v="706" u="1"/>
        <n v="707" u="1"/>
        <n v="708" u="1"/>
        <n v="709" u="1"/>
        <n v="710" u="1"/>
        <n v="711" u="1"/>
        <n v="712" u="1"/>
        <n v="713" u="1"/>
        <n v="714" u="1"/>
        <n v="715" u="1"/>
        <n v="716" u="1"/>
        <n v="717" u="1"/>
        <n v="718" u="1"/>
        <n v="719" u="1"/>
        <n v="720" u="1"/>
        <n v="721" u="1"/>
        <n v="722" u="1"/>
        <n v="723" u="1"/>
        <n v="724" u="1"/>
        <n v="725" u="1"/>
        <n v="726" u="1"/>
        <n v="727" u="1"/>
        <n v="728" u="1"/>
        <n v="729" u="1"/>
        <n v="730" u="1"/>
        <n v="731" u="1"/>
        <n v="732" u="1"/>
        <n v="733" u="1"/>
        <n v="734" u="1"/>
        <n v="735" u="1"/>
        <n v="736" u="1"/>
        <n v="737" u="1"/>
        <n v="738" u="1"/>
        <n v="739" u="1"/>
        <n v="740" u="1"/>
        <n v="741" u="1"/>
        <n v="742" u="1"/>
        <n v="743" u="1"/>
        <n v="744" u="1"/>
        <n v="745" u="1"/>
        <n v="746" u="1"/>
        <n v="747" u="1"/>
        <n v="748" u="1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  <n v="773" u="1"/>
        <n v="774" u="1"/>
        <n v="775" u="1"/>
        <n v="776" u="1"/>
        <n v="777" u="1"/>
        <n v="778" u="1"/>
        <n v="779" u="1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  <n v="793" u="1"/>
        <n v="794" u="1"/>
        <n v="795" u="1"/>
        <n v="796" u="1"/>
        <n v="797" u="1"/>
        <n v="798" u="1"/>
        <n v="799" u="1"/>
        <n v="800" u="1"/>
        <n v="801" u="1"/>
        <n v="802" u="1"/>
        <n v="803" u="1"/>
        <n v="804" u="1"/>
        <n v="805" u="1"/>
        <n v="806" u="1"/>
        <n v="807" u="1"/>
        <n v="808" u="1"/>
        <n v="809" u="1"/>
        <n v="810" u="1"/>
        <n v="811" u="1"/>
        <n v="812" u="1"/>
        <n v="813" u="1"/>
        <n v="814" u="1"/>
        <n v="815" u="1"/>
        <n v="816" u="1"/>
        <n v="817" u="1"/>
        <n v="818" u="1"/>
        <n v="819" u="1"/>
        <n v="820" u="1"/>
        <n v="821" u="1"/>
        <n v="822" u="1"/>
        <n v="823" u="1"/>
        <n v="824" u="1"/>
        <n v="825" u="1"/>
        <n v="826" u="1"/>
        <n v="827" u="1"/>
        <n v="828" u="1"/>
        <n v="829" u="1"/>
        <n v="830" u="1"/>
        <n v="831" u="1"/>
        <n v="832" u="1"/>
        <n v="833" u="1"/>
        <n v="834" u="1"/>
        <n v="835" u="1"/>
        <n v="836" u="1"/>
        <n v="837" u="1"/>
        <n v="838" u="1"/>
        <n v="839" u="1"/>
        <n v="840" u="1"/>
        <n v="841" u="1"/>
        <n v="842" u="1"/>
        <n v="843" u="1"/>
        <n v="844" u="1"/>
        <n v="845" u="1"/>
        <n v="846" u="1"/>
        <n v="847" u="1"/>
        <n v="848" u="1"/>
        <n v="849" u="1"/>
        <n v="850" u="1"/>
        <n v="851" u="1"/>
        <n v="852" u="1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  <n v="875" u="1"/>
        <n v="876" u="1"/>
        <n v="877" u="1"/>
        <n v="878" u="1"/>
        <n v="879" u="1"/>
        <n v="880" u="1"/>
        <n v="881" u="1"/>
        <n v="882" u="1"/>
        <n v="883" u="1"/>
        <n v="884" u="1"/>
        <n v="885" u="1"/>
        <n v="886" u="1"/>
        <n v="887" u="1"/>
        <n v="888" u="1"/>
        <n v="889" u="1"/>
        <n v="890" u="1"/>
        <n v="891" u="1"/>
        <n v="892" u="1"/>
        <n v="893" u="1"/>
        <n v="894" u="1"/>
        <n v="895" u="1"/>
        <n v="896" u="1"/>
        <n v="897" u="1"/>
        <n v="898" u="1"/>
        <n v="899" u="1"/>
        <n v="900" u="1"/>
        <n v="901" u="1"/>
        <n v="902" u="1"/>
        <n v="903" u="1"/>
        <n v="904" u="1"/>
        <n v="905" u="1"/>
        <n v="906" u="1"/>
        <n v="907" u="1"/>
        <n v="908" u="1"/>
        <n v="909" u="1"/>
        <n v="910" u="1"/>
        <n v="911" u="1"/>
        <n v="912" u="1"/>
        <n v="913" u="1"/>
        <n v="914" u="1"/>
        <n v="915" u="1"/>
        <n v="916" u="1"/>
        <n v="917" u="1"/>
        <n v="918" u="1"/>
        <n v="919" u="1"/>
        <n v="920" u="1"/>
        <n v="921" u="1"/>
        <n v="922" u="1"/>
        <n v="923" u="1"/>
        <n v="924" u="1"/>
        <n v="925" u="1"/>
        <n v="926" u="1"/>
        <n v="927" u="1"/>
        <n v="928" u="1"/>
        <n v="929" u="1"/>
        <n v="930" u="1"/>
        <n v="931" u="1"/>
        <n v="932" u="1"/>
        <n v="933" u="1"/>
        <n v="934" u="1"/>
        <n v="935" u="1"/>
        <n v="936" u="1"/>
        <n v="937" u="1"/>
        <n v="938" u="1"/>
        <n v="939" u="1"/>
        <n v="940" u="1"/>
        <n v="941" u="1"/>
        <n v="942" u="1"/>
        <n v="943" u="1"/>
        <n v="944" u="1"/>
        <n v="945" u="1"/>
        <n v="946" u="1"/>
        <n v="947" u="1"/>
        <n v="948" u="1"/>
        <n v="949" u="1"/>
        <n v="950" u="1"/>
        <n v="951" u="1"/>
        <n v="952" u="1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  <n v="968" u="1"/>
        <n v="969" u="1"/>
        <n v="970" u="1"/>
        <n v="971" u="1"/>
        <n v="972" u="1"/>
        <n v="973" u="1"/>
        <n v="974" u="1"/>
        <n v="975" u="1"/>
        <n v="976" u="1"/>
        <n v="977" u="1"/>
        <n v="978" u="1"/>
        <n v="979" u="1"/>
        <n v="980" u="1"/>
        <n v="981" u="1"/>
        <n v="982" u="1"/>
        <n v="983" u="1"/>
        <n v="984" u="1"/>
        <n v="985" u="1"/>
        <n v="986" u="1"/>
        <n v="987" u="1"/>
        <n v="988" u="1"/>
        <n v="989" u="1"/>
        <n v="990" u="1"/>
        <n v="991" u="1"/>
        <n v="992" u="1"/>
        <n v="993" u="1"/>
        <n v="994" u="1"/>
        <n v="995" u="1"/>
        <n v="996" u="1"/>
        <n v="997" u="1"/>
        <n v="998" u="1"/>
        <n v="999" u="1"/>
        <n v="1000" u="1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</sharedItems>
    </cacheField>
    <cacheField name="steps_id" numFmtId="0">
      <sharedItems containsSemiMixedTypes="0" containsString="0" containsNumber="1" containsInteger="1" minValue="2658098" maxValue="999756168"/>
    </cacheField>
    <cacheField name="capitalist_id" numFmtId="0">
      <sharedItems/>
    </cacheField>
    <cacheField name="wealth" numFmtId="0">
      <sharedItems containsSemiMixedTypes="0" containsString="0" containsNumber="1" minValue="0" maxValue="0.19312499999999999"/>
    </cacheField>
    <cacheField name="human_wealth" numFmtId="0">
      <sharedItems containsSemiMixedTypes="0" containsString="0" containsNumber="1" minValue="0" maxValue="2.1918099999999998"/>
    </cacheField>
    <cacheField name="spent_amount" numFmtId="0">
      <sharedItems containsSemiMixedTypes="0" containsString="0" containsNumber="1" minValue="1.1893300000000001E-11" maxValue="8.3534800000000006E-2"/>
    </cacheField>
    <cacheField name="budget" numFmtId="0">
      <sharedItems containsSemiMixedTypes="0" containsString="0" containsNumber="1" minValue="0" maxValue="0.1931249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097.811703587962" createdVersion="8" refreshedVersion="8" minRefreshableVersion="3" recordCount="600" xr:uid="{20C396CB-2627-436E-BC44-F8E4AA7E5FD6}">
  <cacheSource type="worksheet">
    <worksheetSource name="liquidity_data"/>
  </cacheSource>
  <cacheFields count="13">
    <cacheField name="run_id" numFmtId="0">
      <sharedItems/>
    </cacheField>
    <cacheField name="step_no" numFmtId="0">
      <sharedItems containsSemiMixedTypes="0" containsString="0" containsNumber="1" containsInteger="1" minValue="1" maxValue="2200" count="22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 u="1"/>
        <n v="602" u="1"/>
        <n v="603" u="1"/>
        <n v="604" u="1"/>
        <n v="605" u="1"/>
        <n v="606" u="1"/>
        <n v="607" u="1"/>
        <n v="608" u="1"/>
        <n v="609" u="1"/>
        <n v="610" u="1"/>
        <n v="611" u="1"/>
        <n v="612" u="1"/>
        <n v="613" u="1"/>
        <n v="614" u="1"/>
        <n v="615" u="1"/>
        <n v="616" u="1"/>
        <n v="617" u="1"/>
        <n v="618" u="1"/>
        <n v="619" u="1"/>
        <n v="620" u="1"/>
        <n v="621" u="1"/>
        <n v="622" u="1"/>
        <n v="623" u="1"/>
        <n v="624" u="1"/>
        <n v="625" u="1"/>
        <n v="626" u="1"/>
        <n v="627" u="1"/>
        <n v="628" u="1"/>
        <n v="629" u="1"/>
        <n v="630" u="1"/>
        <n v="631" u="1"/>
        <n v="632" u="1"/>
        <n v="633" u="1"/>
        <n v="634" u="1"/>
        <n v="635" u="1"/>
        <n v="636" u="1"/>
        <n v="637" u="1"/>
        <n v="638" u="1"/>
        <n v="639" u="1"/>
        <n v="640" u="1"/>
        <n v="641" u="1"/>
        <n v="642" u="1"/>
        <n v="643" u="1"/>
        <n v="644" u="1"/>
        <n v="645" u="1"/>
        <n v="646" u="1"/>
        <n v="647" u="1"/>
        <n v="648" u="1"/>
        <n v="649" u="1"/>
        <n v="650" u="1"/>
        <n v="651" u="1"/>
        <n v="652" u="1"/>
        <n v="653" u="1"/>
        <n v="654" u="1"/>
        <n v="655" u="1"/>
        <n v="656" u="1"/>
        <n v="657" u="1"/>
        <n v="658" u="1"/>
        <n v="659" u="1"/>
        <n v="660" u="1"/>
        <n v="661" u="1"/>
        <n v="662" u="1"/>
        <n v="663" u="1"/>
        <n v="664" u="1"/>
        <n v="665" u="1"/>
        <n v="666" u="1"/>
        <n v="667" u="1"/>
        <n v="668" u="1"/>
        <n v="669" u="1"/>
        <n v="670" u="1"/>
        <n v="671" u="1"/>
        <n v="672" u="1"/>
        <n v="673" u="1"/>
        <n v="674" u="1"/>
        <n v="675" u="1"/>
        <n v="676" u="1"/>
        <n v="677" u="1"/>
        <n v="678" u="1"/>
        <n v="679" u="1"/>
        <n v="680" u="1"/>
        <n v="681" u="1"/>
        <n v="682" u="1"/>
        <n v="683" u="1"/>
        <n v="684" u="1"/>
        <n v="685" u="1"/>
        <n v="686" u="1"/>
        <n v="687" u="1"/>
        <n v="688" u="1"/>
        <n v="689" u="1"/>
        <n v="690" u="1"/>
        <n v="691" u="1"/>
        <n v="692" u="1"/>
        <n v="693" u="1"/>
        <n v="694" u="1"/>
        <n v="695" u="1"/>
        <n v="696" u="1"/>
        <n v="697" u="1"/>
        <n v="698" u="1"/>
        <n v="699" u="1"/>
        <n v="700" u="1"/>
        <n v="701" u="1"/>
        <n v="702" u="1"/>
        <n v="703" u="1"/>
        <n v="704" u="1"/>
        <n v="705" u="1"/>
        <n v="706" u="1"/>
        <n v="707" u="1"/>
        <n v="708" u="1"/>
        <n v="709" u="1"/>
        <n v="710" u="1"/>
        <n v="711" u="1"/>
        <n v="712" u="1"/>
        <n v="713" u="1"/>
        <n v="714" u="1"/>
        <n v="715" u="1"/>
        <n v="716" u="1"/>
        <n v="717" u="1"/>
        <n v="718" u="1"/>
        <n v="719" u="1"/>
        <n v="720" u="1"/>
        <n v="721" u="1"/>
        <n v="722" u="1"/>
        <n v="723" u="1"/>
        <n v="724" u="1"/>
        <n v="725" u="1"/>
        <n v="726" u="1"/>
        <n v="727" u="1"/>
        <n v="728" u="1"/>
        <n v="729" u="1"/>
        <n v="730" u="1"/>
        <n v="731" u="1"/>
        <n v="732" u="1"/>
        <n v="733" u="1"/>
        <n v="734" u="1"/>
        <n v="735" u="1"/>
        <n v="736" u="1"/>
        <n v="737" u="1"/>
        <n v="738" u="1"/>
        <n v="739" u="1"/>
        <n v="740" u="1"/>
        <n v="741" u="1"/>
        <n v="742" u="1"/>
        <n v="743" u="1"/>
        <n v="744" u="1"/>
        <n v="745" u="1"/>
        <n v="746" u="1"/>
        <n v="747" u="1"/>
        <n v="748" u="1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  <n v="773" u="1"/>
        <n v="774" u="1"/>
        <n v="775" u="1"/>
        <n v="776" u="1"/>
        <n v="777" u="1"/>
        <n v="778" u="1"/>
        <n v="779" u="1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  <n v="793" u="1"/>
        <n v="794" u="1"/>
        <n v="795" u="1"/>
        <n v="796" u="1"/>
        <n v="797" u="1"/>
        <n v="798" u="1"/>
        <n v="799" u="1"/>
        <n v="800" u="1"/>
        <n v="801" u="1"/>
        <n v="802" u="1"/>
        <n v="803" u="1"/>
        <n v="804" u="1"/>
        <n v="805" u="1"/>
        <n v="806" u="1"/>
        <n v="807" u="1"/>
        <n v="808" u="1"/>
        <n v="809" u="1"/>
        <n v="810" u="1"/>
        <n v="811" u="1"/>
        <n v="812" u="1"/>
        <n v="813" u="1"/>
        <n v="814" u="1"/>
        <n v="815" u="1"/>
        <n v="816" u="1"/>
        <n v="817" u="1"/>
        <n v="818" u="1"/>
        <n v="819" u="1"/>
        <n v="820" u="1"/>
        <n v="821" u="1"/>
        <n v="822" u="1"/>
        <n v="823" u="1"/>
        <n v="824" u="1"/>
        <n v="825" u="1"/>
        <n v="826" u="1"/>
        <n v="827" u="1"/>
        <n v="828" u="1"/>
        <n v="829" u="1"/>
        <n v="830" u="1"/>
        <n v="831" u="1"/>
        <n v="832" u="1"/>
        <n v="833" u="1"/>
        <n v="834" u="1"/>
        <n v="835" u="1"/>
        <n v="836" u="1"/>
        <n v="837" u="1"/>
        <n v="838" u="1"/>
        <n v="839" u="1"/>
        <n v="840" u="1"/>
        <n v="841" u="1"/>
        <n v="842" u="1"/>
        <n v="843" u="1"/>
        <n v="844" u="1"/>
        <n v="845" u="1"/>
        <n v="846" u="1"/>
        <n v="847" u="1"/>
        <n v="848" u="1"/>
        <n v="849" u="1"/>
        <n v="850" u="1"/>
        <n v="851" u="1"/>
        <n v="852" u="1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  <n v="875" u="1"/>
        <n v="876" u="1"/>
        <n v="877" u="1"/>
        <n v="878" u="1"/>
        <n v="879" u="1"/>
        <n v="880" u="1"/>
        <n v="881" u="1"/>
        <n v="882" u="1"/>
        <n v="883" u="1"/>
        <n v="884" u="1"/>
        <n v="885" u="1"/>
        <n v="886" u="1"/>
        <n v="887" u="1"/>
        <n v="888" u="1"/>
        <n v="889" u="1"/>
        <n v="890" u="1"/>
        <n v="891" u="1"/>
        <n v="892" u="1"/>
        <n v="893" u="1"/>
        <n v="894" u="1"/>
        <n v="895" u="1"/>
        <n v="896" u="1"/>
        <n v="897" u="1"/>
        <n v="898" u="1"/>
        <n v="899" u="1"/>
        <n v="900" u="1"/>
        <n v="901" u="1"/>
        <n v="902" u="1"/>
        <n v="903" u="1"/>
        <n v="904" u="1"/>
        <n v="905" u="1"/>
        <n v="906" u="1"/>
        <n v="907" u="1"/>
        <n v="908" u="1"/>
        <n v="909" u="1"/>
        <n v="910" u="1"/>
        <n v="911" u="1"/>
        <n v="912" u="1"/>
        <n v="913" u="1"/>
        <n v="914" u="1"/>
        <n v="915" u="1"/>
        <n v="916" u="1"/>
        <n v="917" u="1"/>
        <n v="918" u="1"/>
        <n v="919" u="1"/>
        <n v="920" u="1"/>
        <n v="921" u="1"/>
        <n v="922" u="1"/>
        <n v="923" u="1"/>
        <n v="924" u="1"/>
        <n v="925" u="1"/>
        <n v="926" u="1"/>
        <n v="927" u="1"/>
        <n v="928" u="1"/>
        <n v="929" u="1"/>
        <n v="930" u="1"/>
        <n v="931" u="1"/>
        <n v="932" u="1"/>
        <n v="933" u="1"/>
        <n v="934" u="1"/>
        <n v="935" u="1"/>
        <n v="936" u="1"/>
        <n v="937" u="1"/>
        <n v="938" u="1"/>
        <n v="939" u="1"/>
        <n v="940" u="1"/>
        <n v="941" u="1"/>
        <n v="942" u="1"/>
        <n v="943" u="1"/>
        <n v="944" u="1"/>
        <n v="945" u="1"/>
        <n v="946" u="1"/>
        <n v="947" u="1"/>
        <n v="948" u="1"/>
        <n v="949" u="1"/>
        <n v="950" u="1"/>
        <n v="951" u="1"/>
        <n v="952" u="1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  <n v="968" u="1"/>
        <n v="969" u="1"/>
        <n v="970" u="1"/>
        <n v="971" u="1"/>
        <n v="972" u="1"/>
        <n v="973" u="1"/>
        <n v="974" u="1"/>
        <n v="975" u="1"/>
        <n v="976" u="1"/>
        <n v="977" u="1"/>
        <n v="978" u="1"/>
        <n v="979" u="1"/>
        <n v="980" u="1"/>
        <n v="981" u="1"/>
        <n v="982" u="1"/>
        <n v="983" u="1"/>
        <n v="984" u="1"/>
        <n v="985" u="1"/>
        <n v="986" u="1"/>
        <n v="987" u="1"/>
        <n v="988" u="1"/>
        <n v="989" u="1"/>
        <n v="990" u="1"/>
        <n v="991" u="1"/>
        <n v="992" u="1"/>
        <n v="993" u="1"/>
        <n v="994" u="1"/>
        <n v="995" u="1"/>
        <n v="996" u="1"/>
        <n v="997" u="1"/>
        <n v="998" u="1"/>
        <n v="999" u="1"/>
        <n v="1000" u="1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</sharedItems>
    </cacheField>
    <cacheField name="w_m" numFmtId="1">
      <sharedItems containsSemiMixedTypes="0" containsString="0" containsNumber="1" minValue="6598.1516550332308" maxValue="26978.82791704683"/>
    </cacheField>
    <cacheField name="c_m" numFmtId="1">
      <sharedItems containsSemiMixedTypes="0" containsString="0" containsNumber="1" minValue="42.767878063954413" maxValue="31320.136901855469"/>
    </cacheField>
    <cacheField name="cf_m" numFmtId="1">
      <sharedItems containsSemiMixedTypes="0" containsString="0" containsNumber="1" minValue="-2561.291728249751" maxValue="1908.2727323770523"/>
    </cacheField>
    <cacheField name="cf_d" numFmtId="1">
      <sharedItems containsSemiMixedTypes="0" containsString="0" containsNumber="1" minValue="0" maxValue="437.69956655055285"/>
    </cacheField>
    <cacheField name="kf_m" numFmtId="1">
      <sharedItems containsSemiMixedTypes="0" containsString="0" containsNumber="1" minValue="300" maxValue="244684.20703125"/>
    </cacheField>
    <cacheField name="kf_d" numFmtId="1">
      <sharedItems containsSemiMixedTypes="0" containsString="0" containsNumber="1" minValue="0" maxValue="4.721427820622921"/>
    </cacheField>
    <cacheField name="equity" numFmtId="0">
      <sharedItems containsSemiMixedTypes="0" containsString="0" containsNumber="1" minValue="-289150" maxValue="3088.89"/>
    </cacheField>
    <cacheField name="TOTAL_M" numFmtId="1">
      <sharedItems containsSemiMixedTypes="0" containsString="0" containsNumber="1" minValue="11999.506573143299" maxValue="12438.537570043374"/>
    </cacheField>
    <cacheField name="TOTAL_D" numFmtId="1">
      <sharedItems containsSemiMixedTypes="0" containsString="0" containsNumber="1" minValue="0" maxValue="438.53273515962064"/>
    </cacheField>
    <cacheField name="M-D" numFmtId="1">
      <sharedItems containsSemiMixedTypes="0" containsString="0" containsNumber="1" minValue="11999.506573143293" maxValue="12000.477193053954"/>
    </cacheField>
    <cacheField name="kasv" numFmtId="166">
      <sharedItems containsMixedTypes="1" containsNumber="1" minValue="-7.8389352299423898E-5" maxValue="7.4092277336124113E-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n v="568513272"/>
    <s v="W_0"/>
    <n v="2.85"/>
    <n v="0.85"/>
    <n v="8.7999999999999995E-2"/>
    <n v="0.15"/>
    <n v="1"/>
    <s v="C_186"/>
    <n v="0.15"/>
  </r>
  <r>
    <x v="1"/>
    <n v="116381266"/>
    <s v="W_0"/>
    <n v="2.6194999999999999"/>
    <n v="-0.23050000000000001"/>
    <n v="8.448E-2"/>
    <n v="0.23050000000000001"/>
    <n v="0"/>
    <s v=""/>
    <n v="0.23050000000000001"/>
  </r>
  <r>
    <x v="2"/>
    <n v="561622615"/>
    <s v="W_0"/>
    <n v="2.4040499999999998"/>
    <n v="-0.21545500000000001"/>
    <n v="8.1100800000000001E-2"/>
    <n v="0.21545500000000001"/>
    <n v="0"/>
    <s v=""/>
    <n v="0.21545500000000001"/>
  </r>
  <r>
    <x v="3"/>
    <n v="580265595"/>
    <s v="W_0"/>
    <n v="2.2027399999999999"/>
    <n v="-0.20130300000000001"/>
    <n v="7.7856800000000004E-2"/>
    <n v="0.20130300000000001"/>
    <n v="0"/>
    <s v=""/>
    <n v="0.20130300000000001"/>
  </r>
  <r>
    <x v="4"/>
    <n v="92974295"/>
    <s v="W_0"/>
    <n v="2.0147499999999998"/>
    <n v="-0.18799399999999999"/>
    <n v="7.4742500000000003E-2"/>
    <n v="0.18799399999999999"/>
    <n v="0"/>
    <s v=""/>
    <n v="0.18799399999999999"/>
  </r>
  <r>
    <x v="5"/>
    <n v="844295000"/>
    <s v="W_0"/>
    <n v="1.83927"/>
    <n v="-0.17548"/>
    <n v="7.1752800000000005E-2"/>
    <n v="0.17548"/>
    <n v="0"/>
    <s v=""/>
    <n v="0.17548"/>
  </r>
  <r>
    <x v="6"/>
    <n v="461579371"/>
    <s v="W_0"/>
    <n v="1.6755500000000001"/>
    <n v="-0.163716"/>
    <n v="6.8882700000000005E-2"/>
    <n v="0.163716"/>
    <n v="0"/>
    <s v=""/>
    <n v="0.163716"/>
  </r>
  <r>
    <x v="7"/>
    <n v="924166741"/>
    <s v="W_0"/>
    <n v="1.5228900000000001"/>
    <n v="-0.15265999999999999"/>
    <n v="6.6127400000000003E-2"/>
    <n v="0.15265999999999999"/>
    <n v="0"/>
    <s v=""/>
    <n v="0.15265999999999999"/>
  </r>
  <r>
    <x v="8"/>
    <n v="656175618"/>
    <s v="W_0"/>
    <n v="1.38062"/>
    <n v="-0.14227200000000001"/>
    <n v="6.3482300000000005E-2"/>
    <n v="0.14227200000000001"/>
    <n v="0"/>
    <s v=""/>
    <n v="0.14227200000000001"/>
  </r>
  <r>
    <x v="9"/>
    <n v="290272111"/>
    <s v="W_0"/>
    <n v="1.2481100000000001"/>
    <n v="-0.13251299999999999"/>
    <n v="6.0942999999999997E-2"/>
    <n v="0.13251299999999999"/>
    <n v="0"/>
    <s v=""/>
    <n v="0.13251299999999999"/>
  </r>
  <r>
    <x v="10"/>
    <n v="3764035"/>
    <s v="W_0"/>
    <n v="1.12476"/>
    <n v="-0.123348"/>
    <n v="5.8505300000000003E-2"/>
    <n v="0.123348"/>
    <n v="0"/>
    <s v=""/>
    <n v="0.123348"/>
  </r>
  <r>
    <x v="11"/>
    <n v="121302646"/>
    <s v="W_0"/>
    <n v="1.0100199999999999"/>
    <n v="-0.114743"/>
    <n v="5.6165100000000003E-2"/>
    <n v="0.114743"/>
    <n v="0"/>
    <s v=""/>
    <n v="0.114743"/>
  </r>
  <r>
    <x v="12"/>
    <n v="238110832"/>
    <s v="W_0"/>
    <n v="0.90334899999999996"/>
    <n v="-0.106666"/>
    <n v="5.3918500000000001E-2"/>
    <n v="0.106666"/>
    <n v="0"/>
    <s v=""/>
    <n v="0.106666"/>
  </r>
  <r>
    <x v="13"/>
    <n v="961221646"/>
    <s v="W_0"/>
    <n v="0.80426299999999995"/>
    <n v="-9.9085900000000005E-2"/>
    <n v="5.1761700000000001E-2"/>
    <n v="9.9085900000000005E-2"/>
    <n v="0"/>
    <s v=""/>
    <n v="9.9085900000000005E-2"/>
  </r>
  <r>
    <x v="14"/>
    <n v="831476582"/>
    <s v="W_0"/>
    <n v="0.71228800000000003"/>
    <n v="-9.1974899999999998E-2"/>
    <n v="4.9691300000000001E-2"/>
    <n v="9.1974899999999998E-2"/>
    <n v="0"/>
    <s v=""/>
    <n v="9.1974899999999998E-2"/>
  </r>
  <r>
    <x v="15"/>
    <n v="104392272"/>
    <s v="W_0"/>
    <n v="0.62698299999999996"/>
    <n v="-8.5305699999999998E-2"/>
    <n v="4.7703599999999999E-2"/>
    <n v="8.5305699999999998E-2"/>
    <n v="0"/>
    <s v=""/>
    <n v="8.5305699999999998E-2"/>
  </r>
  <r>
    <x v="16"/>
    <n v="916001675"/>
    <s v="W_0"/>
    <n v="0.54793000000000003"/>
    <n v="-7.9052700000000004E-2"/>
    <n v="4.5795500000000003E-2"/>
    <n v="7.9052700000000004E-2"/>
    <n v="0"/>
    <s v=""/>
    <n v="7.9052700000000004E-2"/>
  </r>
  <r>
    <x v="17"/>
    <n v="936052797"/>
    <s v="W_0"/>
    <n v="0.47473799999999999"/>
    <n v="-7.3191999999999993E-2"/>
    <n v="4.3963599999999999E-2"/>
    <n v="7.3191999999999993E-2"/>
    <n v="0"/>
    <s v=""/>
    <n v="7.3191999999999993E-2"/>
  </r>
  <r>
    <x v="18"/>
    <n v="77616671"/>
    <s v="W_0"/>
    <n v="0.40703699999999998"/>
    <n v="-6.7700499999999997E-2"/>
    <n v="4.2205100000000002E-2"/>
    <n v="6.7700499999999997E-2"/>
    <n v="0"/>
    <s v=""/>
    <n v="6.7700499999999997E-2"/>
  </r>
  <r>
    <x v="19"/>
    <n v="680394204"/>
    <s v="W_0"/>
    <n v="0.34448000000000001"/>
    <n v="-6.2557000000000001E-2"/>
    <n v="4.0516900000000002E-2"/>
    <n v="6.2557000000000001E-2"/>
    <n v="0"/>
    <s v=""/>
    <n v="6.2557000000000001E-2"/>
  </r>
  <r>
    <x v="20"/>
    <n v="658983578"/>
    <s v="W_0"/>
    <n v="1.28674"/>
    <n v="0.94225910000000002"/>
    <n v="7.88962E-2"/>
    <n v="5.7740899999999998E-2"/>
    <n v="1"/>
    <s v="C_125"/>
    <n v="5.7740899999999998E-2"/>
  </r>
  <r>
    <x v="21"/>
    <n v="211060894"/>
    <s v="W_0"/>
    <n v="2.14351"/>
    <n v="0.85676700000000006"/>
    <n v="0.11574"/>
    <n v="0.143233"/>
    <n v="1"/>
    <s v="C_125"/>
    <n v="0.143233"/>
  </r>
  <r>
    <x v="22"/>
    <n v="770567819"/>
    <s v="W_0"/>
    <n v="2.9205899999999998"/>
    <n v="0.777084"/>
    <n v="0.151111"/>
    <n v="0.222916"/>
    <n v="1"/>
    <s v="C_125"/>
    <n v="0.222916"/>
  </r>
  <r>
    <x v="23"/>
    <n v="501229029"/>
    <s v="W_0"/>
    <n v="3.6234500000000001"/>
    <n v="0.70286000000000004"/>
    <n v="0.18506600000000001"/>
    <n v="0.29714000000000002"/>
    <n v="1"/>
    <s v="C_125"/>
    <n v="0.29714000000000002"/>
  </r>
  <r>
    <x v="24"/>
    <n v="276334154"/>
    <s v="W_0"/>
    <n v="4.2572099999999997"/>
    <n v="0.63376100000000002"/>
    <n v="0.217664"/>
    <n v="0.36623899999999998"/>
    <n v="1"/>
    <s v="C_125"/>
    <n v="0.36623899999999998"/>
  </r>
  <r>
    <x v="25"/>
    <n v="502571959"/>
    <s v="W_0"/>
    <n v="4.8266900000000001"/>
    <n v="0.56947599999999998"/>
    <n v="0.24895700000000001"/>
    <n v="0.43052400000000002"/>
    <n v="1"/>
    <s v="C_125"/>
    <n v="0.43052400000000002"/>
  </r>
  <r>
    <x v="26"/>
    <n v="131486380"/>
    <s v="W_0"/>
    <n v="5.3364000000000003"/>
    <n v="0.50970899999999997"/>
    <n v="0.278999"/>
    <n v="0.49029099999999998"/>
    <n v="1"/>
    <s v="C_125"/>
    <n v="0.49029099999999998"/>
  </r>
  <r>
    <x v="27"/>
    <n v="811259257"/>
    <s v="W_0"/>
    <n v="5.7905800000000003"/>
    <n v="0.45418099999999995"/>
    <n v="0.30783899999999997"/>
    <n v="0.54581900000000005"/>
    <n v="1"/>
    <s v="C_125"/>
    <n v="0.54581900000000005"/>
  </r>
  <r>
    <x v="28"/>
    <n v="802722953"/>
    <s v="W_0"/>
    <n v="6.1932099999999997"/>
    <n v="0.40263199999999999"/>
    <n v="0.33552500000000002"/>
    <n v="0.59736800000000001"/>
    <n v="1"/>
    <s v="C_125"/>
    <n v="0.59736800000000001"/>
  </r>
  <r>
    <x v="29"/>
    <n v="61986554"/>
    <s v="W_0"/>
    <n v="6.5480200000000002"/>
    <n v="0.35481399999999996"/>
    <n v="0.36210399999999998"/>
    <n v="0.64518600000000004"/>
    <n v="1"/>
    <s v="C_125"/>
    <n v="0.64518600000000004"/>
  </r>
  <r>
    <x v="30"/>
    <n v="238863426"/>
    <s v="W_0"/>
    <n v="6.8585200000000004"/>
    <n v="0.31049400000000005"/>
    <n v="0.38762000000000002"/>
    <n v="0.68950599999999995"/>
    <n v="1"/>
    <s v="C_125"/>
    <n v="0.68950599999999995"/>
  </r>
  <r>
    <x v="31"/>
    <n v="56500805"/>
    <s v="W_0"/>
    <n v="7.1279700000000004"/>
    <n v="0.26945399999999997"/>
    <n v="0.41211500000000001"/>
    <n v="0.73054600000000003"/>
    <n v="1"/>
    <s v="C_125"/>
    <n v="0.73054600000000003"/>
  </r>
  <r>
    <x v="32"/>
    <n v="578502809"/>
    <s v="W_0"/>
    <n v="8.1279699999999995"/>
    <n v="1"/>
    <n v="0.43563099999999999"/>
    <n v="0"/>
    <n v="1"/>
    <s v="C_125"/>
    <n v="0.76851400000000003"/>
  </r>
  <r>
    <x v="33"/>
    <n v="798280695"/>
    <s v="W_0"/>
    <n v="8.2859400000000001"/>
    <n v="0.15797099999999997"/>
    <n v="0.45820499999999997"/>
    <n v="0.84202900000000003"/>
    <n v="1"/>
    <s v="C_125"/>
    <n v="0.84202900000000003"/>
  </r>
  <r>
    <x v="34"/>
    <n v="963350314"/>
    <s v="W_0"/>
    <n v="8.4134399999999996"/>
    <n v="0.12749699999999997"/>
    <n v="0.479877"/>
    <n v="0.87250300000000003"/>
    <n v="1"/>
    <s v="C_125"/>
    <n v="0.87250300000000003"/>
  </r>
  <r>
    <x v="35"/>
    <n v="519322908"/>
    <s v="W_0"/>
    <n v="7.5128899999999996"/>
    <n v="-0.90054900000000004"/>
    <n v="0.46068199999999998"/>
    <n v="0.90054900000000004"/>
    <n v="0"/>
    <s v=""/>
    <n v="0.90054900000000004"/>
  </r>
  <r>
    <x v="36"/>
    <n v="26405910"/>
    <s v="W_0"/>
    <n v="7.5128899999999996"/>
    <n v="0"/>
    <n v="0.44225500000000001"/>
    <n v="0"/>
    <n v="0"/>
    <s v=""/>
    <n v="0.83632700000000004"/>
  </r>
  <r>
    <x v="37"/>
    <n v="789979588"/>
    <s v="W_0"/>
    <n v="6.6949899999999998"/>
    <n v="-0.81789900000000004"/>
    <n v="0.42456500000000003"/>
    <n v="0.81789900000000004"/>
    <n v="0"/>
    <s v=""/>
    <n v="0.81789900000000004"/>
  </r>
  <r>
    <x v="38"/>
    <n v="258068337"/>
    <s v="W_0"/>
    <n v="5.9356799999999996"/>
    <n v="-0.75931400000000004"/>
    <n v="0.407582"/>
    <n v="0.75931400000000004"/>
    <n v="0"/>
    <s v=""/>
    <n v="0.75931400000000004"/>
  </r>
  <r>
    <x v="39"/>
    <n v="882293954"/>
    <s v="W_0"/>
    <n v="5.2313099999999997"/>
    <n v="-0.70436600000000005"/>
    <n v="0.39127899999999999"/>
    <n v="0.70436600000000005"/>
    <n v="0"/>
    <s v=""/>
    <n v="0.70436600000000005"/>
  </r>
  <r>
    <x v="40"/>
    <n v="696091386"/>
    <s v="W_0"/>
    <n v="4.5784700000000003"/>
    <n v="-0.65284399999999998"/>
    <n v="0.37562800000000002"/>
    <n v="0.65284399999999998"/>
    <n v="0"/>
    <s v=""/>
    <n v="0.65284399999999998"/>
  </r>
  <r>
    <x v="41"/>
    <n v="139397762"/>
    <s v="W_0"/>
    <n v="4.5784700000000003"/>
    <n v="0"/>
    <n v="0.36060300000000001"/>
    <n v="0"/>
    <n v="0"/>
    <s v=""/>
    <n v="0.60455099999999995"/>
  </r>
  <r>
    <x v="42"/>
    <n v="404803651"/>
    <s v="W_0"/>
    <n v="3.9889399999999999"/>
    <n v="-0.58952599999999999"/>
    <n v="0.34617799999999999"/>
    <n v="0.58952599999999999"/>
    <n v="0"/>
    <s v=""/>
    <n v="0.58952599999999999"/>
  </r>
  <r>
    <x v="43"/>
    <n v="711004912"/>
    <s v="W_0"/>
    <n v="3.9889399999999999"/>
    <n v="0"/>
    <n v="0.33233099999999999"/>
    <n v="0"/>
    <n v="0"/>
    <s v=""/>
    <n v="0.54562600000000006"/>
  </r>
  <r>
    <x v="44"/>
    <n v="213932851"/>
    <s v="W_0"/>
    <n v="3.45716"/>
    <n v="-0.53177799999999997"/>
    <n v="0.31903799999999999"/>
    <n v="0.53177799999999997"/>
    <n v="0"/>
    <s v=""/>
    <n v="0.53177799999999997"/>
  </r>
  <r>
    <x v="45"/>
    <n v="124159291"/>
    <s v="W_0"/>
    <n v="2.9652699999999999"/>
    <n v="-0.491896"/>
    <n v="0.30627700000000002"/>
    <n v="0.491896"/>
    <n v="0"/>
    <s v=""/>
    <n v="0.491896"/>
  </r>
  <r>
    <x v="46"/>
    <n v="579575343"/>
    <s v="W_0"/>
    <n v="2.5107300000000001"/>
    <n v="-0.45454"/>
    <n v="0.29402499999999998"/>
    <n v="0.45454"/>
    <n v="0"/>
    <s v=""/>
    <n v="0.45454"/>
  </r>
  <r>
    <x v="47"/>
    <n v="116845730"/>
    <s v="W_0"/>
    <n v="2.0911599999999999"/>
    <n v="-0.41956199999999999"/>
    <n v="0.28226400000000001"/>
    <n v="0.41956199999999999"/>
    <n v="0"/>
    <s v=""/>
    <n v="0.41956199999999999"/>
  </r>
  <r>
    <x v="48"/>
    <n v="524959716"/>
    <s v="W_0"/>
    <n v="1.70434"/>
    <n v="-0.38682299999999997"/>
    <n v="0.27097399999999999"/>
    <n v="0.38682299999999997"/>
    <n v="0"/>
    <s v=""/>
    <n v="0.38682299999999997"/>
  </r>
  <r>
    <x v="49"/>
    <n v="757509101"/>
    <s v="W_0"/>
    <n v="1.34815"/>
    <n v="-0.35619099999999998"/>
    <n v="0.26013500000000001"/>
    <n v="0.35619099999999998"/>
    <n v="0"/>
    <s v=""/>
    <n v="0.35619099999999998"/>
  </r>
  <r>
    <x v="50"/>
    <n v="752074527"/>
    <s v="W_0"/>
    <n v="1.02061"/>
    <n v="-0.327542"/>
    <n v="0.24973000000000001"/>
    <n v="0.327542"/>
    <n v="0"/>
    <s v=""/>
    <n v="0.327542"/>
  </r>
  <r>
    <x v="51"/>
    <n v="731272528"/>
    <s v="W_0"/>
    <n v="0.71984899999999996"/>
    <n v="-0.30076000000000003"/>
    <n v="0.23974000000000001"/>
    <n v="0.30076000000000003"/>
    <n v="0"/>
    <s v=""/>
    <n v="0.30076000000000003"/>
  </r>
  <r>
    <x v="52"/>
    <n v="936623480"/>
    <s v="W_0"/>
    <n v="0.44411600000000001"/>
    <n v="-0.27573300000000001"/>
    <n v="0.23015099999999999"/>
    <n v="0.27573300000000001"/>
    <n v="0"/>
    <s v=""/>
    <n v="0.27573300000000001"/>
  </r>
  <r>
    <x v="53"/>
    <n v="695622944"/>
    <s v="W_0"/>
    <n v="0.19175900000000001"/>
    <n v="-0.252357"/>
    <n v="0.220945"/>
    <n v="0.252357"/>
    <n v="0"/>
    <s v=""/>
    <n v="0.252357"/>
  </r>
  <r>
    <x v="54"/>
    <n v="820378914"/>
    <s v="W_0"/>
    <n v="0"/>
    <n v="-0.19175900000000001"/>
    <n v="0.21210699999999999"/>
    <n v="0.19175900000000001"/>
    <n v="0"/>
    <s v=""/>
    <n v="0.19175900000000001"/>
  </r>
  <r>
    <x v="55"/>
    <n v="49883617"/>
    <s v="W_0"/>
    <n v="0"/>
    <n v="0"/>
    <n v="0.203623"/>
    <n v="0"/>
    <n v="0"/>
    <s v=""/>
    <n v="0"/>
  </r>
  <r>
    <x v="56"/>
    <n v="327204046"/>
    <s v="W_0"/>
    <n v="0"/>
    <n v="0"/>
    <n v="0.19547800000000001"/>
    <n v="0"/>
    <n v="0"/>
    <s v=""/>
    <n v="0"/>
  </r>
  <r>
    <x v="57"/>
    <n v="737990378"/>
    <s v="W_0"/>
    <n v="0"/>
    <n v="0"/>
    <n v="0.18765899999999999"/>
    <n v="0"/>
    <n v="0"/>
    <s v=""/>
    <n v="0"/>
  </r>
  <r>
    <x v="58"/>
    <n v="605582596"/>
    <s v="W_0"/>
    <n v="0"/>
    <n v="0"/>
    <n v="0.18015200000000001"/>
    <n v="0"/>
    <n v="0"/>
    <s v=""/>
    <n v="0"/>
  </r>
  <r>
    <x v="59"/>
    <n v="577084075"/>
    <s v="W_0"/>
    <n v="0"/>
    <n v="0"/>
    <n v="0.17294599999999999"/>
    <n v="0"/>
    <n v="0"/>
    <s v=""/>
    <n v="0"/>
  </r>
  <r>
    <x v="60"/>
    <n v="578649092"/>
    <s v="W_0"/>
    <n v="0"/>
    <n v="0"/>
    <n v="0.16602800000000001"/>
    <n v="0"/>
    <n v="0"/>
    <s v=""/>
    <n v="0"/>
  </r>
  <r>
    <x v="61"/>
    <n v="454409803"/>
    <s v="W_0"/>
    <n v="0"/>
    <n v="0"/>
    <n v="0.159387"/>
    <n v="0"/>
    <n v="0"/>
    <s v=""/>
    <n v="0"/>
  </r>
  <r>
    <x v="62"/>
    <n v="9834243"/>
    <s v="W_0"/>
    <n v="0"/>
    <n v="0"/>
    <n v="0.15301200000000001"/>
    <n v="0"/>
    <n v="0"/>
    <s v=""/>
    <n v="0"/>
  </r>
  <r>
    <x v="63"/>
    <n v="481639408"/>
    <s v="W_0"/>
    <n v="0"/>
    <n v="0"/>
    <n v="0.14689099999999999"/>
    <n v="0"/>
    <n v="0"/>
    <s v=""/>
    <n v="0"/>
  </r>
  <r>
    <x v="64"/>
    <n v="64469925"/>
    <s v="W_0"/>
    <n v="0"/>
    <n v="0"/>
    <n v="0.141016"/>
    <n v="0"/>
    <n v="0"/>
    <s v=""/>
    <n v="0"/>
  </r>
  <r>
    <x v="65"/>
    <n v="576255941"/>
    <s v="W_0"/>
    <n v="0"/>
    <n v="0"/>
    <n v="0.135375"/>
    <n v="0"/>
    <n v="0"/>
    <s v=""/>
    <n v="0"/>
  </r>
  <r>
    <x v="66"/>
    <n v="97464052"/>
    <s v="W_0"/>
    <n v="0"/>
    <n v="0"/>
    <n v="0.12995999999999999"/>
    <n v="0"/>
    <n v="0"/>
    <s v=""/>
    <n v="0"/>
  </r>
  <r>
    <x v="67"/>
    <n v="838240484"/>
    <s v="W_0"/>
    <n v="0"/>
    <n v="0"/>
    <n v="0.124762"/>
    <n v="0"/>
    <n v="0"/>
    <s v=""/>
    <n v="0"/>
  </r>
  <r>
    <x v="68"/>
    <n v="802090407"/>
    <s v="W_0"/>
    <n v="0"/>
    <n v="0"/>
    <n v="0.119771"/>
    <n v="0"/>
    <n v="0"/>
    <s v=""/>
    <n v="0"/>
  </r>
  <r>
    <x v="69"/>
    <n v="432857668"/>
    <s v="W_0"/>
    <n v="0"/>
    <n v="0"/>
    <n v="0.11498"/>
    <n v="0"/>
    <n v="0"/>
    <s v=""/>
    <n v="0"/>
  </r>
  <r>
    <x v="70"/>
    <n v="862982991"/>
    <s v="W_0"/>
    <n v="0"/>
    <n v="0"/>
    <n v="0.11038100000000001"/>
    <n v="0"/>
    <n v="0"/>
    <s v=""/>
    <n v="0"/>
  </r>
  <r>
    <x v="71"/>
    <n v="506005329"/>
    <s v="W_0"/>
    <n v="0"/>
    <n v="0"/>
    <n v="0.105966"/>
    <n v="0"/>
    <n v="0"/>
    <s v=""/>
    <n v="0"/>
  </r>
  <r>
    <x v="72"/>
    <n v="506080158"/>
    <s v="W_0"/>
    <n v="0"/>
    <n v="0"/>
    <n v="0.101727"/>
    <n v="0"/>
    <n v="0"/>
    <s v=""/>
    <n v="0"/>
  </r>
  <r>
    <x v="73"/>
    <n v="837796974"/>
    <s v="W_0"/>
    <n v="0"/>
    <n v="0"/>
    <n v="9.7658099999999998E-2"/>
    <n v="0"/>
    <n v="0"/>
    <s v=""/>
    <n v="0"/>
  </r>
  <r>
    <x v="74"/>
    <n v="300223173"/>
    <s v="W_0"/>
    <n v="0"/>
    <n v="0"/>
    <n v="9.3751799999999996E-2"/>
    <n v="0"/>
    <n v="0"/>
    <s v=""/>
    <n v="0"/>
  </r>
  <r>
    <x v="75"/>
    <n v="766130737"/>
    <s v="W_0"/>
    <n v="0"/>
    <n v="0"/>
    <n v="9.0001700000000004E-2"/>
    <n v="0"/>
    <n v="0"/>
    <s v=""/>
    <n v="0"/>
  </r>
  <r>
    <x v="76"/>
    <n v="490787890"/>
    <s v="W_0"/>
    <n v="0"/>
    <n v="0"/>
    <n v="8.6401599999999995E-2"/>
    <n v="0"/>
    <n v="0"/>
    <s v=""/>
    <n v="0"/>
  </r>
  <r>
    <x v="77"/>
    <n v="186812278"/>
    <s v="W_0"/>
    <n v="0"/>
    <n v="0"/>
    <n v="8.2945599999999994E-2"/>
    <n v="0"/>
    <n v="0"/>
    <s v=""/>
    <n v="0"/>
  </r>
  <r>
    <x v="78"/>
    <n v="702691503"/>
    <s v="W_0"/>
    <n v="0"/>
    <n v="0"/>
    <n v="7.9627799999999999E-2"/>
    <n v="0"/>
    <n v="0"/>
    <s v=""/>
    <n v="0"/>
  </r>
  <r>
    <x v="79"/>
    <n v="302667780"/>
    <s v="W_0"/>
    <n v="0"/>
    <n v="0"/>
    <n v="7.6442599999999999E-2"/>
    <n v="0"/>
    <n v="0"/>
    <s v=""/>
    <n v="0"/>
  </r>
  <r>
    <x v="80"/>
    <n v="91319182"/>
    <s v="W_0"/>
    <n v="0"/>
    <n v="0"/>
    <n v="7.3384900000000003E-2"/>
    <n v="0"/>
    <n v="0"/>
    <s v=""/>
    <n v="0"/>
  </r>
  <r>
    <x v="81"/>
    <n v="402367222"/>
    <s v="W_0"/>
    <n v="0"/>
    <n v="0"/>
    <n v="7.0449499999999998E-2"/>
    <n v="0"/>
    <n v="0"/>
    <s v=""/>
    <n v="0"/>
  </r>
  <r>
    <x v="82"/>
    <n v="79197749"/>
    <s v="W_0"/>
    <n v="0"/>
    <n v="0"/>
    <n v="6.76316E-2"/>
    <n v="0"/>
    <n v="0"/>
    <s v=""/>
    <n v="0"/>
  </r>
  <r>
    <x v="83"/>
    <n v="704068245"/>
    <s v="W_0"/>
    <n v="0"/>
    <n v="0"/>
    <n v="6.4926300000000006E-2"/>
    <n v="0"/>
    <n v="0"/>
    <s v=""/>
    <n v="0"/>
  </r>
  <r>
    <x v="84"/>
    <n v="422263071"/>
    <s v="W_0"/>
    <n v="0"/>
    <n v="0"/>
    <n v="6.2329200000000001E-2"/>
    <n v="0"/>
    <n v="0"/>
    <s v=""/>
    <n v="0"/>
  </r>
  <r>
    <x v="85"/>
    <n v="459418317"/>
    <s v="W_0"/>
    <n v="0"/>
    <n v="0"/>
    <n v="5.9836100000000003E-2"/>
    <n v="0"/>
    <n v="0"/>
    <s v=""/>
    <n v="0"/>
  </r>
  <r>
    <x v="86"/>
    <n v="341241262"/>
    <s v="W_0"/>
    <n v="0"/>
    <n v="0"/>
    <n v="5.7442600000000003E-2"/>
    <n v="0"/>
    <n v="0"/>
    <s v=""/>
    <n v="0"/>
  </r>
  <r>
    <x v="87"/>
    <n v="962936925"/>
    <s v="W_0"/>
    <n v="0"/>
    <n v="0"/>
    <n v="5.5144899999999997E-2"/>
    <n v="0"/>
    <n v="0"/>
    <s v=""/>
    <n v="0"/>
  </r>
  <r>
    <x v="88"/>
    <n v="870353475"/>
    <s v="W_0"/>
    <n v="0"/>
    <n v="0"/>
    <n v="5.2939100000000003E-2"/>
    <n v="0"/>
    <n v="0"/>
    <s v=""/>
    <n v="0"/>
  </r>
  <r>
    <x v="89"/>
    <n v="445570690"/>
    <s v="W_0"/>
    <n v="0"/>
    <n v="0"/>
    <n v="5.0821600000000001E-2"/>
    <n v="0"/>
    <n v="0"/>
    <s v=""/>
    <n v="0"/>
  </r>
  <r>
    <x v="90"/>
    <n v="125574090"/>
    <s v="W_0"/>
    <n v="0"/>
    <n v="0"/>
    <n v="4.8788699999999997E-2"/>
    <n v="0"/>
    <n v="0"/>
    <s v=""/>
    <n v="0"/>
  </r>
  <r>
    <x v="91"/>
    <n v="62447300"/>
    <s v="W_0"/>
    <n v="0"/>
    <n v="0"/>
    <n v="4.6837200000000002E-2"/>
    <n v="0"/>
    <n v="0"/>
    <s v=""/>
    <n v="0"/>
  </r>
  <r>
    <x v="92"/>
    <n v="861976170"/>
    <s v="W_0"/>
    <n v="0"/>
    <n v="0"/>
    <n v="4.4963700000000002E-2"/>
    <n v="0"/>
    <n v="0"/>
    <s v=""/>
    <n v="0"/>
  </r>
  <r>
    <x v="93"/>
    <n v="130599393"/>
    <s v="W_0"/>
    <n v="0"/>
    <n v="0"/>
    <n v="4.3165099999999998E-2"/>
    <n v="0"/>
    <n v="0"/>
    <s v=""/>
    <n v="0"/>
  </r>
  <r>
    <x v="94"/>
    <n v="606449881"/>
    <s v="W_0"/>
    <n v="0"/>
    <n v="0"/>
    <n v="4.1438500000000003E-2"/>
    <n v="0"/>
    <n v="0"/>
    <s v=""/>
    <n v="0"/>
  </r>
  <r>
    <x v="95"/>
    <n v="933213130"/>
    <s v="W_0"/>
    <n v="0"/>
    <n v="0"/>
    <n v="3.9780999999999997E-2"/>
    <n v="0"/>
    <n v="0"/>
    <s v=""/>
    <n v="0"/>
  </r>
  <r>
    <x v="96"/>
    <n v="841486551"/>
    <s v="W_0"/>
    <n v="0"/>
    <n v="0"/>
    <n v="3.81897E-2"/>
    <n v="0"/>
    <n v="0"/>
    <s v=""/>
    <n v="0"/>
  </r>
  <r>
    <x v="97"/>
    <n v="15594369"/>
    <s v="W_0"/>
    <n v="0"/>
    <n v="0"/>
    <n v="3.6662100000000003E-2"/>
    <n v="0"/>
    <n v="0"/>
    <s v=""/>
    <n v="0"/>
  </r>
  <r>
    <x v="98"/>
    <n v="768189608"/>
    <s v="W_0"/>
    <n v="0"/>
    <n v="0"/>
    <n v="3.5195700000000003E-2"/>
    <n v="0"/>
    <n v="0"/>
    <s v=""/>
    <n v="0"/>
  </r>
  <r>
    <x v="99"/>
    <n v="911298003"/>
    <s v="W_0"/>
    <n v="0"/>
    <n v="0"/>
    <n v="3.37878E-2"/>
    <n v="0"/>
    <n v="0"/>
    <s v=""/>
    <n v="0"/>
  </r>
  <r>
    <x v="100"/>
    <n v="637640609"/>
    <s v="W_0"/>
    <n v="0"/>
    <n v="0"/>
    <n v="3.2436300000000001E-2"/>
    <n v="0"/>
    <n v="0"/>
    <s v=""/>
    <n v="0"/>
  </r>
  <r>
    <x v="101"/>
    <n v="742098497"/>
    <s v="W_0"/>
    <n v="0"/>
    <n v="0"/>
    <n v="3.1138900000000001E-2"/>
    <n v="0"/>
    <n v="0"/>
    <s v=""/>
    <n v="0"/>
  </r>
  <r>
    <x v="102"/>
    <n v="874457708"/>
    <s v="W_0"/>
    <n v="0"/>
    <n v="0"/>
    <n v="2.9893300000000001E-2"/>
    <n v="0"/>
    <n v="0"/>
    <s v=""/>
    <n v="0"/>
  </r>
  <r>
    <x v="103"/>
    <n v="80630140"/>
    <s v="W_0"/>
    <n v="0"/>
    <n v="0"/>
    <n v="2.86976E-2"/>
    <n v="0"/>
    <n v="0"/>
    <s v=""/>
    <n v="0"/>
  </r>
  <r>
    <x v="104"/>
    <n v="682691133"/>
    <s v="W_0"/>
    <n v="0"/>
    <n v="0"/>
    <n v="2.75497E-2"/>
    <n v="0"/>
    <n v="0"/>
    <s v=""/>
    <n v="0"/>
  </r>
  <r>
    <x v="105"/>
    <n v="427865688"/>
    <s v="W_0"/>
    <n v="0"/>
    <n v="0"/>
    <n v="2.6447700000000001E-2"/>
    <n v="0"/>
    <n v="0"/>
    <s v=""/>
    <n v="0"/>
  </r>
  <r>
    <x v="106"/>
    <n v="166444688"/>
    <s v="W_0"/>
    <n v="0"/>
    <n v="0"/>
    <n v="2.5389800000000001E-2"/>
    <n v="0"/>
    <n v="0"/>
    <s v=""/>
    <n v="0"/>
  </r>
  <r>
    <x v="107"/>
    <n v="153095289"/>
    <s v="W_0"/>
    <n v="0"/>
    <n v="0"/>
    <n v="2.4374199999999999E-2"/>
    <n v="0"/>
    <n v="0"/>
    <s v=""/>
    <n v="0"/>
  </r>
  <r>
    <x v="108"/>
    <n v="501975820"/>
    <s v="W_0"/>
    <n v="0"/>
    <n v="0"/>
    <n v="2.3399199999999998E-2"/>
    <n v="0"/>
    <n v="0"/>
    <s v=""/>
    <n v="0"/>
  </r>
  <r>
    <x v="109"/>
    <n v="17106968"/>
    <s v="W_0"/>
    <n v="0"/>
    <n v="0"/>
    <n v="2.2463299999999999E-2"/>
    <n v="0"/>
    <n v="0"/>
    <s v=""/>
    <n v="0"/>
  </r>
  <r>
    <x v="110"/>
    <n v="593269862"/>
    <s v="W_0"/>
    <n v="0"/>
    <n v="0"/>
    <n v="2.1564699999999999E-2"/>
    <n v="0"/>
    <n v="0"/>
    <s v=""/>
    <n v="0"/>
  </r>
  <r>
    <x v="111"/>
    <n v="992393856"/>
    <s v="W_0"/>
    <n v="0"/>
    <n v="0"/>
    <n v="2.0702100000000001E-2"/>
    <n v="0"/>
    <n v="0"/>
    <s v=""/>
    <n v="0"/>
  </r>
  <r>
    <x v="112"/>
    <n v="816240382"/>
    <s v="W_0"/>
    <n v="0"/>
    <n v="0"/>
    <n v="1.9873999999999999E-2"/>
    <n v="0"/>
    <n v="0"/>
    <s v=""/>
    <n v="0"/>
  </r>
  <r>
    <x v="113"/>
    <n v="91888968"/>
    <s v="W_0"/>
    <n v="0"/>
    <n v="0"/>
    <n v="1.9079100000000002E-2"/>
    <n v="0"/>
    <n v="0"/>
    <s v=""/>
    <n v="0"/>
  </r>
  <r>
    <x v="114"/>
    <n v="471092618"/>
    <s v="W_0"/>
    <n v="0"/>
    <n v="0"/>
    <n v="1.83159E-2"/>
    <n v="0"/>
    <n v="0"/>
    <s v=""/>
    <n v="0"/>
  </r>
  <r>
    <x v="115"/>
    <n v="317043351"/>
    <s v="W_0"/>
    <n v="0"/>
    <n v="0"/>
    <n v="1.75833E-2"/>
    <n v="0"/>
    <n v="0"/>
    <s v=""/>
    <n v="0"/>
  </r>
  <r>
    <x v="116"/>
    <n v="805962990"/>
    <s v="W_0"/>
    <n v="0"/>
    <n v="0"/>
    <n v="1.6879999999999999E-2"/>
    <n v="0"/>
    <n v="0"/>
    <s v=""/>
    <n v="0"/>
  </r>
  <r>
    <x v="117"/>
    <n v="920954217"/>
    <s v="W_0"/>
    <n v="0"/>
    <n v="0"/>
    <n v="1.6204799999999998E-2"/>
    <n v="0"/>
    <n v="0"/>
    <s v=""/>
    <n v="0"/>
  </r>
  <r>
    <x v="118"/>
    <n v="856769218"/>
    <s v="W_0"/>
    <n v="0"/>
    <n v="0"/>
    <n v="1.55566E-2"/>
    <n v="0"/>
    <n v="0"/>
    <s v=""/>
    <n v="0"/>
  </r>
  <r>
    <x v="119"/>
    <n v="796631172"/>
    <s v="W_0"/>
    <n v="0"/>
    <n v="0"/>
    <n v="1.4934299999999999E-2"/>
    <n v="0"/>
    <n v="0"/>
    <s v=""/>
    <n v="0"/>
  </r>
  <r>
    <x v="120"/>
    <n v="714076111"/>
    <s v="W_0"/>
    <n v="0"/>
    <n v="0"/>
    <n v="1.43369E-2"/>
    <n v="0"/>
    <n v="0"/>
    <s v=""/>
    <n v="0"/>
  </r>
  <r>
    <x v="121"/>
    <n v="97631309"/>
    <s v="W_0"/>
    <n v="0"/>
    <n v="0"/>
    <n v="1.37635E-2"/>
    <n v="0"/>
    <n v="0"/>
    <s v=""/>
    <n v="0"/>
  </r>
  <r>
    <x v="122"/>
    <n v="450675632"/>
    <s v="W_0"/>
    <n v="0"/>
    <n v="0"/>
    <n v="1.32129E-2"/>
    <n v="0"/>
    <n v="0"/>
    <s v=""/>
    <n v="0"/>
  </r>
  <r>
    <x v="123"/>
    <n v="200322327"/>
    <s v="W_0"/>
    <n v="0"/>
    <n v="0"/>
    <n v="1.26844E-2"/>
    <n v="0"/>
    <n v="0"/>
    <s v=""/>
    <n v="0"/>
  </r>
  <r>
    <x v="124"/>
    <n v="139257017"/>
    <s v="W_0"/>
    <n v="0"/>
    <n v="0"/>
    <n v="1.2177E-2"/>
    <n v="0"/>
    <n v="0"/>
    <s v=""/>
    <n v="0"/>
  </r>
  <r>
    <x v="125"/>
    <n v="707597789"/>
    <s v="W_0"/>
    <n v="0"/>
    <n v="0"/>
    <n v="1.16899E-2"/>
    <n v="0"/>
    <n v="0"/>
    <s v=""/>
    <n v="0"/>
  </r>
  <r>
    <x v="126"/>
    <n v="698675811"/>
    <s v="W_0"/>
    <n v="0"/>
    <n v="0"/>
    <n v="1.1222299999999999E-2"/>
    <n v="0"/>
    <n v="0"/>
    <s v=""/>
    <n v="0"/>
  </r>
  <r>
    <x v="127"/>
    <n v="889808781"/>
    <s v="W_0"/>
    <n v="0"/>
    <n v="0"/>
    <n v="1.07735E-2"/>
    <n v="0"/>
    <n v="0"/>
    <s v=""/>
    <n v="0"/>
  </r>
  <r>
    <x v="128"/>
    <n v="166225787"/>
    <s v="W_0"/>
    <n v="0"/>
    <n v="0"/>
    <n v="1.0342499999999999E-2"/>
    <n v="0"/>
    <n v="0"/>
    <s v=""/>
    <n v="0"/>
  </r>
  <r>
    <x v="129"/>
    <n v="79692009"/>
    <s v="W_0"/>
    <n v="0"/>
    <n v="0"/>
    <n v="9.9288099999999997E-3"/>
    <n v="0"/>
    <n v="0"/>
    <s v=""/>
    <n v="0"/>
  </r>
  <r>
    <x v="130"/>
    <n v="700289104"/>
    <s v="W_0"/>
    <n v="0"/>
    <n v="0"/>
    <n v="9.5316600000000008E-3"/>
    <n v="0"/>
    <n v="0"/>
    <s v=""/>
    <n v="0"/>
  </r>
  <r>
    <x v="131"/>
    <n v="786519094"/>
    <s v="W_0"/>
    <n v="0"/>
    <n v="0"/>
    <n v="9.1503899999999996E-3"/>
    <n v="0"/>
    <n v="0"/>
    <s v=""/>
    <n v="0"/>
  </r>
  <r>
    <x v="132"/>
    <n v="817579004"/>
    <s v="W_0"/>
    <n v="0"/>
    <n v="0"/>
    <n v="8.7843799999999996E-3"/>
    <n v="0"/>
    <n v="0"/>
    <s v=""/>
    <n v="0"/>
  </r>
  <r>
    <x v="133"/>
    <n v="862707412"/>
    <s v="W_0"/>
    <n v="0"/>
    <n v="0"/>
    <n v="8.4329999999999995E-3"/>
    <n v="0"/>
    <n v="0"/>
    <s v=""/>
    <n v="0"/>
  </r>
  <r>
    <x v="134"/>
    <n v="608022599"/>
    <s v="W_0"/>
    <n v="0"/>
    <n v="0"/>
    <n v="8.0956799999999992E-3"/>
    <n v="0"/>
    <n v="0"/>
    <s v=""/>
    <n v="0"/>
  </r>
  <r>
    <x v="135"/>
    <n v="183592588"/>
    <s v="W_0"/>
    <n v="0"/>
    <n v="0"/>
    <n v="7.7718600000000002E-3"/>
    <n v="0"/>
    <n v="0"/>
    <s v=""/>
    <n v="0"/>
  </r>
  <r>
    <x v="136"/>
    <n v="624743927"/>
    <s v="W_0"/>
    <n v="0"/>
    <n v="0"/>
    <n v="7.4609799999999999E-3"/>
    <n v="0"/>
    <n v="0"/>
    <s v=""/>
    <n v="0"/>
  </r>
  <r>
    <x v="137"/>
    <n v="290088913"/>
    <s v="W_0"/>
    <n v="0"/>
    <n v="0"/>
    <n v="7.1625400000000002E-3"/>
    <n v="0"/>
    <n v="0"/>
    <s v=""/>
    <n v="0"/>
  </r>
  <r>
    <x v="138"/>
    <n v="130908304"/>
    <s v="W_0"/>
    <n v="0"/>
    <n v="0"/>
    <n v="6.8760399999999999E-3"/>
    <n v="0"/>
    <n v="0"/>
    <s v=""/>
    <n v="0"/>
  </r>
  <r>
    <x v="139"/>
    <n v="196763317"/>
    <s v="W_0"/>
    <n v="0"/>
    <n v="0"/>
    <n v="6.6010000000000001E-3"/>
    <n v="0"/>
    <n v="0"/>
    <s v=""/>
    <n v="0"/>
  </r>
  <r>
    <x v="140"/>
    <n v="384506102"/>
    <s v="W_0"/>
    <n v="0"/>
    <n v="0"/>
    <n v="6.33696E-3"/>
    <n v="0"/>
    <n v="0"/>
    <s v=""/>
    <n v="0"/>
  </r>
  <r>
    <x v="141"/>
    <n v="249204111"/>
    <s v="W_0"/>
    <n v="0"/>
    <n v="0"/>
    <n v="6.0834799999999996E-3"/>
    <n v="0"/>
    <n v="0"/>
    <s v=""/>
    <n v="0"/>
  </r>
  <r>
    <x v="142"/>
    <n v="382602851"/>
    <s v="W_0"/>
    <n v="0"/>
    <n v="0"/>
    <n v="5.8401399999999997E-3"/>
    <n v="0"/>
    <n v="0"/>
    <s v=""/>
    <n v="0"/>
  </r>
  <r>
    <x v="143"/>
    <n v="216083730"/>
    <s v="W_0"/>
    <n v="0"/>
    <n v="0"/>
    <n v="5.6065400000000001E-3"/>
    <n v="0"/>
    <n v="0"/>
    <s v=""/>
    <n v="0"/>
  </r>
  <r>
    <x v="144"/>
    <n v="968375681"/>
    <s v="W_0"/>
    <n v="0"/>
    <n v="0"/>
    <n v="5.3822699999999998E-3"/>
    <n v="0"/>
    <n v="0"/>
    <s v=""/>
    <n v="0"/>
  </r>
  <r>
    <x v="145"/>
    <n v="459662802"/>
    <s v="W_0"/>
    <n v="0"/>
    <n v="0"/>
    <n v="5.1669799999999998E-3"/>
    <n v="0"/>
    <n v="0"/>
    <s v=""/>
    <n v="0"/>
  </r>
  <r>
    <x v="146"/>
    <n v="223676795"/>
    <s v="W_0"/>
    <n v="0"/>
    <n v="0"/>
    <n v="4.9603E-3"/>
    <n v="0"/>
    <n v="0"/>
    <s v=""/>
    <n v="0"/>
  </r>
  <r>
    <x v="147"/>
    <n v="460567039"/>
    <s v="W_0"/>
    <n v="0"/>
    <n v="0"/>
    <n v="4.7618900000000004E-3"/>
    <n v="0"/>
    <n v="0"/>
    <s v=""/>
    <n v="0"/>
  </r>
  <r>
    <x v="148"/>
    <n v="536723214"/>
    <s v="W_0"/>
    <n v="0"/>
    <n v="0"/>
    <n v="4.5714199999999997E-3"/>
    <n v="0"/>
    <n v="0"/>
    <s v=""/>
    <n v="0"/>
  </r>
  <r>
    <x v="149"/>
    <n v="175172006"/>
    <s v="W_0"/>
    <n v="0"/>
    <n v="0"/>
    <n v="4.3885599999999997E-3"/>
    <n v="0"/>
    <n v="0"/>
    <s v=""/>
    <n v="0"/>
  </r>
  <r>
    <x v="150"/>
    <n v="562379494"/>
    <s v="W_0"/>
    <n v="0"/>
    <n v="0"/>
    <n v="4.2130199999999996E-3"/>
    <n v="0"/>
    <n v="0"/>
    <s v=""/>
    <n v="0"/>
  </r>
  <r>
    <x v="151"/>
    <n v="614657114"/>
    <s v="W_0"/>
    <n v="0"/>
    <n v="0"/>
    <n v="4.0445000000000004E-3"/>
    <n v="0"/>
    <n v="0"/>
    <s v=""/>
    <n v="0"/>
  </r>
  <r>
    <x v="152"/>
    <n v="500777399"/>
    <s v="W_0"/>
    <n v="0"/>
    <n v="0"/>
    <n v="3.8827200000000001E-3"/>
    <n v="0"/>
    <n v="0"/>
    <s v=""/>
    <n v="0"/>
  </r>
  <r>
    <x v="153"/>
    <n v="918325665"/>
    <s v="W_0"/>
    <n v="0"/>
    <n v="0"/>
    <n v="3.72741E-3"/>
    <n v="0"/>
    <n v="0"/>
    <s v=""/>
    <n v="0"/>
  </r>
  <r>
    <x v="154"/>
    <n v="976454076"/>
    <s v="W_0"/>
    <n v="0"/>
    <n v="0"/>
    <n v="3.5783099999999999E-3"/>
    <n v="0"/>
    <n v="0"/>
    <s v=""/>
    <n v="0"/>
  </r>
  <r>
    <x v="155"/>
    <n v="339606783"/>
    <s v="W_0"/>
    <n v="0"/>
    <n v="0"/>
    <n v="3.4351799999999999E-3"/>
    <n v="0"/>
    <n v="0"/>
    <s v=""/>
    <n v="0"/>
  </r>
  <r>
    <x v="156"/>
    <n v="623132091"/>
    <s v="W_0"/>
    <n v="0"/>
    <n v="0"/>
    <n v="3.2977700000000002E-3"/>
    <n v="0"/>
    <n v="0"/>
    <s v=""/>
    <n v="0"/>
  </r>
  <r>
    <x v="157"/>
    <n v="698350577"/>
    <s v="W_0"/>
    <n v="0"/>
    <n v="0"/>
    <n v="3.1658599999999999E-3"/>
    <n v="0"/>
    <n v="0"/>
    <s v=""/>
    <n v="0"/>
  </r>
  <r>
    <x v="158"/>
    <n v="716478456"/>
    <s v="W_0"/>
    <n v="0"/>
    <n v="0"/>
    <n v="3.03923E-3"/>
    <n v="0"/>
    <n v="0"/>
    <s v=""/>
    <n v="0"/>
  </r>
  <r>
    <x v="159"/>
    <n v="448812350"/>
    <s v="W_0"/>
    <n v="0"/>
    <n v="0"/>
    <n v="2.9176599999999999E-3"/>
    <n v="0"/>
    <n v="0"/>
    <s v=""/>
    <n v="0"/>
  </r>
  <r>
    <x v="160"/>
    <n v="738870838"/>
    <s v="W_0"/>
    <n v="0"/>
    <n v="0"/>
    <n v="2.80095E-3"/>
    <n v="0"/>
    <n v="0"/>
    <s v=""/>
    <n v="0"/>
  </r>
  <r>
    <x v="161"/>
    <n v="265364271"/>
    <s v="W_0"/>
    <n v="0"/>
    <n v="0"/>
    <n v="2.6889100000000001E-3"/>
    <n v="0"/>
    <n v="0"/>
    <s v=""/>
    <n v="0"/>
  </r>
  <r>
    <x v="162"/>
    <n v="21022628"/>
    <s v="W_0"/>
    <n v="0"/>
    <n v="0"/>
    <n v="2.58136E-3"/>
    <n v="0"/>
    <n v="0"/>
    <s v=""/>
    <n v="0"/>
  </r>
  <r>
    <x v="163"/>
    <n v="526565930"/>
    <s v="W_0"/>
    <n v="0"/>
    <n v="0"/>
    <n v="2.4781E-3"/>
    <n v="0"/>
    <n v="0"/>
    <s v=""/>
    <n v="0"/>
  </r>
  <r>
    <x v="164"/>
    <n v="446557523"/>
    <s v="W_0"/>
    <n v="0"/>
    <n v="0"/>
    <n v="2.3789800000000002E-3"/>
    <n v="0"/>
    <n v="0"/>
    <s v=""/>
    <n v="0"/>
  </r>
  <r>
    <x v="165"/>
    <n v="296096629"/>
    <s v="W_0"/>
    <n v="0"/>
    <n v="0"/>
    <n v="2.2838200000000002E-3"/>
    <n v="0"/>
    <n v="0"/>
    <s v=""/>
    <n v="0"/>
  </r>
  <r>
    <x v="166"/>
    <n v="908430668"/>
    <s v="W_0"/>
    <n v="0"/>
    <n v="0"/>
    <n v="2.1924700000000002E-3"/>
    <n v="0"/>
    <n v="0"/>
    <s v=""/>
    <n v="0"/>
  </r>
  <r>
    <x v="167"/>
    <n v="14912060"/>
    <s v="W_0"/>
    <n v="0"/>
    <n v="0"/>
    <n v="2.1047700000000002E-3"/>
    <n v="0"/>
    <n v="0"/>
    <s v=""/>
    <n v="0"/>
  </r>
  <r>
    <x v="168"/>
    <n v="54699858"/>
    <s v="W_0"/>
    <n v="0"/>
    <n v="0"/>
    <n v="2.0205800000000001E-3"/>
    <n v="0"/>
    <n v="0"/>
    <s v=""/>
    <n v="0"/>
  </r>
  <r>
    <x v="169"/>
    <n v="525725169"/>
    <s v="W_0"/>
    <n v="0"/>
    <n v="0"/>
    <n v="1.9397500000000001E-3"/>
    <n v="0"/>
    <n v="0"/>
    <s v=""/>
    <n v="0"/>
  </r>
  <r>
    <x v="170"/>
    <n v="683881335"/>
    <s v="W_0"/>
    <n v="0"/>
    <n v="0"/>
    <n v="1.8621600000000001E-3"/>
    <n v="0"/>
    <n v="0"/>
    <s v=""/>
    <n v="0"/>
  </r>
  <r>
    <x v="171"/>
    <n v="639354202"/>
    <s v="W_0"/>
    <n v="0"/>
    <n v="0"/>
    <n v="1.78768E-3"/>
    <n v="0"/>
    <n v="0"/>
    <s v=""/>
    <n v="0"/>
  </r>
  <r>
    <x v="172"/>
    <n v="993476526"/>
    <s v="W_0"/>
    <n v="0"/>
    <n v="0"/>
    <n v="1.7161699999999999E-3"/>
    <n v="0"/>
    <n v="0"/>
    <s v=""/>
    <n v="0"/>
  </r>
  <r>
    <x v="173"/>
    <n v="904089024"/>
    <s v="W_0"/>
    <n v="0"/>
    <n v="0"/>
    <n v="1.64752E-3"/>
    <n v="0"/>
    <n v="0"/>
    <s v=""/>
    <n v="0"/>
  </r>
  <r>
    <x v="174"/>
    <n v="867878819"/>
    <s v="W_0"/>
    <n v="0"/>
    <n v="0"/>
    <n v="1.5816199999999999E-3"/>
    <n v="0"/>
    <n v="0"/>
    <s v=""/>
    <n v="0"/>
  </r>
  <r>
    <x v="175"/>
    <n v="372226432"/>
    <s v="W_0"/>
    <n v="0"/>
    <n v="0"/>
    <n v="1.5183600000000001E-3"/>
    <n v="0"/>
    <n v="0"/>
    <s v=""/>
    <n v="0"/>
  </r>
  <r>
    <x v="176"/>
    <n v="302752054"/>
    <s v="W_0"/>
    <n v="0"/>
    <n v="0"/>
    <n v="1.45762E-3"/>
    <n v="0"/>
    <n v="0"/>
    <s v=""/>
    <n v="0"/>
  </r>
  <r>
    <x v="177"/>
    <n v="896792023"/>
    <s v="W_0"/>
    <n v="0"/>
    <n v="0"/>
    <n v="1.3993199999999999E-3"/>
    <n v="0"/>
    <n v="0"/>
    <s v=""/>
    <n v="0"/>
  </r>
  <r>
    <x v="178"/>
    <n v="370659053"/>
    <s v="W_0"/>
    <n v="0"/>
    <n v="0"/>
    <n v="1.3433500000000001E-3"/>
    <n v="0"/>
    <n v="0"/>
    <s v=""/>
    <n v="0"/>
  </r>
  <r>
    <x v="179"/>
    <n v="639266381"/>
    <s v="W_0"/>
    <n v="0"/>
    <n v="0"/>
    <n v="1.2896100000000001E-3"/>
    <n v="0"/>
    <n v="0"/>
    <s v=""/>
    <n v="0"/>
  </r>
  <r>
    <x v="180"/>
    <n v="236331067"/>
    <s v="W_0"/>
    <n v="0"/>
    <n v="0"/>
    <n v="1.23803E-3"/>
    <n v="0"/>
    <n v="0"/>
    <s v=""/>
    <n v="0"/>
  </r>
  <r>
    <x v="181"/>
    <n v="305170747"/>
    <s v="W_0"/>
    <n v="0"/>
    <n v="0"/>
    <n v="1.18851E-3"/>
    <n v="0"/>
    <n v="0"/>
    <s v=""/>
    <n v="0"/>
  </r>
  <r>
    <x v="182"/>
    <n v="866824477"/>
    <s v="W_0"/>
    <n v="0"/>
    <n v="0"/>
    <n v="1.14097E-3"/>
    <n v="0"/>
    <n v="0"/>
    <s v=""/>
    <n v="0"/>
  </r>
  <r>
    <x v="183"/>
    <n v="108062707"/>
    <s v="W_0"/>
    <n v="0"/>
    <n v="0"/>
    <n v="1.09533E-3"/>
    <n v="0"/>
    <n v="0"/>
    <s v=""/>
    <n v="0"/>
  </r>
  <r>
    <x v="184"/>
    <n v="453852245"/>
    <s v="W_0"/>
    <n v="0"/>
    <n v="0"/>
    <n v="1.0515100000000001E-3"/>
    <n v="0"/>
    <n v="0"/>
    <s v=""/>
    <n v="0"/>
  </r>
  <r>
    <x v="185"/>
    <n v="141432107"/>
    <s v="W_0"/>
    <n v="0"/>
    <n v="0"/>
    <n v="1.0094500000000001E-3"/>
    <n v="0"/>
    <n v="0"/>
    <s v=""/>
    <n v="0"/>
  </r>
  <r>
    <x v="186"/>
    <n v="239885474"/>
    <s v="W_0"/>
    <n v="0"/>
    <n v="0"/>
    <n v="9.6907500000000001E-4"/>
    <n v="0"/>
    <n v="0"/>
    <s v=""/>
    <n v="0"/>
  </r>
  <r>
    <x v="187"/>
    <n v="219093766"/>
    <s v="W_0"/>
    <n v="0"/>
    <n v="0"/>
    <n v="9.3031199999999998E-4"/>
    <n v="0"/>
    <n v="0"/>
    <s v=""/>
    <n v="0"/>
  </r>
  <r>
    <x v="188"/>
    <n v="22148652"/>
    <s v="W_0"/>
    <n v="0"/>
    <n v="0"/>
    <n v="8.9309999999999997E-4"/>
    <n v="0"/>
    <n v="0"/>
    <s v=""/>
    <n v="0"/>
  </r>
  <r>
    <x v="189"/>
    <n v="668580760"/>
    <s v="W_0"/>
    <n v="0"/>
    <n v="0"/>
    <n v="8.5737599999999997E-4"/>
    <n v="0"/>
    <n v="0"/>
    <s v=""/>
    <n v="0"/>
  </r>
  <r>
    <x v="190"/>
    <n v="484498776"/>
    <s v="W_0"/>
    <n v="0"/>
    <n v="0"/>
    <n v="8.2308100000000003E-4"/>
    <n v="0"/>
    <n v="0"/>
    <s v=""/>
    <n v="0"/>
  </r>
  <r>
    <x v="191"/>
    <n v="106186031"/>
    <s v="W_0"/>
    <n v="0"/>
    <n v="0"/>
    <n v="7.9015800000000001E-4"/>
    <n v="0"/>
    <n v="0"/>
    <s v=""/>
    <n v="0"/>
  </r>
  <r>
    <x v="192"/>
    <n v="121380578"/>
    <s v="W_0"/>
    <n v="0"/>
    <n v="0"/>
    <n v="7.58551E-4"/>
    <n v="0"/>
    <n v="0"/>
    <s v=""/>
    <n v="0"/>
  </r>
  <r>
    <x v="193"/>
    <n v="109606916"/>
    <s v="W_0"/>
    <n v="0"/>
    <n v="0"/>
    <n v="7.2820899999999995E-4"/>
    <n v="0"/>
    <n v="0"/>
    <s v=""/>
    <n v="0"/>
  </r>
  <r>
    <x v="194"/>
    <n v="499275632"/>
    <s v="W_0"/>
    <n v="0"/>
    <n v="0"/>
    <n v="6.9908100000000005E-4"/>
    <n v="0"/>
    <n v="0"/>
    <s v=""/>
    <n v="0"/>
  </r>
  <r>
    <x v="195"/>
    <n v="867913190"/>
    <s v="W_0"/>
    <n v="0"/>
    <n v="0"/>
    <n v="6.7111799999999995E-4"/>
    <n v="0"/>
    <n v="0"/>
    <s v=""/>
    <n v="0"/>
  </r>
  <r>
    <x v="196"/>
    <n v="389082205"/>
    <s v="W_0"/>
    <n v="0"/>
    <n v="0"/>
    <n v="6.44273E-4"/>
    <n v="0"/>
    <n v="0"/>
    <s v=""/>
    <n v="0"/>
  </r>
  <r>
    <x v="197"/>
    <n v="700879034"/>
    <s v="W_0"/>
    <n v="0"/>
    <n v="0"/>
    <n v="6.1850200000000005E-4"/>
    <n v="0"/>
    <n v="0"/>
    <s v=""/>
    <n v="0"/>
  </r>
  <r>
    <x v="198"/>
    <n v="10669007"/>
    <s v="W_0"/>
    <n v="0"/>
    <n v="0"/>
    <n v="5.9376199999999996E-4"/>
    <n v="0"/>
    <n v="0"/>
    <s v=""/>
    <n v="0"/>
  </r>
  <r>
    <x v="199"/>
    <n v="283859287"/>
    <s v="W_0"/>
    <n v="0"/>
    <n v="0"/>
    <n v="5.7001100000000004E-4"/>
    <n v="0"/>
    <n v="0"/>
    <s v=""/>
    <n v="0"/>
  </r>
  <r>
    <x v="200"/>
    <n v="602695052"/>
    <s v="W_0"/>
    <n v="0"/>
    <n v="0"/>
    <n v="5.4721100000000003E-4"/>
    <n v="0"/>
    <n v="0"/>
    <s v=""/>
    <n v="0"/>
  </r>
  <r>
    <x v="201"/>
    <n v="705804787"/>
    <s v="W_0"/>
    <n v="0"/>
    <n v="0"/>
    <n v="5.2532299999999996E-4"/>
    <n v="0"/>
    <n v="0"/>
    <s v=""/>
    <n v="0"/>
  </r>
  <r>
    <x v="202"/>
    <n v="166894322"/>
    <s v="W_0"/>
    <n v="0"/>
    <n v="0"/>
    <n v="5.0431E-4"/>
    <n v="0"/>
    <n v="0"/>
    <s v=""/>
    <n v="0"/>
  </r>
  <r>
    <x v="203"/>
    <n v="202862963"/>
    <s v="W_0"/>
    <n v="0"/>
    <n v="0"/>
    <n v="4.8413699999999999E-4"/>
    <n v="0"/>
    <n v="0"/>
    <s v=""/>
    <n v="0"/>
  </r>
  <r>
    <x v="204"/>
    <n v="233947586"/>
    <s v="W_0"/>
    <n v="0"/>
    <n v="0"/>
    <n v="4.6477200000000001E-4"/>
    <n v="0"/>
    <n v="0"/>
    <s v=""/>
    <n v="0"/>
  </r>
  <r>
    <x v="205"/>
    <n v="188059232"/>
    <s v="W_0"/>
    <n v="0"/>
    <n v="0"/>
    <n v="4.4618099999999998E-4"/>
    <n v="0"/>
    <n v="0"/>
    <s v=""/>
    <n v="0"/>
  </r>
  <r>
    <x v="206"/>
    <n v="300876871"/>
    <s v="W_0"/>
    <n v="0"/>
    <n v="0"/>
    <n v="4.28334E-4"/>
    <n v="0"/>
    <n v="0"/>
    <s v=""/>
    <n v="0"/>
  </r>
  <r>
    <x v="207"/>
    <n v="2658098"/>
    <s v="W_0"/>
    <n v="0"/>
    <n v="0"/>
    <n v="4.1120000000000002E-4"/>
    <n v="0"/>
    <n v="0"/>
    <s v=""/>
    <n v="0"/>
  </r>
  <r>
    <x v="208"/>
    <n v="298387604"/>
    <s v="W_0"/>
    <n v="0"/>
    <n v="0"/>
    <n v="3.94752E-4"/>
    <n v="0"/>
    <n v="0"/>
    <s v=""/>
    <n v="0"/>
  </r>
  <r>
    <x v="209"/>
    <n v="607947311"/>
    <s v="W_0"/>
    <n v="0"/>
    <n v="0"/>
    <n v="3.7896199999999999E-4"/>
    <n v="0"/>
    <n v="0"/>
    <s v=""/>
    <n v="0"/>
  </r>
  <r>
    <x v="210"/>
    <n v="889364532"/>
    <s v="W_0"/>
    <n v="0"/>
    <n v="0"/>
    <n v="3.6380400000000002E-4"/>
    <n v="0"/>
    <n v="0"/>
    <s v=""/>
    <n v="0"/>
  </r>
  <r>
    <x v="211"/>
    <n v="875774962"/>
    <s v="W_0"/>
    <n v="0"/>
    <n v="0"/>
    <n v="3.4925199999999998E-4"/>
    <n v="0"/>
    <n v="0"/>
    <s v=""/>
    <n v="0"/>
  </r>
  <r>
    <x v="212"/>
    <n v="990735240"/>
    <s v="W_0"/>
    <n v="0"/>
    <n v="0"/>
    <n v="3.3528200000000001E-4"/>
    <n v="0"/>
    <n v="0"/>
    <s v=""/>
    <n v="0"/>
  </r>
  <r>
    <x v="213"/>
    <n v="607216559"/>
    <s v="W_0"/>
    <n v="0"/>
    <n v="0"/>
    <n v="3.2186999999999998E-4"/>
    <n v="0"/>
    <n v="0"/>
    <s v=""/>
    <n v="0"/>
  </r>
  <r>
    <x v="214"/>
    <n v="551247484"/>
    <s v="W_0"/>
    <n v="0"/>
    <n v="0"/>
    <n v="3.0899500000000001E-4"/>
    <n v="0"/>
    <n v="0"/>
    <s v=""/>
    <n v="0"/>
  </r>
  <r>
    <x v="215"/>
    <n v="217501998"/>
    <s v="W_0"/>
    <n v="0"/>
    <n v="0"/>
    <n v="2.9663600000000002E-4"/>
    <n v="0"/>
    <n v="0"/>
    <s v=""/>
    <n v="0"/>
  </r>
  <r>
    <x v="216"/>
    <n v="741572992"/>
    <s v="W_0"/>
    <n v="0"/>
    <n v="0"/>
    <n v="2.8477E-4"/>
    <n v="0"/>
    <n v="0"/>
    <s v=""/>
    <n v="0"/>
  </r>
  <r>
    <x v="217"/>
    <n v="206514133"/>
    <s v="W_0"/>
    <n v="0"/>
    <n v="0"/>
    <n v="2.7337900000000003E-4"/>
    <n v="0"/>
    <n v="0"/>
    <s v=""/>
    <n v="0"/>
  </r>
  <r>
    <x v="218"/>
    <n v="15178248"/>
    <s v="W_0"/>
    <n v="0"/>
    <n v="0"/>
    <n v="2.6244400000000002E-4"/>
    <n v="0"/>
    <n v="0"/>
    <s v=""/>
    <n v="0"/>
  </r>
  <r>
    <x v="219"/>
    <n v="153054463"/>
    <s v="W_0"/>
    <n v="0"/>
    <n v="0"/>
    <n v="2.5194600000000002E-4"/>
    <n v="0"/>
    <n v="0"/>
    <s v=""/>
    <n v="0"/>
  </r>
  <r>
    <x v="220"/>
    <n v="467297306"/>
    <s v="W_0"/>
    <n v="0"/>
    <n v="0"/>
    <n v="2.41869E-4"/>
    <n v="0"/>
    <n v="0"/>
    <s v=""/>
    <n v="0"/>
  </r>
  <r>
    <x v="221"/>
    <n v="341480049"/>
    <s v="W_0"/>
    <n v="0"/>
    <n v="0"/>
    <n v="2.3219399999999999E-4"/>
    <n v="0"/>
    <n v="0"/>
    <s v=""/>
    <n v="0"/>
  </r>
  <r>
    <x v="222"/>
    <n v="354217056"/>
    <s v="W_0"/>
    <n v="0"/>
    <n v="0"/>
    <n v="2.2290600000000001E-4"/>
    <n v="0"/>
    <n v="0"/>
    <s v=""/>
    <n v="0"/>
  </r>
  <r>
    <x v="223"/>
    <n v="617861270"/>
    <s v="W_0"/>
    <n v="0"/>
    <n v="0"/>
    <n v="2.1399E-4"/>
    <n v="0"/>
    <n v="0"/>
    <s v=""/>
    <n v="0"/>
  </r>
  <r>
    <x v="224"/>
    <n v="984952402"/>
    <s v="W_0"/>
    <n v="0"/>
    <n v="0"/>
    <n v="2.0542999999999999E-4"/>
    <n v="0"/>
    <n v="0"/>
    <s v=""/>
    <n v="0"/>
  </r>
  <r>
    <x v="225"/>
    <n v="997035739"/>
    <s v="W_0"/>
    <n v="0"/>
    <n v="0"/>
    <n v="1.9721300000000001E-4"/>
    <n v="0"/>
    <n v="0"/>
    <s v=""/>
    <n v="0"/>
  </r>
  <r>
    <x v="226"/>
    <n v="545603301"/>
    <s v="W_0"/>
    <n v="0"/>
    <n v="0"/>
    <n v="1.8932500000000001E-4"/>
    <n v="0"/>
    <n v="0"/>
    <s v=""/>
    <n v="0"/>
  </r>
  <r>
    <x v="227"/>
    <n v="690221441"/>
    <s v="W_0"/>
    <n v="0"/>
    <n v="0"/>
    <n v="1.81752E-4"/>
    <n v="0"/>
    <n v="0"/>
    <s v=""/>
    <n v="0"/>
  </r>
  <r>
    <x v="228"/>
    <n v="379039057"/>
    <s v="W_0"/>
    <n v="0"/>
    <n v="0"/>
    <n v="1.74482E-4"/>
    <n v="0"/>
    <n v="0"/>
    <s v=""/>
    <n v="0"/>
  </r>
  <r>
    <x v="229"/>
    <n v="600195480"/>
    <s v="W_0"/>
    <n v="0"/>
    <n v="0"/>
    <n v="1.6750200000000001E-4"/>
    <n v="0"/>
    <n v="0"/>
    <s v=""/>
    <n v="0"/>
  </r>
  <r>
    <x v="230"/>
    <n v="85379391"/>
    <s v="W_0"/>
    <n v="0"/>
    <n v="0"/>
    <n v="1.6080200000000001E-4"/>
    <n v="0"/>
    <n v="0"/>
    <s v=""/>
    <n v="0"/>
  </r>
  <r>
    <x v="231"/>
    <n v="668715559"/>
    <s v="W_0"/>
    <n v="0"/>
    <n v="0"/>
    <n v="1.5437E-4"/>
    <n v="0"/>
    <n v="0"/>
    <s v=""/>
    <n v="0"/>
  </r>
  <r>
    <x v="232"/>
    <n v="101699668"/>
    <s v="W_0"/>
    <n v="0"/>
    <n v="0"/>
    <n v="1.48195E-4"/>
    <n v="0"/>
    <n v="0"/>
    <s v=""/>
    <n v="0"/>
  </r>
  <r>
    <x v="233"/>
    <n v="564160796"/>
    <s v="W_0"/>
    <n v="0"/>
    <n v="0"/>
    <n v="1.4226700000000001E-4"/>
    <n v="0"/>
    <n v="0"/>
    <s v=""/>
    <n v="0"/>
  </r>
  <r>
    <x v="234"/>
    <n v="543781884"/>
    <s v="W_0"/>
    <n v="0"/>
    <n v="0"/>
    <n v="1.36577E-4"/>
    <n v="0"/>
    <n v="0"/>
    <s v=""/>
    <n v="0"/>
  </r>
  <r>
    <x v="235"/>
    <n v="366471115"/>
    <s v="W_0"/>
    <n v="0"/>
    <n v="0"/>
    <n v="1.3111399999999999E-4"/>
    <n v="0"/>
    <n v="0"/>
    <s v=""/>
    <n v="0"/>
  </r>
  <r>
    <x v="236"/>
    <n v="500825286"/>
    <s v="W_0"/>
    <n v="0"/>
    <n v="0"/>
    <n v="1.25869E-4"/>
    <n v="0"/>
    <n v="0"/>
    <s v=""/>
    <n v="0"/>
  </r>
  <r>
    <x v="237"/>
    <n v="840295589"/>
    <s v="W_0"/>
    <n v="0"/>
    <n v="0"/>
    <n v="1.20834E-4"/>
    <n v="0"/>
    <n v="0"/>
    <s v=""/>
    <n v="0"/>
  </r>
  <r>
    <x v="238"/>
    <n v="446191670"/>
    <s v="W_0"/>
    <n v="0"/>
    <n v="0"/>
    <n v="1.16001E-4"/>
    <n v="0"/>
    <n v="0"/>
    <s v=""/>
    <n v="0"/>
  </r>
  <r>
    <x v="239"/>
    <n v="240511312"/>
    <s v="W_0"/>
    <n v="0"/>
    <n v="0"/>
    <n v="1.1136100000000001E-4"/>
    <n v="0"/>
    <n v="0"/>
    <s v=""/>
    <n v="0"/>
  </r>
  <r>
    <x v="240"/>
    <n v="773880751"/>
    <s v="W_0"/>
    <n v="0"/>
    <n v="0"/>
    <n v="1.06907E-4"/>
    <n v="0"/>
    <n v="0"/>
    <s v=""/>
    <n v="0"/>
  </r>
  <r>
    <x v="241"/>
    <n v="968142369"/>
    <s v="W_0"/>
    <n v="0"/>
    <n v="0"/>
    <n v="1.0263E-4"/>
    <n v="0"/>
    <n v="0"/>
    <s v=""/>
    <n v="0"/>
  </r>
  <r>
    <x v="242"/>
    <n v="207368622"/>
    <s v="W_0"/>
    <n v="0"/>
    <n v="0"/>
    <n v="9.8525100000000003E-5"/>
    <n v="0"/>
    <n v="0"/>
    <s v=""/>
    <n v="0"/>
  </r>
  <r>
    <x v="243"/>
    <n v="412283738"/>
    <s v="W_0"/>
    <n v="0"/>
    <n v="0"/>
    <n v="9.4584000000000001E-5"/>
    <n v="0"/>
    <n v="0"/>
    <s v=""/>
    <n v="0"/>
  </r>
  <r>
    <x v="244"/>
    <n v="956168485"/>
    <s v="W_0"/>
    <n v="0"/>
    <n v="0"/>
    <n v="9.0800700000000006E-5"/>
    <n v="0"/>
    <n v="0"/>
    <s v=""/>
    <n v="0"/>
  </r>
  <r>
    <x v="245"/>
    <n v="686698496"/>
    <s v="W_0"/>
    <n v="0"/>
    <n v="0"/>
    <n v="8.7168699999999998E-5"/>
    <n v="0"/>
    <n v="0"/>
    <s v=""/>
    <n v="0"/>
  </r>
  <r>
    <x v="246"/>
    <n v="254337552"/>
    <s v="W_0"/>
    <n v="0"/>
    <n v="0"/>
    <n v="8.3681899999999996E-5"/>
    <n v="0"/>
    <n v="0"/>
    <s v=""/>
    <n v="0"/>
  </r>
  <r>
    <x v="247"/>
    <n v="723789435"/>
    <s v="W_0"/>
    <n v="0"/>
    <n v="0"/>
    <n v="8.0334599999999995E-5"/>
    <n v="0"/>
    <n v="0"/>
    <s v=""/>
    <n v="0"/>
  </r>
  <r>
    <x v="248"/>
    <n v="257004539"/>
    <s v="W_0"/>
    <n v="0"/>
    <n v="0"/>
    <n v="7.7121300000000003E-5"/>
    <n v="0"/>
    <n v="0"/>
    <s v=""/>
    <n v="0"/>
  </r>
  <r>
    <x v="249"/>
    <n v="22019533"/>
    <s v="W_0"/>
    <n v="0"/>
    <n v="0"/>
    <n v="7.4036399999999995E-5"/>
    <n v="0"/>
    <n v="0"/>
    <s v=""/>
    <n v="0"/>
  </r>
  <r>
    <x v="250"/>
    <n v="55727148"/>
    <s v="W_0"/>
    <n v="0"/>
    <n v="0"/>
    <n v="7.1074899999999999E-5"/>
    <n v="0"/>
    <n v="0"/>
    <s v=""/>
    <n v="0"/>
  </r>
  <r>
    <x v="251"/>
    <n v="460029646"/>
    <s v="W_0"/>
    <n v="0"/>
    <n v="0"/>
    <n v="6.82319E-5"/>
    <n v="0"/>
    <n v="0"/>
    <s v=""/>
    <n v="0"/>
  </r>
  <r>
    <x v="252"/>
    <n v="859940727"/>
    <s v="W_0"/>
    <n v="0"/>
    <n v="0"/>
    <n v="6.5502700000000006E-5"/>
    <n v="0"/>
    <n v="0"/>
    <s v=""/>
    <n v="0"/>
  </r>
  <r>
    <x v="253"/>
    <n v="327915947"/>
    <s v="W_0"/>
    <n v="0"/>
    <n v="0"/>
    <n v="6.28826E-5"/>
    <n v="0"/>
    <n v="0"/>
    <s v=""/>
    <n v="0"/>
  </r>
  <r>
    <x v="254"/>
    <n v="802867316"/>
    <s v="W_0"/>
    <n v="0"/>
    <n v="0"/>
    <n v="6.0367300000000001E-5"/>
    <n v="0"/>
    <n v="0"/>
    <s v=""/>
    <n v="0"/>
  </r>
  <r>
    <x v="255"/>
    <n v="40665707"/>
    <s v="W_0"/>
    <n v="0"/>
    <n v="0"/>
    <n v="5.7952599999999998E-5"/>
    <n v="0"/>
    <n v="0"/>
    <s v=""/>
    <n v="0"/>
  </r>
  <r>
    <x v="256"/>
    <n v="692806374"/>
    <s v="W_0"/>
    <n v="0"/>
    <n v="0"/>
    <n v="5.5634499999999997E-5"/>
    <n v="0"/>
    <n v="0"/>
    <s v=""/>
    <n v="0"/>
  </r>
  <r>
    <x v="257"/>
    <n v="122247502"/>
    <s v="W_0"/>
    <n v="0"/>
    <n v="0"/>
    <n v="5.3409100000000003E-5"/>
    <n v="0"/>
    <n v="0"/>
    <s v=""/>
    <n v="0"/>
  </r>
  <r>
    <x v="258"/>
    <n v="478167346"/>
    <s v="W_0"/>
    <n v="0"/>
    <n v="0"/>
    <n v="5.1272700000000001E-5"/>
    <n v="0"/>
    <n v="0"/>
    <s v=""/>
    <n v="0"/>
  </r>
  <r>
    <x v="259"/>
    <n v="134576833"/>
    <s v="W_0"/>
    <n v="0"/>
    <n v="0"/>
    <n v="4.9221799999999997E-5"/>
    <n v="0"/>
    <n v="0"/>
    <s v=""/>
    <n v="0"/>
  </r>
  <r>
    <x v="260"/>
    <n v="60807888"/>
    <s v="W_0"/>
    <n v="0"/>
    <n v="0"/>
    <n v="4.7252900000000003E-5"/>
    <n v="0"/>
    <n v="0"/>
    <s v=""/>
    <n v="0"/>
  </r>
  <r>
    <x v="261"/>
    <n v="898859456"/>
    <s v="W_0"/>
    <n v="0"/>
    <n v="0"/>
    <n v="4.5362799999999999E-5"/>
    <n v="0"/>
    <n v="0"/>
    <s v=""/>
    <n v="0"/>
  </r>
  <r>
    <x v="262"/>
    <n v="819354129"/>
    <s v="W_0"/>
    <n v="0"/>
    <n v="0"/>
    <n v="4.3548299999999998E-5"/>
    <n v="0"/>
    <n v="0"/>
    <s v=""/>
    <n v="0"/>
  </r>
  <r>
    <x v="263"/>
    <n v="68213335"/>
    <s v="W_0"/>
    <n v="0"/>
    <n v="0"/>
    <n v="4.18064E-5"/>
    <n v="0"/>
    <n v="0"/>
    <s v=""/>
    <n v="0"/>
  </r>
  <r>
    <x v="264"/>
    <n v="642711902"/>
    <s v="W_0"/>
    <n v="0"/>
    <n v="0"/>
    <n v="4.0134099999999999E-5"/>
    <n v="0"/>
    <n v="0"/>
    <s v=""/>
    <n v="0"/>
  </r>
  <r>
    <x v="265"/>
    <n v="242500356"/>
    <s v="W_0"/>
    <n v="0"/>
    <n v="0"/>
    <n v="3.8528800000000003E-5"/>
    <n v="0"/>
    <n v="0"/>
    <s v=""/>
    <n v="0"/>
  </r>
  <r>
    <x v="266"/>
    <n v="305998458"/>
    <s v="W_0"/>
    <n v="0"/>
    <n v="0"/>
    <n v="3.6987599999999998E-5"/>
    <n v="0"/>
    <n v="0"/>
    <s v=""/>
    <n v="0"/>
  </r>
  <r>
    <x v="267"/>
    <n v="164264184"/>
    <s v="W_0"/>
    <n v="0"/>
    <n v="0"/>
    <n v="3.55081E-5"/>
    <n v="0"/>
    <n v="0"/>
    <s v=""/>
    <n v="0"/>
  </r>
  <r>
    <x v="268"/>
    <n v="393914410"/>
    <s v="W_0"/>
    <n v="0"/>
    <n v="0"/>
    <n v="3.4087800000000003E-5"/>
    <n v="0"/>
    <n v="0"/>
    <s v=""/>
    <n v="0"/>
  </r>
  <r>
    <x v="269"/>
    <n v="957277630"/>
    <s v="W_0"/>
    <n v="0"/>
    <n v="0"/>
    <n v="3.2724300000000001E-5"/>
    <n v="0"/>
    <n v="0"/>
    <s v=""/>
    <n v="0"/>
  </r>
  <r>
    <x v="270"/>
    <n v="136554556"/>
    <s v="W_0"/>
    <n v="0"/>
    <n v="0"/>
    <n v="3.1415299999999997E-5"/>
    <n v="0"/>
    <n v="0"/>
    <s v=""/>
    <n v="0"/>
  </r>
  <r>
    <x v="271"/>
    <n v="67101124"/>
    <s v="W_0"/>
    <n v="0"/>
    <n v="0"/>
    <n v="3.01587E-5"/>
    <n v="0"/>
    <n v="0"/>
    <s v=""/>
    <n v="0"/>
  </r>
  <r>
    <x v="272"/>
    <n v="941588760"/>
    <s v="W_0"/>
    <n v="0"/>
    <n v="0"/>
    <n v="2.8952300000000001E-5"/>
    <n v="0"/>
    <n v="0"/>
    <s v=""/>
    <n v="0"/>
  </r>
  <r>
    <x v="273"/>
    <n v="853037710"/>
    <s v="W_0"/>
    <n v="0"/>
    <n v="0"/>
    <n v="2.7794199999999999E-5"/>
    <n v="0"/>
    <n v="0"/>
    <s v=""/>
    <n v="0"/>
  </r>
  <r>
    <x v="274"/>
    <n v="855320006"/>
    <s v="W_0"/>
    <n v="0"/>
    <n v="0"/>
    <n v="2.6682500000000001E-5"/>
    <n v="0"/>
    <n v="0"/>
    <s v=""/>
    <n v="0"/>
  </r>
  <r>
    <x v="275"/>
    <n v="373438215"/>
    <s v="W_0"/>
    <n v="0"/>
    <n v="0"/>
    <n v="2.5615200000000002E-5"/>
    <n v="0"/>
    <n v="0"/>
    <s v=""/>
    <n v="0"/>
  </r>
  <r>
    <x v="276"/>
    <n v="703776264"/>
    <s v="W_0"/>
    <n v="0"/>
    <n v="0"/>
    <n v="2.4590600000000001E-5"/>
    <n v="0"/>
    <n v="0"/>
    <s v=""/>
    <n v="0"/>
  </r>
  <r>
    <x v="277"/>
    <n v="228412864"/>
    <s v="W_0"/>
    <n v="0"/>
    <n v="0"/>
    <n v="2.3606899999999999E-5"/>
    <n v="0"/>
    <n v="0"/>
    <s v=""/>
    <n v="0"/>
  </r>
  <r>
    <x v="278"/>
    <n v="107701386"/>
    <s v="W_0"/>
    <n v="0"/>
    <n v="0"/>
    <n v="2.2662699999999999E-5"/>
    <n v="0"/>
    <n v="0"/>
    <s v=""/>
    <n v="0"/>
  </r>
  <r>
    <x v="279"/>
    <n v="413905273"/>
    <s v="W_0"/>
    <n v="0"/>
    <n v="0"/>
    <n v="2.17562E-5"/>
    <n v="0"/>
    <n v="0"/>
    <s v=""/>
    <n v="0"/>
  </r>
  <r>
    <x v="280"/>
    <n v="113465216"/>
    <s v="W_0"/>
    <n v="0"/>
    <n v="0"/>
    <n v="2.0885899999999999E-5"/>
    <n v="0"/>
    <n v="0"/>
    <s v=""/>
    <n v="0"/>
  </r>
  <r>
    <x v="281"/>
    <n v="852600574"/>
    <s v="W_0"/>
    <n v="0"/>
    <n v="0"/>
    <n v="2.0050500000000001E-5"/>
    <n v="0"/>
    <n v="0"/>
    <s v=""/>
    <n v="0"/>
  </r>
  <r>
    <x v="282"/>
    <n v="739612202"/>
    <s v="W_0"/>
    <n v="0"/>
    <n v="0"/>
    <n v="1.92485E-5"/>
    <n v="0"/>
    <n v="0"/>
    <s v=""/>
    <n v="0"/>
  </r>
  <r>
    <x v="283"/>
    <n v="747501755"/>
    <s v="W_0"/>
    <n v="0"/>
    <n v="0"/>
    <n v="1.8478499999999999E-5"/>
    <n v="0"/>
    <n v="0"/>
    <s v=""/>
    <n v="0"/>
  </r>
  <r>
    <x v="284"/>
    <n v="973567785"/>
    <s v="W_0"/>
    <n v="0"/>
    <n v="0"/>
    <n v="1.7739400000000002E-5"/>
    <n v="0"/>
    <n v="0"/>
    <s v=""/>
    <n v="0"/>
  </r>
  <r>
    <x v="285"/>
    <n v="111207828"/>
    <s v="W_0"/>
    <n v="0"/>
    <n v="0"/>
    <n v="1.7029800000000001E-5"/>
    <n v="0"/>
    <n v="0"/>
    <s v=""/>
    <n v="0"/>
  </r>
  <r>
    <x v="286"/>
    <n v="857755328"/>
    <s v="W_0"/>
    <n v="0"/>
    <n v="0"/>
    <n v="1.6348600000000001E-5"/>
    <n v="0"/>
    <n v="0"/>
    <s v=""/>
    <n v="0"/>
  </r>
  <r>
    <x v="287"/>
    <n v="130901836"/>
    <s v="W_0"/>
    <n v="0"/>
    <n v="0"/>
    <n v="1.5694700000000001E-5"/>
    <n v="0"/>
    <n v="0"/>
    <s v=""/>
    <n v="0"/>
  </r>
  <r>
    <x v="288"/>
    <n v="590750107"/>
    <s v="W_0"/>
    <n v="0"/>
    <n v="0"/>
    <n v="1.50669E-5"/>
    <n v="0"/>
    <n v="0"/>
    <s v=""/>
    <n v="0"/>
  </r>
  <r>
    <x v="289"/>
    <n v="58879684"/>
    <s v="W_0"/>
    <n v="0"/>
    <n v="0"/>
    <n v="1.44642E-5"/>
    <n v="0"/>
    <n v="0"/>
    <s v=""/>
    <n v="0"/>
  </r>
  <r>
    <x v="290"/>
    <n v="820214217"/>
    <s v="W_0"/>
    <n v="0"/>
    <n v="0"/>
    <n v="1.38856E-5"/>
    <n v="0"/>
    <n v="0"/>
    <s v=""/>
    <n v="0"/>
  </r>
  <r>
    <x v="291"/>
    <n v="496680768"/>
    <s v="W_0"/>
    <n v="0"/>
    <n v="0"/>
    <n v="1.33302E-5"/>
    <n v="0"/>
    <n v="0"/>
    <s v=""/>
    <n v="0"/>
  </r>
  <r>
    <x v="292"/>
    <n v="519724447"/>
    <s v="W_0"/>
    <n v="0"/>
    <n v="0"/>
    <n v="1.2797E-5"/>
    <n v="0"/>
    <n v="0"/>
    <s v=""/>
    <n v="0"/>
  </r>
  <r>
    <x v="293"/>
    <n v="776334048"/>
    <s v="W_0"/>
    <n v="0"/>
    <n v="0"/>
    <n v="1.22851E-5"/>
    <n v="0"/>
    <n v="0"/>
    <s v=""/>
    <n v="0"/>
  </r>
  <r>
    <x v="294"/>
    <n v="27969410"/>
    <s v="W_0"/>
    <n v="0"/>
    <n v="0"/>
    <n v="1.17937E-5"/>
    <n v="0"/>
    <n v="0"/>
    <s v=""/>
    <n v="0"/>
  </r>
  <r>
    <x v="295"/>
    <n v="826055033"/>
    <s v="W_0"/>
    <n v="0"/>
    <n v="0"/>
    <n v="1.1321999999999999E-5"/>
    <n v="0"/>
    <n v="0"/>
    <s v=""/>
    <n v="0"/>
  </r>
  <r>
    <x v="296"/>
    <n v="575992358"/>
    <s v="W_0"/>
    <n v="0"/>
    <n v="0"/>
    <n v="1.0869100000000001E-5"/>
    <n v="0"/>
    <n v="0"/>
    <s v=""/>
    <n v="0"/>
  </r>
  <r>
    <x v="297"/>
    <n v="181951422"/>
    <s v="W_0"/>
    <n v="0"/>
    <n v="0"/>
    <n v="1.0434299999999999E-5"/>
    <n v="0"/>
    <n v="0"/>
    <s v=""/>
    <n v="0"/>
  </r>
  <r>
    <x v="298"/>
    <n v="287212904"/>
    <s v="W_0"/>
    <n v="0"/>
    <n v="0"/>
    <n v="1.0017000000000001E-5"/>
    <n v="0"/>
    <n v="0"/>
    <s v=""/>
    <n v="0"/>
  </r>
  <r>
    <x v="299"/>
    <n v="453296175"/>
    <s v="W_0"/>
    <n v="0"/>
    <n v="0"/>
    <n v="9.61628E-6"/>
    <n v="0"/>
    <n v="0"/>
    <s v=""/>
    <n v="0"/>
  </r>
  <r>
    <x v="300"/>
    <n v="631321981"/>
    <s v="W_0"/>
    <n v="0"/>
    <n v="0"/>
    <n v="9.2316199999999995E-6"/>
    <n v="0"/>
    <n v="0"/>
    <s v=""/>
    <n v="0"/>
  </r>
  <r>
    <x v="301"/>
    <n v="114267695"/>
    <s v="W_0"/>
    <n v="0"/>
    <n v="0"/>
    <n v="8.8623600000000006E-6"/>
    <n v="0"/>
    <n v="0"/>
    <s v=""/>
    <n v="0"/>
  </r>
  <r>
    <x v="302"/>
    <n v="879777812"/>
    <s v="W_0"/>
    <n v="0"/>
    <n v="0"/>
    <n v="8.5078699999999999E-6"/>
    <n v="0"/>
    <n v="0"/>
    <s v=""/>
    <n v="0"/>
  </r>
  <r>
    <x v="303"/>
    <n v="353380199"/>
    <s v="W_0"/>
    <n v="0"/>
    <n v="0"/>
    <n v="8.1675499999999994E-6"/>
    <n v="0"/>
    <n v="0"/>
    <s v=""/>
    <n v="0"/>
  </r>
  <r>
    <x v="304"/>
    <n v="668603093"/>
    <s v="W_0"/>
    <n v="0"/>
    <n v="0"/>
    <n v="7.8408499999999996E-6"/>
    <n v="0"/>
    <n v="0"/>
    <s v=""/>
    <n v="0"/>
  </r>
  <r>
    <x v="305"/>
    <n v="169657502"/>
    <s v="W_0"/>
    <n v="0"/>
    <n v="0"/>
    <n v="7.5272200000000002E-6"/>
    <n v="0"/>
    <n v="0"/>
    <s v=""/>
    <n v="0"/>
  </r>
  <r>
    <x v="306"/>
    <n v="530007217"/>
    <s v="W_0"/>
    <n v="0"/>
    <n v="0"/>
    <n v="7.2261299999999997E-6"/>
    <n v="0"/>
    <n v="0"/>
    <s v=""/>
    <n v="0"/>
  </r>
  <r>
    <x v="307"/>
    <n v="43178698"/>
    <s v="W_0"/>
    <n v="0"/>
    <n v="0"/>
    <n v="6.9370800000000003E-6"/>
    <n v="0"/>
    <n v="0"/>
    <s v=""/>
    <n v="0"/>
  </r>
  <r>
    <x v="308"/>
    <n v="89221786"/>
    <s v="W_0"/>
    <n v="0"/>
    <n v="0"/>
    <n v="6.6595999999999997E-6"/>
    <n v="0"/>
    <n v="0"/>
    <s v=""/>
    <n v="0"/>
  </r>
  <r>
    <x v="309"/>
    <n v="361570699"/>
    <s v="W_0"/>
    <n v="0"/>
    <n v="0"/>
    <n v="6.3932099999999999E-6"/>
    <n v="0"/>
    <n v="0"/>
    <s v=""/>
    <n v="0"/>
  </r>
  <r>
    <x v="310"/>
    <n v="334193250"/>
    <s v="W_0"/>
    <n v="0"/>
    <n v="0"/>
    <n v="6.1374900000000003E-6"/>
    <n v="0"/>
    <n v="0"/>
    <s v=""/>
    <n v="0"/>
  </r>
  <r>
    <x v="311"/>
    <n v="580099953"/>
    <s v="W_0"/>
    <n v="0"/>
    <n v="0"/>
    <n v="5.8919899999999998E-6"/>
    <n v="0"/>
    <n v="0"/>
    <s v=""/>
    <n v="0"/>
  </r>
  <r>
    <x v="312"/>
    <n v="78991511"/>
    <s v="W_0"/>
    <n v="0"/>
    <n v="0"/>
    <n v="5.6563100000000002E-6"/>
    <n v="0"/>
    <n v="0"/>
    <s v=""/>
    <n v="0"/>
  </r>
  <r>
    <x v="313"/>
    <n v="586953022"/>
    <s v="W_0"/>
    <n v="0"/>
    <n v="0"/>
    <n v="5.4300499999999998E-6"/>
    <n v="0"/>
    <n v="0"/>
    <s v=""/>
    <n v="0"/>
  </r>
  <r>
    <x v="314"/>
    <n v="829512702"/>
    <s v="W_0"/>
    <n v="0"/>
    <n v="0"/>
    <n v="5.2128500000000004E-6"/>
    <n v="0"/>
    <n v="0"/>
    <s v=""/>
    <n v="0"/>
  </r>
  <r>
    <x v="315"/>
    <n v="613815557"/>
    <s v="W_0"/>
    <n v="0"/>
    <n v="0"/>
    <n v="5.0043399999999999E-6"/>
    <n v="0"/>
    <n v="0"/>
    <s v=""/>
    <n v="0"/>
  </r>
  <r>
    <x v="316"/>
    <n v="914405504"/>
    <s v="W_0"/>
    <n v="0"/>
    <n v="0"/>
    <n v="4.8041600000000003E-6"/>
    <n v="0"/>
    <n v="0"/>
    <s v=""/>
    <n v="0"/>
  </r>
  <r>
    <x v="317"/>
    <n v="293035967"/>
    <s v="W_0"/>
    <n v="0"/>
    <n v="0"/>
    <n v="4.6120000000000001E-6"/>
    <n v="0"/>
    <n v="0"/>
    <s v=""/>
    <n v="0"/>
  </r>
  <r>
    <x v="318"/>
    <n v="947994935"/>
    <s v="W_0"/>
    <n v="0"/>
    <n v="0"/>
    <n v="4.4275200000000001E-6"/>
    <n v="0"/>
    <n v="0"/>
    <s v=""/>
    <n v="0"/>
  </r>
  <r>
    <x v="319"/>
    <n v="201694033"/>
    <s v="W_0"/>
    <n v="0"/>
    <n v="0"/>
    <n v="4.2504199999999997E-6"/>
    <n v="0"/>
    <n v="0"/>
    <s v=""/>
    <n v="0"/>
  </r>
  <r>
    <x v="320"/>
    <n v="289824202"/>
    <s v="W_0"/>
    <n v="0"/>
    <n v="0"/>
    <n v="4.0803999999999999E-6"/>
    <n v="0"/>
    <n v="0"/>
    <s v=""/>
    <n v="0"/>
  </r>
  <r>
    <x v="321"/>
    <n v="138552628"/>
    <s v="W_0"/>
    <n v="0"/>
    <n v="0"/>
    <n v="3.9171899999999997E-6"/>
    <n v="0"/>
    <n v="0"/>
    <s v=""/>
    <n v="0"/>
  </r>
  <r>
    <x v="322"/>
    <n v="26493040"/>
    <s v="W_0"/>
    <n v="0"/>
    <n v="0"/>
    <n v="3.7604999999999998E-6"/>
    <n v="0"/>
    <n v="0"/>
    <s v=""/>
    <n v="0"/>
  </r>
  <r>
    <x v="323"/>
    <n v="552523840"/>
    <s v="W_0"/>
    <n v="0"/>
    <n v="0"/>
    <n v="3.6100799999999998E-6"/>
    <n v="0"/>
    <n v="0"/>
    <s v=""/>
    <n v="0"/>
  </r>
  <r>
    <x v="324"/>
    <n v="772020571"/>
    <s v="W_0"/>
    <n v="0"/>
    <n v="0"/>
    <n v="3.4656700000000001E-6"/>
    <n v="0"/>
    <n v="0"/>
    <s v=""/>
    <n v="0"/>
  </r>
  <r>
    <x v="325"/>
    <n v="323803752"/>
    <s v="W_0"/>
    <n v="0"/>
    <n v="0"/>
    <n v="3.3270500000000002E-6"/>
    <n v="0"/>
    <n v="0"/>
    <s v=""/>
    <n v="0"/>
  </r>
  <r>
    <x v="326"/>
    <n v="764219511"/>
    <s v="W_0"/>
    <n v="0"/>
    <n v="0"/>
    <n v="3.1939699999999998E-6"/>
    <n v="0"/>
    <n v="0"/>
    <s v=""/>
    <n v="0"/>
  </r>
  <r>
    <x v="327"/>
    <n v="544166387"/>
    <s v="W_0"/>
    <n v="0"/>
    <n v="0"/>
    <n v="3.0662099999999998E-6"/>
    <n v="0"/>
    <n v="0"/>
    <s v=""/>
    <n v="0"/>
  </r>
  <r>
    <x v="328"/>
    <n v="848623397"/>
    <s v="W_0"/>
    <n v="0"/>
    <n v="0"/>
    <n v="2.9435599999999998E-6"/>
    <n v="0"/>
    <n v="0"/>
    <s v=""/>
    <n v="0"/>
  </r>
  <r>
    <x v="329"/>
    <n v="17130638"/>
    <s v="W_0"/>
    <n v="0"/>
    <n v="0"/>
    <n v="2.8258199999999998E-6"/>
    <n v="0"/>
    <n v="0"/>
    <s v=""/>
    <n v="0"/>
  </r>
  <r>
    <x v="330"/>
    <n v="134623092"/>
    <s v="W_0"/>
    <n v="0"/>
    <n v="0"/>
    <n v="2.71278E-6"/>
    <n v="0"/>
    <n v="0"/>
    <s v=""/>
    <n v="0"/>
  </r>
  <r>
    <x v="331"/>
    <n v="314548343"/>
    <s v="W_0"/>
    <n v="0"/>
    <n v="0"/>
    <n v="2.6042699999999998E-6"/>
    <n v="0"/>
    <n v="0"/>
    <s v=""/>
    <n v="0"/>
  </r>
  <r>
    <x v="332"/>
    <n v="153685163"/>
    <s v="W_0"/>
    <n v="0"/>
    <n v="0"/>
    <n v="2.5001E-6"/>
    <n v="0"/>
    <n v="0"/>
    <s v=""/>
    <n v="0"/>
  </r>
  <r>
    <x v="333"/>
    <n v="688105255"/>
    <s v="W_0"/>
    <n v="0"/>
    <n v="0"/>
    <n v="2.4001000000000001E-6"/>
    <n v="0"/>
    <n v="0"/>
    <s v=""/>
    <n v="0"/>
  </r>
  <r>
    <x v="334"/>
    <n v="785501945"/>
    <s v="W_0"/>
    <n v="0"/>
    <n v="0"/>
    <n v="2.3040899999999998E-6"/>
    <n v="0"/>
    <n v="0"/>
    <s v=""/>
    <n v="0"/>
  </r>
  <r>
    <x v="335"/>
    <n v="821573238"/>
    <s v="W_0"/>
    <n v="0"/>
    <n v="0"/>
    <n v="2.2119299999999999E-6"/>
    <n v="0"/>
    <n v="0"/>
    <s v=""/>
    <n v="0"/>
  </r>
  <r>
    <x v="336"/>
    <n v="954212337"/>
    <s v="W_0"/>
    <n v="0"/>
    <n v="0"/>
    <n v="2.12345E-6"/>
    <n v="0"/>
    <n v="0"/>
    <s v=""/>
    <n v="0"/>
  </r>
  <r>
    <x v="337"/>
    <n v="586670474"/>
    <s v="W_0"/>
    <n v="0"/>
    <n v="0"/>
    <n v="2.0385099999999999E-6"/>
    <n v="0"/>
    <n v="0"/>
    <s v=""/>
    <n v="0"/>
  </r>
  <r>
    <x v="338"/>
    <n v="89298551"/>
    <s v="W_0"/>
    <n v="0"/>
    <n v="0"/>
    <n v="1.9569700000000001E-6"/>
    <n v="0"/>
    <n v="0"/>
    <s v=""/>
    <n v="0"/>
  </r>
  <r>
    <x v="339"/>
    <n v="534840130"/>
    <s v="W_0"/>
    <n v="0"/>
    <n v="0"/>
    <n v="1.87869E-6"/>
    <n v="0"/>
    <n v="0"/>
    <s v=""/>
    <n v="0"/>
  </r>
  <r>
    <x v="340"/>
    <n v="241377480"/>
    <s v="W_0"/>
    <n v="0"/>
    <n v="0"/>
    <n v="1.8035500000000001E-6"/>
    <n v="0"/>
    <n v="0"/>
    <s v=""/>
    <n v="0"/>
  </r>
  <r>
    <x v="341"/>
    <n v="167270613"/>
    <s v="W_0"/>
    <n v="0"/>
    <n v="0"/>
    <n v="1.7314099999999999E-6"/>
    <n v="0"/>
    <n v="0"/>
    <s v=""/>
    <n v="0"/>
  </r>
  <r>
    <x v="342"/>
    <n v="573489589"/>
    <s v="W_0"/>
    <n v="0"/>
    <n v="0"/>
    <n v="1.66215E-6"/>
    <n v="0"/>
    <n v="0"/>
    <s v=""/>
    <n v="0"/>
  </r>
  <r>
    <x v="343"/>
    <n v="145372314"/>
    <s v="W_0"/>
    <n v="0"/>
    <n v="0"/>
    <n v="1.59566E-6"/>
    <n v="0"/>
    <n v="0"/>
    <s v=""/>
    <n v="0"/>
  </r>
  <r>
    <x v="344"/>
    <n v="148494787"/>
    <s v="W_0"/>
    <n v="0"/>
    <n v="0"/>
    <n v="1.5318399999999999E-6"/>
    <n v="0"/>
    <n v="0"/>
    <s v=""/>
    <n v="0"/>
  </r>
  <r>
    <x v="345"/>
    <n v="242648219"/>
    <s v="W_0"/>
    <n v="0"/>
    <n v="0"/>
    <n v="1.4705599999999999E-6"/>
    <n v="0"/>
    <n v="0"/>
    <s v=""/>
    <n v="0"/>
  </r>
  <r>
    <x v="346"/>
    <n v="787420277"/>
    <s v="W_0"/>
    <n v="0"/>
    <n v="0"/>
    <n v="1.41174E-6"/>
    <n v="0"/>
    <n v="0"/>
    <s v=""/>
    <n v="0"/>
  </r>
  <r>
    <x v="347"/>
    <n v="931893696"/>
    <s v="W_0"/>
    <n v="0"/>
    <n v="0"/>
    <n v="1.35527E-6"/>
    <n v="0"/>
    <n v="0"/>
    <s v=""/>
    <n v="0"/>
  </r>
  <r>
    <x v="348"/>
    <n v="374164145"/>
    <s v="W_0"/>
    <n v="0"/>
    <n v="0"/>
    <n v="1.3010600000000001E-6"/>
    <n v="0"/>
    <n v="0"/>
    <s v=""/>
    <n v="0"/>
  </r>
  <r>
    <x v="349"/>
    <n v="928000801"/>
    <s v="W_0"/>
    <n v="0"/>
    <n v="0"/>
    <n v="1.2490199999999999E-6"/>
    <n v="0"/>
    <n v="0"/>
    <s v=""/>
    <n v="0"/>
  </r>
  <r>
    <x v="350"/>
    <n v="264926215"/>
    <s v="W_0"/>
    <n v="0"/>
    <n v="0"/>
    <n v="1.19906E-6"/>
    <n v="0"/>
    <n v="0"/>
    <s v=""/>
    <n v="0"/>
  </r>
  <r>
    <x v="351"/>
    <n v="219710849"/>
    <s v="W_0"/>
    <n v="0"/>
    <n v="0"/>
    <n v="1.15109E-6"/>
    <n v="0"/>
    <n v="0"/>
    <s v=""/>
    <n v="0"/>
  </r>
  <r>
    <x v="352"/>
    <n v="64860405"/>
    <s v="W_0"/>
    <n v="0"/>
    <n v="0"/>
    <n v="1.1050499999999999E-6"/>
    <n v="0"/>
    <n v="0"/>
    <s v=""/>
    <n v="0"/>
  </r>
  <r>
    <x v="353"/>
    <n v="913204943"/>
    <s v="W_0"/>
    <n v="0"/>
    <n v="0"/>
    <n v="1.06085E-6"/>
    <n v="0"/>
    <n v="0"/>
    <s v=""/>
    <n v="0"/>
  </r>
  <r>
    <x v="354"/>
    <n v="918431205"/>
    <s v="W_0"/>
    <n v="0"/>
    <n v="0"/>
    <n v="1.0184099999999999E-6"/>
    <n v="0"/>
    <n v="0"/>
    <s v=""/>
    <n v="0"/>
  </r>
  <r>
    <x v="355"/>
    <n v="382940412"/>
    <s v="W_0"/>
    <n v="0"/>
    <n v="0"/>
    <n v="9.77678E-7"/>
    <n v="0"/>
    <n v="0"/>
    <s v=""/>
    <n v="0"/>
  </r>
  <r>
    <x v="356"/>
    <n v="496851344"/>
    <s v="W_0"/>
    <n v="0"/>
    <n v="0"/>
    <n v="9.3857100000000005E-7"/>
    <n v="0"/>
    <n v="0"/>
    <s v=""/>
    <n v="0"/>
  </r>
  <r>
    <x v="357"/>
    <n v="189440161"/>
    <s v="W_0"/>
    <n v="0"/>
    <n v="0"/>
    <n v="9.0102799999999996E-7"/>
    <n v="0"/>
    <n v="0"/>
    <s v=""/>
    <n v="0"/>
  </r>
  <r>
    <x v="358"/>
    <n v="817008087"/>
    <s v="W_0"/>
    <n v="0"/>
    <n v="0"/>
    <n v="8.6498700000000004E-7"/>
    <n v="0"/>
    <n v="0"/>
    <s v=""/>
    <n v="0"/>
  </r>
  <r>
    <x v="359"/>
    <n v="709883471"/>
    <s v="W_0"/>
    <n v="0"/>
    <n v="0"/>
    <n v="8.3038800000000001E-7"/>
    <n v="0"/>
    <n v="0"/>
    <s v=""/>
    <n v="0"/>
  </r>
  <r>
    <x v="360"/>
    <n v="921828041"/>
    <s v="W_0"/>
    <n v="0"/>
    <n v="0"/>
    <n v="7.9717200000000004E-7"/>
    <n v="0"/>
    <n v="0"/>
    <s v=""/>
    <n v="0"/>
  </r>
  <r>
    <x v="361"/>
    <n v="582853247"/>
    <s v="W_0"/>
    <n v="0"/>
    <n v="0"/>
    <n v="7.6528500000000001E-7"/>
    <n v="0"/>
    <n v="0"/>
    <s v=""/>
    <n v="0"/>
  </r>
  <r>
    <x v="362"/>
    <n v="195169261"/>
    <s v="W_0"/>
    <n v="0"/>
    <n v="0"/>
    <n v="7.3467399999999995E-7"/>
    <n v="0"/>
    <n v="0"/>
    <s v=""/>
    <n v="0"/>
  </r>
  <r>
    <x v="363"/>
    <n v="863256402"/>
    <s v="W_0"/>
    <n v="0"/>
    <n v="0"/>
    <n v="7.0528700000000001E-7"/>
    <n v="0"/>
    <n v="0"/>
    <s v=""/>
    <n v="0"/>
  </r>
  <r>
    <x v="364"/>
    <n v="963113104"/>
    <s v="W_0"/>
    <n v="0"/>
    <n v="0"/>
    <n v="6.7707499999999999E-7"/>
    <n v="0"/>
    <n v="0"/>
    <s v=""/>
    <n v="0"/>
  </r>
  <r>
    <x v="365"/>
    <n v="431757026"/>
    <s v="W_0"/>
    <n v="0"/>
    <n v="0"/>
    <n v="6.4999200000000001E-7"/>
    <n v="0"/>
    <n v="0"/>
    <s v=""/>
    <n v="0"/>
  </r>
  <r>
    <x v="366"/>
    <n v="296575919"/>
    <s v="W_0"/>
    <n v="0"/>
    <n v="0"/>
    <n v="6.2399299999999999E-7"/>
    <n v="0"/>
    <n v="0"/>
    <s v=""/>
    <n v="0"/>
  </r>
  <r>
    <x v="367"/>
    <n v="346155792"/>
    <s v="W_0"/>
    <n v="0"/>
    <n v="0"/>
    <n v="5.9903299999999996E-7"/>
    <n v="0"/>
    <n v="0"/>
    <s v=""/>
    <n v="0"/>
  </r>
  <r>
    <x v="368"/>
    <n v="105543828"/>
    <s v="W_0"/>
    <n v="0"/>
    <n v="0"/>
    <n v="5.7507199999999998E-7"/>
    <n v="0"/>
    <n v="0"/>
    <s v=""/>
    <n v="0"/>
  </r>
  <r>
    <x v="369"/>
    <n v="205450790"/>
    <s v="W_0"/>
    <n v="0"/>
    <n v="0"/>
    <n v="5.5206899999999997E-7"/>
    <n v="0"/>
    <n v="0"/>
    <s v=""/>
    <n v="0"/>
  </r>
  <r>
    <x v="370"/>
    <n v="429783974"/>
    <s v="W_0"/>
    <n v="0"/>
    <n v="0"/>
    <n v="5.2998600000000004E-7"/>
    <n v="0"/>
    <n v="0"/>
    <s v=""/>
    <n v="0"/>
  </r>
  <r>
    <x v="371"/>
    <n v="120832171"/>
    <s v="W_0"/>
    <n v="0"/>
    <n v="0"/>
    <n v="5.0878699999999996E-7"/>
    <n v="0"/>
    <n v="0"/>
    <s v=""/>
    <n v="0"/>
  </r>
  <r>
    <x v="372"/>
    <n v="712127419"/>
    <s v="W_0"/>
    <n v="0"/>
    <n v="0"/>
    <n v="4.8843499999999997E-7"/>
    <n v="0"/>
    <n v="0"/>
    <s v=""/>
    <n v="0"/>
  </r>
  <r>
    <x v="373"/>
    <n v="347477913"/>
    <s v="W_0"/>
    <n v="0"/>
    <n v="0"/>
    <n v="4.6889800000000002E-7"/>
    <n v="0"/>
    <n v="0"/>
    <s v=""/>
    <n v="0"/>
  </r>
  <r>
    <x v="374"/>
    <n v="246648460"/>
    <s v="W_0"/>
    <n v="0"/>
    <n v="0"/>
    <n v="4.5014199999999998E-7"/>
    <n v="0"/>
    <n v="0"/>
    <s v=""/>
    <n v="0"/>
  </r>
  <r>
    <x v="375"/>
    <n v="517059965"/>
    <s v="W_0"/>
    <n v="0"/>
    <n v="0"/>
    <n v="4.32136E-7"/>
    <n v="0"/>
    <n v="0"/>
    <s v=""/>
    <n v="0"/>
  </r>
  <r>
    <x v="376"/>
    <n v="997470530"/>
    <s v="W_0"/>
    <n v="0"/>
    <n v="0"/>
    <n v="4.1485100000000001E-7"/>
    <n v="0"/>
    <n v="0"/>
    <s v=""/>
    <n v="0"/>
  </r>
  <r>
    <x v="377"/>
    <n v="707032715"/>
    <s v="W_0"/>
    <n v="0"/>
    <n v="0"/>
    <n v="3.9825699999999999E-7"/>
    <n v="0"/>
    <n v="0"/>
    <s v=""/>
    <n v="0"/>
  </r>
  <r>
    <x v="378"/>
    <n v="286192731"/>
    <s v="W_0"/>
    <n v="0"/>
    <n v="0"/>
    <n v="3.8232600000000001E-7"/>
    <n v="0"/>
    <n v="0"/>
    <s v=""/>
    <n v="0"/>
  </r>
  <r>
    <x v="379"/>
    <n v="642642507"/>
    <s v="W_0"/>
    <n v="0"/>
    <n v="0"/>
    <n v="3.67033E-7"/>
    <n v="0"/>
    <n v="0"/>
    <s v=""/>
    <n v="0"/>
  </r>
  <r>
    <x v="380"/>
    <n v="252541533"/>
    <s v="W_0"/>
    <n v="0"/>
    <n v="0"/>
    <n v="3.52352E-7"/>
    <n v="0"/>
    <n v="0"/>
    <s v=""/>
    <n v="0"/>
  </r>
  <r>
    <x v="381"/>
    <n v="339574670"/>
    <s v="W_0"/>
    <n v="0"/>
    <n v="0"/>
    <n v="3.3825800000000001E-7"/>
    <n v="0"/>
    <n v="0"/>
    <s v=""/>
    <n v="0"/>
  </r>
  <r>
    <x v="382"/>
    <n v="109210196"/>
    <s v="W_0"/>
    <n v="0"/>
    <n v="0"/>
    <n v="3.2472800000000002E-7"/>
    <n v="0"/>
    <n v="0"/>
    <s v=""/>
    <n v="0"/>
  </r>
  <r>
    <x v="383"/>
    <n v="778115495"/>
    <s v="W_0"/>
    <n v="0"/>
    <n v="0"/>
    <n v="3.1173899999999998E-7"/>
    <n v="0"/>
    <n v="0"/>
    <s v=""/>
    <n v="0"/>
  </r>
  <r>
    <x v="384"/>
    <n v="409348478"/>
    <s v="W_0"/>
    <n v="0"/>
    <n v="0"/>
    <n v="2.9926899999999998E-7"/>
    <n v="0"/>
    <n v="0"/>
    <s v=""/>
    <n v="0"/>
  </r>
  <r>
    <x v="385"/>
    <n v="409216068"/>
    <s v="W_0"/>
    <n v="0"/>
    <n v="0"/>
    <n v="2.8729799999999998E-7"/>
    <n v="0"/>
    <n v="0"/>
    <s v=""/>
    <n v="0"/>
  </r>
  <r>
    <x v="386"/>
    <n v="999756168"/>
    <s v="W_0"/>
    <n v="0"/>
    <n v="0"/>
    <n v="2.7580599999999998E-7"/>
    <n v="0"/>
    <n v="0"/>
    <s v=""/>
    <n v="0"/>
  </r>
  <r>
    <x v="387"/>
    <n v="552694014"/>
    <s v="W_0"/>
    <n v="0"/>
    <n v="0"/>
    <n v="2.6477400000000001E-7"/>
    <n v="0"/>
    <n v="0"/>
    <s v=""/>
    <n v="0"/>
  </r>
  <r>
    <x v="388"/>
    <n v="541287964"/>
    <s v="W_0"/>
    <n v="0"/>
    <n v="0"/>
    <n v="2.5418299999999999E-7"/>
    <n v="0"/>
    <n v="0"/>
    <s v=""/>
    <n v="0"/>
  </r>
  <r>
    <x v="389"/>
    <n v="453364300"/>
    <s v="W_0"/>
    <n v="0"/>
    <n v="0"/>
    <n v="2.4401599999999998E-7"/>
    <n v="0"/>
    <n v="0"/>
    <s v=""/>
    <n v="0"/>
  </r>
  <r>
    <x v="390"/>
    <n v="779227039"/>
    <s v="W_0"/>
    <n v="0"/>
    <n v="0"/>
    <n v="2.34255E-7"/>
    <n v="0"/>
    <n v="0"/>
    <s v=""/>
    <n v="0"/>
  </r>
  <r>
    <x v="391"/>
    <n v="148017212"/>
    <s v="W_0"/>
    <n v="0"/>
    <n v="0"/>
    <n v="2.2488499999999999E-7"/>
    <n v="0"/>
    <n v="0"/>
    <s v=""/>
    <n v="0"/>
  </r>
  <r>
    <x v="392"/>
    <n v="987179134"/>
    <s v="W_0"/>
    <n v="0"/>
    <n v="0"/>
    <n v="2.1589000000000001E-7"/>
    <n v="0"/>
    <n v="0"/>
    <s v=""/>
    <n v="0"/>
  </r>
  <r>
    <x v="393"/>
    <n v="180434972"/>
    <s v="W_0"/>
    <n v="0"/>
    <n v="0"/>
    <n v="2.0725400000000001E-7"/>
    <n v="0"/>
    <n v="0"/>
    <s v=""/>
    <n v="0"/>
  </r>
  <r>
    <x v="394"/>
    <n v="74258728"/>
    <s v="W_0"/>
    <n v="0"/>
    <n v="0"/>
    <n v="1.9896400000000001E-7"/>
    <n v="0"/>
    <n v="0"/>
    <s v=""/>
    <n v="0"/>
  </r>
  <r>
    <x v="395"/>
    <n v="464333262"/>
    <s v="W_0"/>
    <n v="0"/>
    <n v="0"/>
    <n v="1.9100500000000001E-7"/>
    <n v="0"/>
    <n v="0"/>
    <s v=""/>
    <n v="0"/>
  </r>
  <r>
    <x v="396"/>
    <n v="101181173"/>
    <s v="W_0"/>
    <n v="0"/>
    <n v="0"/>
    <n v="1.83365E-7"/>
    <n v="0"/>
    <n v="0"/>
    <s v=""/>
    <n v="0"/>
  </r>
  <r>
    <x v="397"/>
    <n v="181233041"/>
    <s v="W_0"/>
    <n v="0"/>
    <n v="0"/>
    <n v="1.7603E-7"/>
    <n v="0"/>
    <n v="0"/>
    <s v=""/>
    <n v="0"/>
  </r>
  <r>
    <x v="398"/>
    <n v="757583585"/>
    <s v="W_0"/>
    <n v="0"/>
    <n v="0"/>
    <n v="1.6898900000000001E-7"/>
    <n v="0"/>
    <n v="0"/>
    <s v=""/>
    <n v="0"/>
  </r>
  <r>
    <x v="399"/>
    <n v="388104017"/>
    <s v="W_0"/>
    <n v="0"/>
    <n v="0"/>
    <n v="1.6222999999999999E-7"/>
    <n v="0"/>
    <n v="0"/>
    <s v=""/>
    <n v="0"/>
  </r>
  <r>
    <x v="400"/>
    <n v="615048719"/>
    <s v="W_0"/>
    <n v="0"/>
    <n v="0"/>
    <n v="1.5573999999999999E-7"/>
    <n v="0"/>
    <n v="0"/>
    <s v=""/>
    <n v="0"/>
  </r>
  <r>
    <x v="401"/>
    <n v="681962565"/>
    <s v="W_0"/>
    <n v="0"/>
    <n v="0"/>
    <n v="1.4951099999999999E-7"/>
    <n v="0"/>
    <n v="0"/>
    <s v=""/>
    <n v="0"/>
  </r>
  <r>
    <x v="402"/>
    <n v="533863293"/>
    <s v="W_0"/>
    <n v="0"/>
    <n v="0"/>
    <n v="1.4352999999999999E-7"/>
    <n v="0"/>
    <n v="0"/>
    <s v=""/>
    <n v="0"/>
  </r>
  <r>
    <x v="403"/>
    <n v="967843412"/>
    <s v="W_0"/>
    <n v="0"/>
    <n v="0"/>
    <n v="1.3778899999999999E-7"/>
    <n v="0"/>
    <n v="0"/>
    <s v=""/>
    <n v="0"/>
  </r>
  <r>
    <x v="404"/>
    <n v="341320993"/>
    <s v="W_0"/>
    <n v="0"/>
    <n v="0"/>
    <n v="1.3227799999999999E-7"/>
    <n v="0"/>
    <n v="0"/>
    <s v=""/>
    <n v="0"/>
  </r>
  <r>
    <x v="405"/>
    <n v="803839102"/>
    <s v="W_0"/>
    <n v="0"/>
    <n v="0"/>
    <n v="1.26987E-7"/>
    <n v="0"/>
    <n v="0"/>
    <s v=""/>
    <n v="0"/>
  </r>
  <r>
    <x v="406"/>
    <n v="343360349"/>
    <s v="W_0"/>
    <n v="0"/>
    <n v="0"/>
    <n v="1.2190700000000001E-7"/>
    <n v="0"/>
    <n v="0"/>
    <s v=""/>
    <n v="0"/>
  </r>
  <r>
    <x v="407"/>
    <n v="672092285"/>
    <s v="W_0"/>
    <n v="0"/>
    <n v="0"/>
    <n v="1.17031E-7"/>
    <n v="0"/>
    <n v="0"/>
    <s v=""/>
    <n v="0"/>
  </r>
  <r>
    <x v="408"/>
    <n v="505585372"/>
    <s v="W_0"/>
    <n v="0"/>
    <n v="0"/>
    <n v="1.1235E-7"/>
    <n v="0"/>
    <n v="0"/>
    <s v=""/>
    <n v="0"/>
  </r>
  <r>
    <x v="409"/>
    <n v="979223678"/>
    <s v="W_0"/>
    <n v="0"/>
    <n v="0"/>
    <n v="1.07856E-7"/>
    <n v="0"/>
    <n v="0"/>
    <s v=""/>
    <n v="0"/>
  </r>
  <r>
    <x v="410"/>
    <n v="960136073"/>
    <s v="W_0"/>
    <n v="0"/>
    <n v="0"/>
    <n v="1.03541E-7"/>
    <n v="0"/>
    <n v="0"/>
    <s v=""/>
    <n v="0"/>
  </r>
  <r>
    <x v="411"/>
    <n v="417411667"/>
    <s v="W_0"/>
    <n v="0"/>
    <n v="0"/>
    <n v="9.93997E-8"/>
    <n v="0"/>
    <n v="0"/>
    <s v=""/>
    <n v="0"/>
  </r>
  <r>
    <x v="412"/>
    <n v="100485665"/>
    <s v="W_0"/>
    <n v="0"/>
    <n v="0"/>
    <n v="9.5423700000000005E-8"/>
    <n v="0"/>
    <n v="0"/>
    <s v=""/>
    <n v="0"/>
  </r>
  <r>
    <x v="413"/>
    <n v="554506727"/>
    <s v="W_0"/>
    <n v="0"/>
    <n v="0"/>
    <n v="9.1606799999999997E-8"/>
    <n v="0"/>
    <n v="0"/>
    <s v=""/>
    <n v="0"/>
  </r>
  <r>
    <x v="414"/>
    <n v="402911378"/>
    <s v="W_0"/>
    <n v="0"/>
    <n v="0"/>
    <n v="8.7942499999999995E-8"/>
    <n v="0"/>
    <n v="0"/>
    <s v=""/>
    <n v="0"/>
  </r>
  <r>
    <x v="415"/>
    <n v="753950356"/>
    <s v="W_0"/>
    <n v="0"/>
    <n v="0"/>
    <n v="8.4424800000000006E-8"/>
    <n v="0"/>
    <n v="0"/>
    <s v=""/>
    <n v="0"/>
  </r>
  <r>
    <x v="416"/>
    <n v="874565421"/>
    <s v="W_0"/>
    <n v="0"/>
    <n v="0"/>
    <n v="8.1047800000000001E-8"/>
    <n v="0"/>
    <n v="0"/>
    <s v=""/>
    <n v="0"/>
  </r>
  <r>
    <x v="417"/>
    <n v="972524948"/>
    <s v="W_0"/>
    <n v="0"/>
    <n v="0"/>
    <n v="7.7805899999999997E-8"/>
    <n v="0"/>
    <n v="0"/>
    <s v=""/>
    <n v="0"/>
  </r>
  <r>
    <x v="418"/>
    <n v="495902099"/>
    <s v="W_0"/>
    <n v="0"/>
    <n v="0"/>
    <n v="7.4693599999999999E-8"/>
    <n v="0"/>
    <n v="0"/>
    <s v=""/>
    <n v="0"/>
  </r>
  <r>
    <x v="419"/>
    <n v="333131467"/>
    <s v="W_0"/>
    <n v="0"/>
    <n v="0"/>
    <n v="7.1705900000000002E-8"/>
    <n v="0"/>
    <n v="0"/>
    <s v=""/>
    <n v="0"/>
  </r>
  <r>
    <x v="420"/>
    <n v="653026098"/>
    <s v="W_0"/>
    <n v="0"/>
    <n v="0"/>
    <n v="6.8837699999999994E-8"/>
    <n v="0"/>
    <n v="0"/>
    <s v=""/>
    <n v="0"/>
  </r>
  <r>
    <x v="421"/>
    <n v="505412516"/>
    <s v="W_0"/>
    <n v="0"/>
    <n v="0"/>
    <n v="6.6084199999999996E-8"/>
    <n v="0"/>
    <n v="0"/>
    <s v=""/>
    <n v="0"/>
  </r>
  <r>
    <x v="422"/>
    <n v="816186026"/>
    <s v="W_0"/>
    <n v="0"/>
    <n v="0"/>
    <n v="6.3440799999999995E-8"/>
    <n v="0"/>
    <n v="0"/>
    <s v=""/>
    <n v="0"/>
  </r>
  <r>
    <x v="423"/>
    <n v="371952423"/>
    <s v="W_0"/>
    <n v="0"/>
    <n v="0"/>
    <n v="6.0903199999999997E-8"/>
    <n v="0"/>
    <n v="0"/>
    <s v=""/>
    <n v="0"/>
  </r>
  <r>
    <x v="424"/>
    <n v="509247036"/>
    <s v="W_0"/>
    <n v="0"/>
    <n v="0"/>
    <n v="5.8466999999999997E-8"/>
    <n v="0"/>
    <n v="0"/>
    <s v=""/>
    <n v="0"/>
  </r>
  <r>
    <x v="425"/>
    <n v="684909644"/>
    <s v="W_0"/>
    <n v="0"/>
    <n v="0"/>
    <n v="5.61284E-8"/>
    <n v="0"/>
    <n v="0"/>
    <s v=""/>
    <n v="0"/>
  </r>
  <r>
    <x v="426"/>
    <n v="266244777"/>
    <s v="W_0"/>
    <n v="0"/>
    <n v="0"/>
    <n v="5.3883199999999998E-8"/>
    <n v="0"/>
    <n v="0"/>
    <s v=""/>
    <n v="0"/>
  </r>
  <r>
    <x v="427"/>
    <n v="472430546"/>
    <s v="W_0"/>
    <n v="0"/>
    <n v="0"/>
    <n v="5.17279E-8"/>
    <n v="0"/>
    <n v="0"/>
    <s v=""/>
    <n v="0"/>
  </r>
  <r>
    <x v="428"/>
    <n v="75339336"/>
    <s v="W_0"/>
    <n v="0"/>
    <n v="0"/>
    <n v="4.9658799999999997E-8"/>
    <n v="0"/>
    <n v="0"/>
    <s v=""/>
    <n v="0"/>
  </r>
  <r>
    <x v="429"/>
    <n v="606580838"/>
    <s v="W_0"/>
    <n v="0"/>
    <n v="0"/>
    <n v="4.76724E-8"/>
    <n v="0"/>
    <n v="0"/>
    <s v=""/>
    <n v="0"/>
  </r>
  <r>
    <x v="430"/>
    <n v="409110375"/>
    <s v="W_0"/>
    <n v="0"/>
    <n v="0"/>
    <n v="4.57655E-8"/>
    <n v="0"/>
    <n v="0"/>
    <s v=""/>
    <n v="0"/>
  </r>
  <r>
    <x v="431"/>
    <n v="755992754"/>
    <s v="W_0"/>
    <n v="0"/>
    <n v="0"/>
    <n v="4.3934899999999997E-8"/>
    <n v="0"/>
    <n v="0"/>
    <s v=""/>
    <n v="0"/>
  </r>
  <r>
    <x v="432"/>
    <n v="554247322"/>
    <s v="W_0"/>
    <n v="0"/>
    <n v="0"/>
    <n v="4.2177500000000002E-8"/>
    <n v="0"/>
    <n v="0"/>
    <s v=""/>
    <n v="0"/>
  </r>
  <r>
    <x v="433"/>
    <n v="754713312"/>
    <s v="W_0"/>
    <n v="0"/>
    <n v="0"/>
    <n v="4.0490400000000002E-8"/>
    <n v="0"/>
    <n v="0"/>
    <s v=""/>
    <n v="0"/>
  </r>
  <r>
    <x v="434"/>
    <n v="763846463"/>
    <s v="W_0"/>
    <n v="0"/>
    <n v="0"/>
    <n v="3.88708E-8"/>
    <n v="0"/>
    <n v="0"/>
    <s v=""/>
    <n v="0"/>
  </r>
  <r>
    <x v="435"/>
    <n v="219356870"/>
    <s v="W_0"/>
    <n v="0"/>
    <n v="0"/>
    <n v="3.7316000000000001E-8"/>
    <n v="0"/>
    <n v="0"/>
    <s v=""/>
    <n v="0"/>
  </r>
  <r>
    <x v="436"/>
    <n v="410799490"/>
    <s v="W_0"/>
    <n v="0"/>
    <n v="0"/>
    <n v="3.5823299999999999E-8"/>
    <n v="0"/>
    <n v="0"/>
    <s v=""/>
    <n v="0"/>
  </r>
  <r>
    <x v="437"/>
    <n v="97873848"/>
    <s v="W_0"/>
    <n v="0"/>
    <n v="0"/>
    <n v="3.4390400000000001E-8"/>
    <n v="0"/>
    <n v="0"/>
    <s v=""/>
    <n v="0"/>
  </r>
  <r>
    <x v="438"/>
    <n v="122114084"/>
    <s v="W_0"/>
    <n v="0"/>
    <n v="0"/>
    <n v="3.3014799999999997E-8"/>
    <n v="0"/>
    <n v="0"/>
    <s v=""/>
    <n v="0"/>
  </r>
  <r>
    <x v="439"/>
    <n v="878262718"/>
    <s v="W_0"/>
    <n v="0"/>
    <n v="0"/>
    <n v="3.1694200000000003E-8"/>
    <n v="0"/>
    <n v="0"/>
    <s v=""/>
    <n v="0"/>
  </r>
  <r>
    <x v="440"/>
    <n v="680385536"/>
    <s v="W_0"/>
    <n v="0"/>
    <n v="0"/>
    <n v="3.0426399999999999E-8"/>
    <n v="0"/>
    <n v="0"/>
    <s v=""/>
    <n v="0"/>
  </r>
  <r>
    <x v="441"/>
    <n v="614636719"/>
    <s v="W_0"/>
    <n v="0"/>
    <n v="0"/>
    <n v="2.9209399999999999E-8"/>
    <n v="0"/>
    <n v="0"/>
    <s v=""/>
    <n v="0"/>
  </r>
  <r>
    <x v="442"/>
    <n v="667089082"/>
    <s v="W_0"/>
    <n v="0"/>
    <n v="0"/>
    <n v="2.8040999999999999E-8"/>
    <n v="0"/>
    <n v="0"/>
    <s v=""/>
    <n v="0"/>
  </r>
  <r>
    <x v="443"/>
    <n v="754475882"/>
    <s v="W_0"/>
    <n v="0"/>
    <n v="0"/>
    <n v="2.6919300000000001E-8"/>
    <n v="0"/>
    <n v="0"/>
    <s v=""/>
    <n v="0"/>
  </r>
  <r>
    <x v="444"/>
    <n v="664340012"/>
    <s v="W_0"/>
    <n v="0"/>
    <n v="0"/>
    <n v="2.58426E-8"/>
    <n v="0"/>
    <n v="0"/>
    <s v=""/>
    <n v="0"/>
  </r>
  <r>
    <x v="445"/>
    <n v="662731058"/>
    <s v="W_0"/>
    <n v="0"/>
    <n v="0"/>
    <n v="2.4808899999999999E-8"/>
    <n v="0"/>
    <n v="0"/>
    <s v=""/>
    <n v="0"/>
  </r>
  <r>
    <x v="446"/>
    <n v="608743063"/>
    <s v="W_0"/>
    <n v="0"/>
    <n v="0"/>
    <n v="2.38165E-8"/>
    <n v="0"/>
    <n v="0"/>
    <s v=""/>
    <n v="0"/>
  </r>
  <r>
    <x v="447"/>
    <n v="319927294"/>
    <s v="W_0"/>
    <n v="0"/>
    <n v="0"/>
    <n v="2.28639E-8"/>
    <n v="0"/>
    <n v="0"/>
    <s v=""/>
    <n v="0"/>
  </r>
  <r>
    <x v="448"/>
    <n v="399476449"/>
    <s v="W_0"/>
    <n v="0"/>
    <n v="0"/>
    <n v="2.19493E-8"/>
    <n v="0"/>
    <n v="0"/>
    <s v=""/>
    <n v="0"/>
  </r>
  <r>
    <x v="449"/>
    <n v="823902069"/>
    <s v="W_0"/>
    <n v="0"/>
    <n v="0"/>
    <n v="2.10713E-8"/>
    <n v="0"/>
    <n v="0"/>
    <s v=""/>
    <n v="0"/>
  </r>
  <r>
    <x v="450"/>
    <n v="503335271"/>
    <s v="W_0"/>
    <n v="0"/>
    <n v="0"/>
    <n v="2.0228500000000001E-8"/>
    <n v="0"/>
    <n v="0"/>
    <s v=""/>
    <n v="0"/>
  </r>
  <r>
    <x v="451"/>
    <n v="499421395"/>
    <s v="W_0"/>
    <n v="0"/>
    <n v="0"/>
    <n v="1.94193E-8"/>
    <n v="0"/>
    <n v="0"/>
    <s v=""/>
    <n v="0"/>
  </r>
  <r>
    <x v="452"/>
    <n v="112437424"/>
    <s v="W_0"/>
    <n v="0"/>
    <n v="0"/>
    <n v="1.8642599999999998E-8"/>
    <n v="0"/>
    <n v="0"/>
    <s v=""/>
    <n v="0"/>
  </r>
  <r>
    <x v="453"/>
    <n v="690505706"/>
    <s v="W_0"/>
    <n v="0"/>
    <n v="0"/>
    <n v="1.7896899999999999E-8"/>
    <n v="0"/>
    <n v="0"/>
    <s v=""/>
    <n v="0"/>
  </r>
  <r>
    <x v="454"/>
    <n v="217190435"/>
    <s v="W_0"/>
    <n v="0"/>
    <n v="0"/>
    <n v="1.7181E-8"/>
    <n v="0"/>
    <n v="0"/>
    <s v=""/>
    <n v="0"/>
  </r>
  <r>
    <x v="455"/>
    <n v="216659257"/>
    <s v="W_0"/>
    <n v="0"/>
    <n v="0"/>
    <n v="1.6493699999999999E-8"/>
    <n v="0"/>
    <n v="0"/>
    <s v=""/>
    <n v="0"/>
  </r>
  <r>
    <x v="456"/>
    <n v="928193350"/>
    <s v="W_0"/>
    <n v="0"/>
    <n v="0"/>
    <n v="1.5834000000000001E-8"/>
    <n v="0"/>
    <n v="0"/>
    <s v=""/>
    <n v="0"/>
  </r>
  <r>
    <x v="457"/>
    <n v="214032322"/>
    <s v="W_0"/>
    <n v="0"/>
    <n v="0"/>
    <n v="1.52006E-8"/>
    <n v="0"/>
    <n v="0"/>
    <s v=""/>
    <n v="0"/>
  </r>
  <r>
    <x v="458"/>
    <n v="544625282"/>
    <s v="W_0"/>
    <n v="0"/>
    <n v="0"/>
    <n v="1.45926E-8"/>
    <n v="0"/>
    <n v="0"/>
    <s v=""/>
    <n v="0"/>
  </r>
  <r>
    <x v="459"/>
    <n v="837644506"/>
    <s v="W_0"/>
    <n v="0"/>
    <n v="0"/>
    <n v="1.4008899999999999E-8"/>
    <n v="0"/>
    <n v="0"/>
    <s v=""/>
    <n v="0"/>
  </r>
  <r>
    <x v="460"/>
    <n v="502279971"/>
    <s v="W_0"/>
    <n v="0"/>
    <n v="0"/>
    <n v="1.34485E-8"/>
    <n v="0"/>
    <n v="0"/>
    <s v=""/>
    <n v="0"/>
  </r>
  <r>
    <x v="461"/>
    <n v="119422827"/>
    <s v="W_0"/>
    <n v="0"/>
    <n v="0"/>
    <n v="1.29106E-8"/>
    <n v="0"/>
    <n v="0"/>
    <s v=""/>
    <n v="0"/>
  </r>
  <r>
    <x v="462"/>
    <n v="365005252"/>
    <s v="W_0"/>
    <n v="0"/>
    <n v="0"/>
    <n v="1.2394199999999999E-8"/>
    <n v="0"/>
    <n v="0"/>
    <s v=""/>
    <n v="0"/>
  </r>
  <r>
    <x v="463"/>
    <n v="759661178"/>
    <s v="W_0"/>
    <n v="0"/>
    <n v="0"/>
    <n v="1.18984E-8"/>
    <n v="0"/>
    <n v="0"/>
    <s v=""/>
    <n v="0"/>
  </r>
  <r>
    <x v="464"/>
    <n v="729177729"/>
    <s v="W_0"/>
    <n v="0"/>
    <n v="0"/>
    <n v="1.14225E-8"/>
    <n v="0"/>
    <n v="0"/>
    <s v=""/>
    <n v="0"/>
  </r>
  <r>
    <x v="465"/>
    <n v="307984075"/>
    <s v="W_0"/>
    <n v="0"/>
    <n v="0"/>
    <n v="1.09656E-8"/>
    <n v="0"/>
    <n v="0"/>
    <s v=""/>
    <n v="0"/>
  </r>
  <r>
    <x v="466"/>
    <n v="561616936"/>
    <s v="W_0"/>
    <n v="0"/>
    <n v="0"/>
    <n v="1.0527000000000001E-8"/>
    <n v="0"/>
    <n v="0"/>
    <s v=""/>
    <n v="0"/>
  </r>
  <r>
    <x v="467"/>
    <n v="499736493"/>
    <s v="W_0"/>
    <n v="0"/>
    <n v="0"/>
    <n v="1.0105899999999999E-8"/>
    <n v="0"/>
    <n v="0"/>
    <s v=""/>
    <n v="0"/>
  </r>
  <r>
    <x v="468"/>
    <n v="240232293"/>
    <s v="W_0"/>
    <n v="0"/>
    <n v="0"/>
    <n v="9.7016399999999992E-9"/>
    <n v="0"/>
    <n v="0"/>
    <s v=""/>
    <n v="0"/>
  </r>
  <r>
    <x v="469"/>
    <n v="462297772"/>
    <s v="W_0"/>
    <n v="0"/>
    <n v="0"/>
    <n v="9.31358E-9"/>
    <n v="0"/>
    <n v="0"/>
    <s v=""/>
    <n v="0"/>
  </r>
  <r>
    <x v="470"/>
    <n v="115732100"/>
    <s v="W_0"/>
    <n v="0"/>
    <n v="0"/>
    <n v="8.9410300000000001E-9"/>
    <n v="0"/>
    <n v="0"/>
    <s v=""/>
    <n v="0"/>
  </r>
  <r>
    <x v="471"/>
    <n v="652686799"/>
    <s v="W_0"/>
    <n v="0"/>
    <n v="0"/>
    <n v="8.5833900000000001E-9"/>
    <n v="0"/>
    <n v="0"/>
    <s v=""/>
    <n v="0"/>
  </r>
  <r>
    <x v="472"/>
    <n v="153815200"/>
    <s v="W_0"/>
    <n v="0"/>
    <n v="0"/>
    <n v="8.2400600000000006E-9"/>
    <n v="0"/>
    <n v="0"/>
    <s v=""/>
    <n v="0"/>
  </r>
  <r>
    <x v="473"/>
    <n v="139810323"/>
    <s v="W_0"/>
    <n v="0"/>
    <n v="0"/>
    <n v="7.9104600000000004E-9"/>
    <n v="0"/>
    <n v="0"/>
    <s v=""/>
    <n v="0"/>
  </r>
  <r>
    <x v="474"/>
    <n v="240757007"/>
    <s v="W_0"/>
    <n v="0"/>
    <n v="0"/>
    <n v="7.5940399999999996E-9"/>
    <n v="0"/>
    <n v="0"/>
    <s v=""/>
    <n v="0"/>
  </r>
  <r>
    <x v="475"/>
    <n v="799662909"/>
    <s v="W_0"/>
    <n v="0"/>
    <n v="0"/>
    <n v="7.2902800000000002E-9"/>
    <n v="0"/>
    <n v="0"/>
    <s v=""/>
    <n v="0"/>
  </r>
  <r>
    <x v="476"/>
    <n v="991557721"/>
    <s v="W_0"/>
    <n v="0"/>
    <n v="0"/>
    <n v="6.9986600000000003E-9"/>
    <n v="0"/>
    <n v="0"/>
    <s v=""/>
    <n v="0"/>
  </r>
  <r>
    <x v="477"/>
    <n v="217483586"/>
    <s v="W_0"/>
    <n v="0"/>
    <n v="0"/>
    <n v="6.7187199999999997E-9"/>
    <n v="0"/>
    <n v="0"/>
    <s v=""/>
    <n v="0"/>
  </r>
  <r>
    <x v="478"/>
    <n v="963542721"/>
    <s v="W_0"/>
    <n v="0"/>
    <n v="0"/>
    <n v="6.4499700000000002E-9"/>
    <n v="0"/>
    <n v="0"/>
    <s v=""/>
    <n v="0"/>
  </r>
  <r>
    <x v="479"/>
    <n v="155945983"/>
    <s v="W_0"/>
    <n v="0"/>
    <n v="0"/>
    <n v="6.1919699999999997E-9"/>
    <n v="0"/>
    <n v="0"/>
    <s v=""/>
    <n v="0"/>
  </r>
  <r>
    <x v="480"/>
    <n v="214775101"/>
    <s v="W_0"/>
    <n v="0"/>
    <n v="0"/>
    <n v="5.94429E-9"/>
    <n v="0"/>
    <n v="0"/>
    <s v=""/>
    <n v="0"/>
  </r>
  <r>
    <x v="481"/>
    <n v="854562422"/>
    <s v="W_0"/>
    <n v="0"/>
    <n v="0"/>
    <n v="5.7065200000000003E-9"/>
    <n v="0"/>
    <n v="0"/>
    <s v=""/>
    <n v="0"/>
  </r>
  <r>
    <x v="482"/>
    <n v="862976925"/>
    <s v="W_0"/>
    <n v="0"/>
    <n v="0"/>
    <n v="5.4782599999999997E-9"/>
    <n v="0"/>
    <n v="0"/>
    <s v=""/>
    <n v="0"/>
  </r>
  <r>
    <x v="483"/>
    <n v="155380542"/>
    <s v="W_0"/>
    <n v="0"/>
    <n v="0"/>
    <n v="5.2591300000000002E-9"/>
    <n v="0"/>
    <n v="0"/>
    <s v=""/>
    <n v="0"/>
  </r>
  <r>
    <x v="484"/>
    <n v="777922170"/>
    <s v="W_0"/>
    <n v="0"/>
    <n v="0"/>
    <n v="5.0487599999999998E-9"/>
    <n v="0"/>
    <n v="0"/>
    <s v=""/>
    <n v="0"/>
  </r>
  <r>
    <x v="485"/>
    <n v="573599403"/>
    <s v="W_0"/>
    <n v="0"/>
    <n v="0"/>
    <n v="4.8468100000000001E-9"/>
    <n v="0"/>
    <n v="0"/>
    <s v=""/>
    <n v="0"/>
  </r>
  <r>
    <x v="486"/>
    <n v="942678229"/>
    <s v="W_0"/>
    <n v="0"/>
    <n v="0"/>
    <n v="4.6529400000000003E-9"/>
    <n v="0"/>
    <n v="0"/>
    <s v=""/>
    <n v="0"/>
  </r>
  <r>
    <x v="487"/>
    <n v="26070470"/>
    <s v="W_0"/>
    <n v="0"/>
    <n v="0"/>
    <n v="4.4668200000000001E-9"/>
    <n v="0"/>
    <n v="0"/>
    <s v=""/>
    <n v="0"/>
  </r>
  <r>
    <x v="488"/>
    <n v="143261146"/>
    <s v="W_0"/>
    <n v="0"/>
    <n v="0"/>
    <n v="4.2881499999999999E-9"/>
    <n v="0"/>
    <n v="0"/>
    <s v=""/>
    <n v="0"/>
  </r>
  <r>
    <x v="489"/>
    <n v="771318741"/>
    <s v="W_0"/>
    <n v="0"/>
    <n v="0"/>
    <n v="4.1166200000000002E-9"/>
    <n v="0"/>
    <n v="0"/>
    <s v=""/>
    <n v="0"/>
  </r>
  <r>
    <x v="490"/>
    <n v="580462080"/>
    <s v="W_0"/>
    <n v="0"/>
    <n v="0"/>
    <n v="3.9519600000000001E-9"/>
    <n v="0"/>
    <n v="0"/>
    <s v=""/>
    <n v="0"/>
  </r>
  <r>
    <x v="491"/>
    <n v="732753108"/>
    <s v="W_0"/>
    <n v="0"/>
    <n v="0"/>
    <n v="3.7938799999999997E-9"/>
    <n v="0"/>
    <n v="0"/>
    <s v=""/>
    <n v="0"/>
  </r>
  <r>
    <x v="492"/>
    <n v="306274132"/>
    <s v="W_0"/>
    <n v="0"/>
    <n v="0"/>
    <n v="3.6421300000000001E-9"/>
    <n v="0"/>
    <n v="0"/>
    <s v=""/>
    <n v="0"/>
  </r>
  <r>
    <x v="493"/>
    <n v="460986768"/>
    <s v="W_0"/>
    <n v="0"/>
    <n v="0"/>
    <n v="3.49644E-9"/>
    <n v="0"/>
    <n v="0"/>
    <s v=""/>
    <n v="0"/>
  </r>
  <r>
    <x v="494"/>
    <n v="957588513"/>
    <s v="W_0"/>
    <n v="0"/>
    <n v="0"/>
    <n v="3.35658E-9"/>
    <n v="0"/>
    <n v="0"/>
    <s v=""/>
    <n v="0"/>
  </r>
  <r>
    <x v="495"/>
    <n v="679607242"/>
    <s v="W_0"/>
    <n v="0"/>
    <n v="0"/>
    <n v="3.2223200000000001E-9"/>
    <n v="0"/>
    <n v="0"/>
    <s v=""/>
    <n v="0"/>
  </r>
  <r>
    <x v="496"/>
    <n v="966101454"/>
    <s v="W_0"/>
    <n v="0"/>
    <n v="0"/>
    <n v="3.0934300000000001E-9"/>
    <n v="0"/>
    <n v="0"/>
    <s v=""/>
    <n v="0"/>
  </r>
  <r>
    <x v="497"/>
    <n v="723897936"/>
    <s v="W_0"/>
    <n v="0"/>
    <n v="0"/>
    <n v="2.9696899999999999E-9"/>
    <n v="0"/>
    <n v="0"/>
    <s v=""/>
    <n v="0"/>
  </r>
  <r>
    <x v="498"/>
    <n v="849490600"/>
    <s v="W_0"/>
    <n v="0"/>
    <n v="0"/>
    <n v="2.8509000000000002E-9"/>
    <n v="0"/>
    <n v="0"/>
    <s v=""/>
    <n v="0"/>
  </r>
  <r>
    <x v="499"/>
    <n v="283963449"/>
    <s v="W_0"/>
    <n v="0"/>
    <n v="0"/>
    <n v="2.7368699999999999E-9"/>
    <n v="0"/>
    <n v="0"/>
    <s v=""/>
    <n v="0"/>
  </r>
  <r>
    <x v="500"/>
    <n v="262557037"/>
    <s v="W_0"/>
    <n v="0"/>
    <n v="0"/>
    <n v="2.62739E-9"/>
    <n v="0"/>
    <n v="0"/>
    <s v=""/>
    <n v="0"/>
  </r>
  <r>
    <x v="501"/>
    <n v="224710013"/>
    <s v="W_0"/>
    <n v="0"/>
    <n v="0"/>
    <n v="2.5222999999999999E-9"/>
    <n v="0"/>
    <n v="0"/>
    <s v=""/>
    <n v="0"/>
  </r>
  <r>
    <x v="502"/>
    <n v="682155834"/>
    <s v="W_0"/>
    <n v="0"/>
    <n v="0"/>
    <n v="2.4213999999999999E-9"/>
    <n v="0"/>
    <n v="0"/>
    <s v=""/>
    <n v="0"/>
  </r>
  <r>
    <x v="503"/>
    <n v="94700100"/>
    <s v="W_0"/>
    <n v="0"/>
    <n v="0"/>
    <n v="2.3245499999999998E-9"/>
    <n v="0"/>
    <n v="0"/>
    <s v=""/>
    <n v="0"/>
  </r>
  <r>
    <x v="504"/>
    <n v="454194356"/>
    <s v="W_0"/>
    <n v="0"/>
    <n v="0"/>
    <n v="2.23157E-9"/>
    <n v="0"/>
    <n v="0"/>
    <s v=""/>
    <n v="0"/>
  </r>
  <r>
    <x v="505"/>
    <n v="154439856"/>
    <s v="W_0"/>
    <n v="0"/>
    <n v="0"/>
    <n v="2.1422999999999999E-9"/>
    <n v="0"/>
    <n v="0"/>
    <s v=""/>
    <n v="0"/>
  </r>
  <r>
    <x v="506"/>
    <n v="653951407"/>
    <s v="W_0"/>
    <n v="0"/>
    <n v="0"/>
    <n v="2.05661E-9"/>
    <n v="0"/>
    <n v="0"/>
    <s v=""/>
    <n v="0"/>
  </r>
  <r>
    <x v="507"/>
    <n v="690051493"/>
    <s v="W_0"/>
    <n v="0"/>
    <n v="0"/>
    <n v="1.9743499999999999E-9"/>
    <n v="0"/>
    <n v="0"/>
    <s v=""/>
    <n v="0"/>
  </r>
  <r>
    <x v="508"/>
    <n v="936972540"/>
    <s v="W_0"/>
    <n v="0"/>
    <n v="0"/>
    <n v="1.8953699999999998E-9"/>
    <n v="0"/>
    <n v="0"/>
    <s v=""/>
    <n v="0"/>
  </r>
  <r>
    <x v="509"/>
    <n v="831486472"/>
    <s v="W_0"/>
    <n v="0"/>
    <n v="0"/>
    <n v="1.8195600000000001E-9"/>
    <n v="0"/>
    <n v="0"/>
    <s v=""/>
    <n v="0"/>
  </r>
  <r>
    <x v="510"/>
    <n v="42920728"/>
    <s v="W_0"/>
    <n v="0"/>
    <n v="0"/>
    <n v="1.74678E-9"/>
    <n v="0"/>
    <n v="0"/>
    <s v=""/>
    <n v="0"/>
  </r>
  <r>
    <x v="511"/>
    <n v="666336386"/>
    <s v="W_0"/>
    <n v="0"/>
    <n v="0"/>
    <n v="1.6769000000000001E-9"/>
    <n v="0"/>
    <n v="0"/>
    <s v=""/>
    <n v="0"/>
  </r>
  <r>
    <x v="512"/>
    <n v="172042607"/>
    <s v="W_0"/>
    <n v="0"/>
    <n v="0"/>
    <n v="1.60983E-9"/>
    <n v="0"/>
    <n v="0"/>
    <s v=""/>
    <n v="0"/>
  </r>
  <r>
    <x v="513"/>
    <n v="184679498"/>
    <s v="W_0"/>
    <n v="0"/>
    <n v="0"/>
    <n v="1.54544E-9"/>
    <n v="0"/>
    <n v="0"/>
    <s v=""/>
    <n v="0"/>
  </r>
  <r>
    <x v="514"/>
    <n v="494247720"/>
    <s v="W_0"/>
    <n v="0"/>
    <n v="0"/>
    <n v="1.4836200000000001E-9"/>
    <n v="0"/>
    <n v="0"/>
    <s v=""/>
    <n v="0"/>
  </r>
  <r>
    <x v="515"/>
    <n v="236952320"/>
    <s v="W_0"/>
    <n v="0"/>
    <n v="0"/>
    <n v="1.4242700000000001E-9"/>
    <n v="0"/>
    <n v="0"/>
    <s v=""/>
    <n v="0"/>
  </r>
  <r>
    <x v="516"/>
    <n v="242745223"/>
    <s v="W_0"/>
    <n v="0"/>
    <n v="0"/>
    <n v="1.3673E-9"/>
    <n v="0"/>
    <n v="0"/>
    <s v=""/>
    <n v="0"/>
  </r>
  <r>
    <x v="517"/>
    <n v="764888647"/>
    <s v="W_0"/>
    <n v="0"/>
    <n v="0"/>
    <n v="1.3126100000000001E-9"/>
    <n v="0"/>
    <n v="0"/>
    <s v=""/>
    <n v="0"/>
  </r>
  <r>
    <x v="518"/>
    <n v="724807039"/>
    <s v="W_0"/>
    <n v="0"/>
    <n v="0"/>
    <n v="1.2601099999999999E-9"/>
    <n v="0"/>
    <n v="0"/>
    <s v=""/>
    <n v="0"/>
  </r>
  <r>
    <x v="519"/>
    <n v="230556942"/>
    <s v="W_0"/>
    <n v="0"/>
    <n v="0"/>
    <n v="1.2097000000000001E-9"/>
    <n v="0"/>
    <n v="0"/>
    <s v=""/>
    <n v="0"/>
  </r>
  <r>
    <x v="520"/>
    <n v="732193093"/>
    <s v="W_0"/>
    <n v="0"/>
    <n v="0"/>
    <n v="1.16131E-9"/>
    <n v="0"/>
    <n v="0"/>
    <s v=""/>
    <n v="0"/>
  </r>
  <r>
    <x v="521"/>
    <n v="858471147"/>
    <s v="W_0"/>
    <n v="0"/>
    <n v="0"/>
    <n v="1.11486E-9"/>
    <n v="0"/>
    <n v="0"/>
    <s v=""/>
    <n v="0"/>
  </r>
  <r>
    <x v="522"/>
    <n v="513162854"/>
    <s v="W_0"/>
    <n v="0"/>
    <n v="0"/>
    <n v="1.0702700000000001E-9"/>
    <n v="0"/>
    <n v="0"/>
    <s v=""/>
    <n v="0"/>
  </r>
  <r>
    <x v="523"/>
    <n v="243851301"/>
    <s v="W_0"/>
    <n v="0"/>
    <n v="0"/>
    <n v="1.0274600000000001E-9"/>
    <n v="0"/>
    <n v="0"/>
    <s v=""/>
    <n v="0"/>
  </r>
  <r>
    <x v="524"/>
    <n v="205104923"/>
    <s v="W_0"/>
    <n v="0"/>
    <n v="0"/>
    <n v="9.8635800000000008E-10"/>
    <n v="0"/>
    <n v="0"/>
    <s v=""/>
    <n v="0"/>
  </r>
  <r>
    <x v="525"/>
    <n v="392499222"/>
    <s v="W_0"/>
    <n v="0"/>
    <n v="0"/>
    <n v="9.4690300000000003E-10"/>
    <n v="0"/>
    <n v="0"/>
    <s v=""/>
    <n v="0"/>
  </r>
  <r>
    <x v="526"/>
    <n v="299966278"/>
    <s v="W_0"/>
    <n v="0"/>
    <n v="0"/>
    <n v="9.0902699999999999E-10"/>
    <n v="0"/>
    <n v="0"/>
    <s v=""/>
    <n v="0"/>
  </r>
  <r>
    <x v="527"/>
    <n v="73289958"/>
    <s v="W_0"/>
    <n v="0"/>
    <n v="0"/>
    <n v="8.7266600000000001E-10"/>
    <n v="0"/>
    <n v="0"/>
    <s v=""/>
    <n v="0"/>
  </r>
  <r>
    <x v="528"/>
    <n v="894240782"/>
    <s v="W_0"/>
    <n v="0"/>
    <n v="0"/>
    <n v="8.37759E-10"/>
    <n v="0"/>
    <n v="0"/>
    <s v=""/>
    <n v="0"/>
  </r>
  <r>
    <x v="529"/>
    <n v="20219139"/>
    <s v="W_0"/>
    <n v="0"/>
    <n v="0"/>
    <n v="8.0424899999999998E-10"/>
    <n v="0"/>
    <n v="0"/>
    <s v=""/>
    <n v="0"/>
  </r>
  <r>
    <x v="530"/>
    <n v="163730078"/>
    <s v="W_0"/>
    <n v="0"/>
    <n v="0"/>
    <n v="7.7207899999999998E-10"/>
    <n v="0"/>
    <n v="0"/>
    <s v=""/>
    <n v="0"/>
  </r>
  <r>
    <x v="531"/>
    <n v="423895455"/>
    <s v="W_0"/>
    <n v="0"/>
    <n v="0"/>
    <n v="7.4119599999999995E-10"/>
    <n v="0"/>
    <n v="0"/>
    <s v=""/>
    <n v="0"/>
  </r>
  <r>
    <x v="532"/>
    <n v="835631296"/>
    <s v="W_0"/>
    <n v="0"/>
    <n v="0"/>
    <n v="7.1154799999999997E-10"/>
    <n v="0"/>
    <n v="0"/>
    <s v=""/>
    <n v="0"/>
  </r>
  <r>
    <x v="533"/>
    <n v="654858300"/>
    <s v="W_0"/>
    <n v="0"/>
    <n v="0"/>
    <n v="6.8308600000000003E-10"/>
    <n v="0"/>
    <n v="0"/>
    <s v=""/>
    <n v="0"/>
  </r>
  <r>
    <x v="534"/>
    <n v="833074052"/>
    <s v="W_0"/>
    <n v="0"/>
    <n v="0"/>
    <n v="6.5576300000000004E-10"/>
    <n v="0"/>
    <n v="0"/>
    <s v=""/>
    <n v="0"/>
  </r>
  <r>
    <x v="535"/>
    <n v="703504162"/>
    <s v="W_0"/>
    <n v="0"/>
    <n v="0"/>
    <n v="6.2953200000000001E-10"/>
    <n v="0"/>
    <n v="0"/>
    <s v=""/>
    <n v="0"/>
  </r>
  <r>
    <x v="536"/>
    <n v="57864621"/>
    <s v="W_0"/>
    <n v="0"/>
    <n v="0"/>
    <n v="6.0435099999999999E-10"/>
    <n v="0"/>
    <n v="0"/>
    <s v=""/>
    <n v="0"/>
  </r>
  <r>
    <x v="537"/>
    <n v="652601678"/>
    <s v="W_0"/>
    <n v="0"/>
    <n v="0"/>
    <n v="5.8017700000000003E-10"/>
    <n v="0"/>
    <n v="0"/>
    <s v=""/>
    <n v="0"/>
  </r>
  <r>
    <x v="538"/>
    <n v="374604819"/>
    <s v="W_0"/>
    <n v="0"/>
    <n v="0"/>
    <n v="5.5696999999999999E-10"/>
    <n v="0"/>
    <n v="0"/>
    <s v=""/>
    <n v="0"/>
  </r>
  <r>
    <x v="539"/>
    <n v="691232818"/>
    <s v="W_0"/>
    <n v="0"/>
    <n v="0"/>
    <n v="5.3469100000000005E-10"/>
    <n v="0"/>
    <n v="0"/>
    <s v=""/>
    <n v="0"/>
  </r>
  <r>
    <x v="540"/>
    <n v="484947485"/>
    <s v="W_0"/>
    <n v="0"/>
    <n v="0"/>
    <n v="5.13303E-10"/>
    <n v="0"/>
    <n v="0"/>
    <s v=""/>
    <n v="0"/>
  </r>
  <r>
    <x v="541"/>
    <n v="395702996"/>
    <s v="W_0"/>
    <n v="0"/>
    <n v="0"/>
    <n v="4.9277099999999995E-10"/>
    <n v="0"/>
    <n v="0"/>
    <s v=""/>
    <n v="0"/>
  </r>
  <r>
    <x v="542"/>
    <n v="625420719"/>
    <s v="W_0"/>
    <n v="0"/>
    <n v="0"/>
    <n v="4.7306000000000002E-10"/>
    <n v="0"/>
    <n v="0"/>
    <s v=""/>
    <n v="0"/>
  </r>
  <r>
    <x v="543"/>
    <n v="706313679"/>
    <s v="W_0"/>
    <n v="0"/>
    <n v="0"/>
    <n v="4.5413799999999998E-10"/>
    <n v="0"/>
    <n v="0"/>
    <s v=""/>
    <n v="0"/>
  </r>
  <r>
    <x v="544"/>
    <n v="450469365"/>
    <s v="W_0"/>
    <n v="0"/>
    <n v="0"/>
    <n v="4.3597200000000001E-10"/>
    <n v="0"/>
    <n v="0"/>
    <s v=""/>
    <n v="0"/>
  </r>
  <r>
    <x v="545"/>
    <n v="185310551"/>
    <s v="W_0"/>
    <n v="0"/>
    <n v="0"/>
    <n v="4.1853399999999998E-10"/>
    <n v="0"/>
    <n v="0"/>
    <s v=""/>
    <n v="0"/>
  </r>
  <r>
    <x v="546"/>
    <n v="642266846"/>
    <s v="W_0"/>
    <n v="0"/>
    <n v="0"/>
    <n v="4.0179199999999998E-10"/>
    <n v="0"/>
    <n v="0"/>
    <s v=""/>
    <n v="0"/>
  </r>
  <r>
    <x v="547"/>
    <n v="104149848"/>
    <s v="W_0"/>
    <n v="0"/>
    <n v="0"/>
    <n v="3.85721E-10"/>
    <n v="0"/>
    <n v="0"/>
    <s v=""/>
    <n v="0"/>
  </r>
  <r>
    <x v="548"/>
    <n v="147134192"/>
    <s v="W_0"/>
    <n v="0"/>
    <n v="0"/>
    <n v="3.7029199999999999E-10"/>
    <n v="0"/>
    <n v="0"/>
    <s v=""/>
    <n v="0"/>
  </r>
  <r>
    <x v="549"/>
    <n v="840371924"/>
    <s v="W_0"/>
    <n v="0"/>
    <n v="0"/>
    <n v="3.5548E-10"/>
    <n v="0"/>
    <n v="0"/>
    <s v=""/>
    <n v="0"/>
  </r>
  <r>
    <x v="550"/>
    <n v="997494178"/>
    <s v="W_0"/>
    <n v="0"/>
    <n v="0"/>
    <n v="3.4126099999999998E-10"/>
    <n v="0"/>
    <n v="0"/>
    <s v=""/>
    <n v="0"/>
  </r>
  <r>
    <x v="551"/>
    <n v="966987220"/>
    <s v="W_0"/>
    <n v="0"/>
    <n v="0"/>
    <n v="3.2761000000000002E-10"/>
    <n v="0"/>
    <n v="0"/>
    <s v=""/>
    <n v="0"/>
  </r>
  <r>
    <x v="552"/>
    <n v="782146069"/>
    <s v="W_0"/>
    <n v="0"/>
    <n v="0"/>
    <n v="3.14506E-10"/>
    <n v="0"/>
    <n v="0"/>
    <s v=""/>
    <n v="0"/>
  </r>
  <r>
    <x v="553"/>
    <n v="47520730"/>
    <s v="W_0"/>
    <n v="0"/>
    <n v="0"/>
    <n v="3.0192599999999998E-10"/>
    <n v="0"/>
    <n v="0"/>
    <s v=""/>
    <n v="0"/>
  </r>
  <r>
    <x v="554"/>
    <n v="304009755"/>
    <s v="W_0"/>
    <n v="0"/>
    <n v="0"/>
    <n v="2.8984899999999998E-10"/>
    <n v="0"/>
    <n v="0"/>
    <s v=""/>
    <n v="0"/>
  </r>
  <r>
    <x v="555"/>
    <n v="306670589"/>
    <s v="W_0"/>
    <n v="0"/>
    <n v="0"/>
    <n v="2.7825499999999999E-10"/>
    <n v="0"/>
    <n v="0"/>
    <s v=""/>
    <n v="0"/>
  </r>
  <r>
    <x v="556"/>
    <n v="17435906"/>
    <s v="W_0"/>
    <n v="0"/>
    <n v="0"/>
    <n v="2.67125E-10"/>
    <n v="0"/>
    <n v="0"/>
    <s v=""/>
    <n v="0"/>
  </r>
  <r>
    <x v="557"/>
    <n v="920793874"/>
    <s v="W_0"/>
    <n v="0"/>
    <n v="0"/>
    <n v="2.5644E-10"/>
    <n v="0"/>
    <n v="0"/>
    <s v=""/>
    <n v="0"/>
  </r>
  <r>
    <x v="558"/>
    <n v="250454009"/>
    <s v="W_0"/>
    <n v="0"/>
    <n v="0"/>
    <n v="2.4618199999999999E-10"/>
    <n v="0"/>
    <n v="0"/>
    <s v=""/>
    <n v="0"/>
  </r>
  <r>
    <x v="559"/>
    <n v="689824482"/>
    <s v="W_0"/>
    <n v="0"/>
    <n v="0"/>
    <n v="2.3633499999999999E-10"/>
    <n v="0"/>
    <n v="0"/>
    <s v=""/>
    <n v="0"/>
  </r>
  <r>
    <x v="560"/>
    <n v="396321386"/>
    <s v="W_0"/>
    <n v="0"/>
    <n v="0"/>
    <n v="2.26881E-10"/>
    <n v="0"/>
    <n v="0"/>
    <s v=""/>
    <n v="0"/>
  </r>
  <r>
    <x v="561"/>
    <n v="641156914"/>
    <s v="W_0"/>
    <n v="0"/>
    <n v="0"/>
    <n v="2.1780600000000001E-10"/>
    <n v="0"/>
    <n v="0"/>
    <s v=""/>
    <n v="0"/>
  </r>
  <r>
    <x v="562"/>
    <n v="154114664"/>
    <s v="W_0"/>
    <n v="0"/>
    <n v="0"/>
    <n v="2.0909400000000001E-10"/>
    <n v="0"/>
    <n v="0"/>
    <s v=""/>
    <n v="0"/>
  </r>
  <r>
    <x v="563"/>
    <n v="139461457"/>
    <s v="W_0"/>
    <n v="0"/>
    <n v="0"/>
    <n v="2.0072999999999999E-10"/>
    <n v="0"/>
    <n v="0"/>
    <s v=""/>
    <n v="0"/>
  </r>
  <r>
    <x v="564"/>
    <n v="682017030"/>
    <s v="W_0"/>
    <n v="0"/>
    <n v="0"/>
    <n v="1.92701E-10"/>
    <n v="0"/>
    <n v="0"/>
    <s v=""/>
    <n v="0"/>
  </r>
  <r>
    <x v="565"/>
    <n v="413719600"/>
    <s v="W_0"/>
    <n v="0"/>
    <n v="0"/>
    <n v="1.84993E-10"/>
    <n v="0"/>
    <n v="0"/>
    <s v=""/>
    <n v="0"/>
  </r>
  <r>
    <x v="566"/>
    <n v="427793256"/>
    <s v="W_0"/>
    <n v="0"/>
    <n v="0"/>
    <n v="1.77593E-10"/>
    <n v="0"/>
    <n v="0"/>
    <s v=""/>
    <n v="0"/>
  </r>
  <r>
    <x v="567"/>
    <n v="850796978"/>
    <s v="W_0"/>
    <n v="0"/>
    <n v="0"/>
    <n v="1.7048899999999999E-10"/>
    <n v="0"/>
    <n v="0"/>
    <s v=""/>
    <n v="0"/>
  </r>
  <r>
    <x v="568"/>
    <n v="795318923"/>
    <s v="W_0"/>
    <n v="0"/>
    <n v="0"/>
    <n v="1.6366999999999999E-10"/>
    <n v="0"/>
    <n v="0"/>
    <s v=""/>
    <n v="0"/>
  </r>
  <r>
    <x v="569"/>
    <n v="741589086"/>
    <s v="W_0"/>
    <n v="0"/>
    <n v="0"/>
    <n v="1.57123E-10"/>
    <n v="0"/>
    <n v="0"/>
    <s v=""/>
    <n v="0"/>
  </r>
  <r>
    <x v="570"/>
    <n v="53622919"/>
    <s v="W_0"/>
    <n v="0"/>
    <n v="0"/>
    <n v="1.50838E-10"/>
    <n v="0"/>
    <n v="0"/>
    <s v=""/>
    <n v="0"/>
  </r>
  <r>
    <x v="571"/>
    <n v="40947491"/>
    <s v="W_0"/>
    <n v="0"/>
    <n v="0"/>
    <n v="1.44805E-10"/>
    <n v="0"/>
    <n v="0"/>
    <s v=""/>
    <n v="0"/>
  </r>
  <r>
    <x v="572"/>
    <n v="649284530"/>
    <s v="W_0"/>
    <n v="0"/>
    <n v="0"/>
    <n v="1.3901200000000001E-10"/>
    <n v="0"/>
    <n v="0"/>
    <s v=""/>
    <n v="0"/>
  </r>
  <r>
    <x v="573"/>
    <n v="400874929"/>
    <s v="W_0"/>
    <n v="0"/>
    <n v="0"/>
    <n v="1.3345200000000001E-10"/>
    <n v="0"/>
    <n v="0"/>
    <s v=""/>
    <n v="0"/>
  </r>
  <r>
    <x v="574"/>
    <n v="794368455"/>
    <s v="W_0"/>
    <n v="0"/>
    <n v="0"/>
    <n v="1.2811399999999999E-10"/>
    <n v="0"/>
    <n v="0"/>
    <s v=""/>
    <n v="0"/>
  </r>
  <r>
    <x v="575"/>
    <n v="74650589"/>
    <s v="W_0"/>
    <n v="0"/>
    <n v="0"/>
    <n v="1.22989E-10"/>
    <n v="0"/>
    <n v="0"/>
    <s v=""/>
    <n v="0"/>
  </r>
  <r>
    <x v="576"/>
    <n v="167736248"/>
    <s v="W_0"/>
    <n v="0"/>
    <n v="0"/>
    <n v="1.1807000000000001E-10"/>
    <n v="0"/>
    <n v="0"/>
    <s v=""/>
    <n v="0"/>
  </r>
  <r>
    <x v="577"/>
    <n v="466144085"/>
    <s v="W_0"/>
    <n v="0"/>
    <n v="0"/>
    <n v="1.13347E-10"/>
    <n v="0"/>
    <n v="0"/>
    <s v=""/>
    <n v="0"/>
  </r>
  <r>
    <x v="578"/>
    <n v="163100630"/>
    <s v="W_0"/>
    <n v="0"/>
    <n v="0"/>
    <n v="1.08813E-10"/>
    <n v="0"/>
    <n v="0"/>
    <s v=""/>
    <n v="0"/>
  </r>
  <r>
    <x v="579"/>
    <n v="50386655"/>
    <s v="W_0"/>
    <n v="0"/>
    <n v="0"/>
    <n v="1.04461E-10"/>
    <n v="0"/>
    <n v="0"/>
    <s v=""/>
    <n v="0"/>
  </r>
  <r>
    <x v="580"/>
    <n v="292758604"/>
    <s v="W_0"/>
    <n v="0"/>
    <n v="0"/>
    <n v="1.0028200000000001E-10"/>
    <n v="0"/>
    <n v="0"/>
    <s v=""/>
    <n v="0"/>
  </r>
  <r>
    <x v="581"/>
    <n v="744934638"/>
    <s v="W_0"/>
    <n v="0"/>
    <n v="0"/>
    <n v="9.6270800000000004E-11"/>
    <n v="0"/>
    <n v="0"/>
    <s v=""/>
    <n v="0"/>
  </r>
  <r>
    <x v="582"/>
    <n v="107829282"/>
    <s v="W_0"/>
    <n v="0"/>
    <n v="0"/>
    <n v="9.2420000000000002E-11"/>
    <n v="0"/>
    <n v="0"/>
    <s v=""/>
    <n v="0"/>
  </r>
  <r>
    <x v="583"/>
    <n v="186276170"/>
    <s v="W_0"/>
    <n v="0"/>
    <n v="0"/>
    <n v="8.8723200000000004E-11"/>
    <n v="0"/>
    <n v="0"/>
    <s v=""/>
    <n v="0"/>
  </r>
  <r>
    <x v="584"/>
    <n v="115593516"/>
    <s v="W_0"/>
    <n v="0"/>
    <n v="0"/>
    <n v="8.5174300000000002E-11"/>
    <n v="0"/>
    <n v="0"/>
    <s v=""/>
    <n v="0"/>
  </r>
  <r>
    <x v="585"/>
    <n v="193699344"/>
    <s v="W_0"/>
    <n v="1"/>
    <n v="1"/>
    <n v="0.04"/>
    <n v="0"/>
    <n v="1"/>
    <s v="K_22"/>
    <n v="0"/>
  </r>
  <r>
    <x v="586"/>
    <n v="446024289"/>
    <s v="W_0"/>
    <n v="2"/>
    <n v="1"/>
    <n v="7.8399999999999997E-2"/>
    <n v="0"/>
    <n v="1"/>
    <s v="K_22"/>
    <n v="0.09"/>
  </r>
  <r>
    <x v="587"/>
    <n v="694452899"/>
    <s v="W_0"/>
    <n v="3"/>
    <n v="1"/>
    <n v="0.11526400000000001"/>
    <n v="0"/>
    <n v="1"/>
    <s v="K_22"/>
    <n v="0.1784"/>
  </r>
  <r>
    <x v="588"/>
    <n v="500954632"/>
    <s v="W_0"/>
    <n v="2.7347399999999999"/>
    <n v="-0.265264"/>
    <n v="0.110653"/>
    <n v="0.265264"/>
    <n v="0"/>
    <s v=""/>
    <n v="0.265264"/>
  </r>
  <r>
    <x v="589"/>
    <n v="911195647"/>
    <s v="W_0"/>
    <n v="2.7347399999999999"/>
    <n v="0"/>
    <n v="0.106227"/>
    <n v="0"/>
    <n v="0"/>
    <s v=""/>
    <n v="0.24739"/>
  </r>
  <r>
    <x v="590"/>
    <n v="914136103"/>
    <s v="W_0"/>
    <n v="2.7347399999999999"/>
    <n v="0"/>
    <n v="0.101978"/>
    <n v="0"/>
    <n v="0"/>
    <s v=""/>
    <n v="0.24296400000000001"/>
  </r>
  <r>
    <x v="591"/>
    <n v="234375272"/>
    <s v="W_0"/>
    <n v="2.7347399999999999"/>
    <n v="0"/>
    <n v="9.7899100000000003E-2"/>
    <n v="0"/>
    <n v="0"/>
    <s v=""/>
    <n v="0.23871500000000001"/>
  </r>
  <r>
    <x v="592"/>
    <n v="215198456"/>
    <s v="W_0"/>
    <n v="2.7347399999999999"/>
    <n v="0"/>
    <n v="9.39831E-2"/>
    <n v="0"/>
    <n v="0"/>
    <s v=""/>
    <n v="0.23463600000000001"/>
  </r>
  <r>
    <x v="593"/>
    <n v="64295982"/>
    <s v="W_0"/>
    <n v="2.7347399999999999"/>
    <n v="0"/>
    <n v="9.0223800000000007E-2"/>
    <n v="0"/>
    <n v="0"/>
    <s v=""/>
    <n v="0.23072000000000001"/>
  </r>
  <r>
    <x v="594"/>
    <n v="199707554"/>
    <s v="W_0"/>
    <n v="2.7347399999999999"/>
    <n v="0"/>
    <n v="8.6614800000000006E-2"/>
    <n v="0"/>
    <n v="0"/>
    <s v=""/>
    <n v="0.226961"/>
  </r>
  <r>
    <x v="595"/>
    <n v="723323844"/>
    <s v="W_0"/>
    <n v="2.7347399999999999"/>
    <n v="0"/>
    <n v="8.3150199999999994E-2"/>
    <n v="0"/>
    <n v="0"/>
    <s v=""/>
    <n v="0.22335199999999999"/>
  </r>
  <r>
    <x v="596"/>
    <n v="567701316"/>
    <s v="W_0"/>
    <n v="2.7347399999999999"/>
    <n v="0"/>
    <n v="7.9824199999999998E-2"/>
    <n v="0"/>
    <n v="0"/>
    <s v=""/>
    <n v="0.219887"/>
  </r>
  <r>
    <x v="597"/>
    <n v="542740875"/>
    <s v="W_0"/>
    <n v="2.7347399999999999"/>
    <n v="0"/>
    <n v="7.6631299999999999E-2"/>
    <n v="0"/>
    <n v="0"/>
    <s v=""/>
    <n v="0.216561"/>
  </r>
  <r>
    <x v="598"/>
    <n v="416745890"/>
    <s v="W_0"/>
    <n v="2.7347399999999999"/>
    <n v="0"/>
    <n v="7.3566000000000006E-2"/>
    <n v="0"/>
    <n v="0"/>
    <s v=""/>
    <n v="0.213368"/>
  </r>
  <r>
    <x v="599"/>
    <n v="657282236"/>
    <s v="W_0"/>
    <n v="2.5244300000000002"/>
    <n v="-0.21030299999999999"/>
    <n v="7.0623400000000003E-2"/>
    <n v="0.21030299999999999"/>
    <n v="0"/>
    <s v=""/>
    <n v="0.210302999999999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n v="568513272"/>
    <s v="C_0"/>
    <n v="11.132999999999999"/>
    <n v="2.4"/>
    <n v="11.2"/>
    <n v="0"/>
    <n v="0"/>
    <n v="0.33513500000000002"/>
    <n v="3"/>
    <n v="3"/>
    <n v="0"/>
    <n v="5"/>
    <n v="0"/>
    <n v="0.66"/>
    <n v="0"/>
    <s v="[]"/>
    <s v="[&quot;W_2627&quot;, &quot;W_1860&quot;, &quot;W_2783&quot;, &quot;W_2271&quot;, &quot;W_176&quot;, &quot;W_895&quot;]"/>
    <n v="0"/>
    <n v="9.81982"/>
    <n v="5"/>
    <n v="0"/>
    <n v="5"/>
    <n v="0"/>
    <n v="6"/>
    <n v="0"/>
    <n v="23.567599999999999"/>
    <n v="15"/>
  </r>
  <r>
    <x v="1"/>
    <n v="116381266"/>
    <s v="C_0"/>
    <n v="12.054399999999999"/>
    <n v="2.4"/>
    <n v="12.333"/>
    <n v="0"/>
    <n v="0"/>
    <n v="1.3928700000000001"/>
    <n v="3"/>
    <n v="3"/>
    <n v="0.154583"/>
    <n v="5"/>
    <n v="0"/>
    <n v="8.8817800000000003E-16"/>
    <n v="0"/>
    <s v="[]"/>
    <s v="[&quot;W_2627&quot;, &quot;W_1860&quot;, &quot;W_2783&quot;, &quot;W_2271&quot;, &quot;W_176&quot;, &quot;W_895&quot;]"/>
    <n v="0"/>
    <n v="9.63964"/>
    <n v="7.0045000000000002"/>
    <n v="0"/>
    <n v="3"/>
    <n v="0"/>
    <n v="6"/>
    <n v="0"/>
    <n v="24.213000000000001"/>
    <n v="15"/>
  </r>
  <r>
    <x v="2"/>
    <n v="561622615"/>
    <s v="C_0"/>
    <n v="8.1925100000000004"/>
    <n v="2.4"/>
    <n v="8.1925100000000004"/>
    <n v="2.109121"/>
    <n v="0"/>
    <n v="-5.3490700000000002"/>
    <n v="3"/>
    <n v="0.89087899999999998"/>
    <n v="0"/>
    <n v="5"/>
    <n v="0"/>
    <n v="0.27825"/>
    <n v="0"/>
    <s v="[]"/>
    <s v="[&quot;W_2627&quot;, &quot;W_1860&quot;, &quot;W_2783&quot;, &quot;W_2271&quot;, &quot;W_176&quot;, &quot;W_895&quot;]"/>
    <n v="0"/>
    <n v="9.45946"/>
    <n v="8.0067599999999999"/>
    <n v="0"/>
    <n v="3.1391300000000002"/>
    <n v="0"/>
    <n v="6"/>
    <n v="0"/>
    <n v="23.167100000000001"/>
    <n v="15"/>
  </r>
  <r>
    <x v="3"/>
    <n v="580265595"/>
    <s v="C_0"/>
    <n v="7.3664300000000003"/>
    <n v="2.3501599999999998"/>
    <n v="7.3664300000000003"/>
    <n v="0.79848000000000008"/>
    <n v="0"/>
    <n v="-2.3663799999999999"/>
    <n v="3"/>
    <n v="2.2015199999999999"/>
    <n v="1.7715099999999999E-17"/>
    <n v="5"/>
    <n v="0"/>
    <n v="0.27825"/>
    <n v="0"/>
    <s v="[]"/>
    <s v="[&quot;W_2627&quot;, &quot;W_1860&quot;, &quot;W_2783&quot;, &quot;W_2271&quot;, &quot;W_176&quot;, &quot;W_895&quot;]"/>
    <n v="0"/>
    <n v="9.27928"/>
    <n v="8.5078800000000001"/>
    <n v="0"/>
    <n v="3.1391300000000002"/>
    <n v="0"/>
    <n v="6"/>
    <n v="0"/>
    <n v="22.055099999999999"/>
    <n v="15"/>
  </r>
  <r>
    <x v="4"/>
    <n v="92974295"/>
    <s v="C_0"/>
    <n v="8.27881"/>
    <n v="2.3041299999999998"/>
    <n v="8.27881"/>
    <n v="0"/>
    <n v="0"/>
    <n v="-0.59545599999999999"/>
    <n v="3"/>
    <n v="3"/>
    <n v="6.6868799999999996E-34"/>
    <n v="5"/>
    <n v="0"/>
    <n v="0.18"/>
    <n v="0"/>
    <s v="[]"/>
    <s v="[&quot;W_2627&quot;, &quot;W_1860&quot;, &quot;W_2783&quot;, &quot;W_2271&quot;, &quot;W_176&quot;, &quot;W_895&quot;]"/>
    <n v="0"/>
    <n v="9.0991"/>
    <n v="8.7584499999999998"/>
    <n v="0"/>
    <n v="3.1391300000000002"/>
    <n v="0"/>
    <n v="6"/>
    <n v="0"/>
    <n v="20.962299999999999"/>
    <n v="15"/>
  </r>
  <r>
    <x v="5"/>
    <n v="844295000"/>
    <s v="C_0"/>
    <n v="9.1912000000000003"/>
    <n v="2.3041299999999998"/>
    <n v="9.1912000000000003"/>
    <n v="0"/>
    <n v="0"/>
    <n v="-0.46389900000000001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8.91892"/>
    <n v="8.8837299999999999"/>
    <n v="0"/>
    <n v="3"/>
    <n v="0"/>
    <n v="6"/>
    <n v="0"/>
    <n v="19.989899999999999"/>
    <n v="15"/>
  </r>
  <r>
    <x v="6"/>
    <n v="461579371"/>
    <s v="C_0"/>
    <n v="10.0345"/>
    <n v="2.3041299999999998"/>
    <n v="10.0345"/>
    <n v="0"/>
    <n v="0"/>
    <n v="-0.46163300000000002"/>
    <n v="2.97"/>
    <n v="2.97"/>
    <n v="9.5954399999999995E-2"/>
    <n v="5"/>
    <n v="0"/>
    <n v="0"/>
    <n v="0"/>
    <s v="[]"/>
    <s v="[&quot;W_2627&quot;, &quot;W_1860&quot;, &quot;W_2783&quot;, &quot;W_2271&quot;, &quot;W_176&quot;, &quot;W_895&quot;]"/>
    <n v="0"/>
    <n v="8.7405399999999993"/>
    <n v="8.9463699999999999"/>
    <n v="0"/>
    <n v="3"/>
    <n v="0"/>
    <n v="6"/>
    <n v="0"/>
    <n v="19.074200000000001"/>
    <n v="15"/>
  </r>
  <r>
    <x v="7"/>
    <n v="924166741"/>
    <s v="C_0"/>
    <n v="10.7409"/>
    <n v="2.3041299999999998"/>
    <n v="10.7409"/>
    <n v="0"/>
    <n v="0"/>
    <n v="-0.44443100000000002"/>
    <n v="2.9106000000000001"/>
    <n v="2.9106000000000001"/>
    <n v="0"/>
    <n v="5"/>
    <n v="0"/>
    <n v="0"/>
    <n v="0"/>
    <s v="[]"/>
    <s v="[&quot;W_2627&quot;, &quot;W_1860&quot;, &quot;W_2783&quot;, &quot;W_2271&quot;, &quot;W_176&quot;, &quot;W_895&quot;]"/>
    <n v="0"/>
    <n v="8.5657300000000003"/>
    <n v="8.9326399999999992"/>
    <n v="0"/>
    <n v="3.0563600000000002"/>
    <n v="0"/>
    <n v="6"/>
    <n v="0"/>
    <n v="18.296800000000001"/>
    <n v="15"/>
  </r>
  <r>
    <x v="8"/>
    <n v="656175618"/>
    <s v="C_0"/>
    <n v="5.3815999999999997"/>
    <n v="2.3041299999999998"/>
    <n v="6.3434999999999997"/>
    <n v="0"/>
    <n v="0"/>
    <n v="4.8094900000000003"/>
    <n v="2.8523900000000002"/>
    <n v="2.8523900000000002"/>
    <n v="4.2762599999999998E-2"/>
    <n v="5"/>
    <n v="0"/>
    <n v="0"/>
    <n v="0"/>
    <s v="[]"/>
    <s v="[&quot;W_2627&quot;, &quot;W_1860&quot;, &quot;W_2783&quot;, &quot;W_2271&quot;, &quot;W_176&quot;, &quot;W_895&quot;]"/>
    <n v="0"/>
    <n v="10.9316"/>
    <n v="8.8365899999999993"/>
    <n v="4.9696300000000004"/>
    <n v="2.9106000000000001"/>
    <n v="2.5371899999999998"/>
    <n v="6"/>
    <n v="5.3133400000000002"/>
    <n v="22.892800000000001"/>
    <n v="10.396000000000001"/>
  </r>
  <r>
    <x v="9"/>
    <n v="290272111"/>
    <s v="C_0"/>
    <n v="6.29399"/>
    <n v="2.3041299999999998"/>
    <n v="6.29399"/>
    <n v="0"/>
    <n v="0"/>
    <n v="-0.31806499999999999"/>
    <n v="3"/>
    <n v="3"/>
    <n v="3.7690800000000003E-2"/>
    <n v="5"/>
    <n v="0"/>
    <n v="0"/>
    <n v="0"/>
    <s v="[]"/>
    <s v="[&quot;W_2627&quot;, &quot;W_1860&quot;, &quot;W_2783&quot;, &quot;W_2271&quot;, &quot;W_176&quot;, &quot;W_895&quot;]"/>
    <n v="0"/>
    <n v="10.7514"/>
    <n v="8.7011599999999998"/>
    <n v="0"/>
    <n v="2.8908700000000001"/>
    <n v="0"/>
    <n v="6"/>
    <n v="0"/>
    <n v="22.031600000000001"/>
    <n v="10.396000000000001"/>
  </r>
  <r>
    <x v="10"/>
    <n v="3764035"/>
    <s v="C_0"/>
    <n v="7.0629299999999997"/>
    <n v="2.3041299999999998"/>
    <n v="7.0629299999999997"/>
    <n v="6.2250000000000139E-2"/>
    <n v="0"/>
    <n v="-0.35739900000000002"/>
    <n v="3"/>
    <n v="2.9377499999999999"/>
    <n v="0"/>
    <n v="5"/>
    <n v="0"/>
    <n v="6.7843399999999998E-2"/>
    <n v="0"/>
    <s v="[]"/>
    <s v="[&quot;W_2627&quot;, &quot;W_1860&quot;, &quot;W_2783&quot;, &quot;W_2271&quot;, &quot;W_176&quot;, &quot;W_895&quot;]"/>
    <n v="0"/>
    <n v="10.571199999999999"/>
    <n v="8.8550900000000006"/>
    <n v="0"/>
    <n v="3.0339200000000002"/>
    <n v="0"/>
    <n v="6"/>
    <n v="0"/>
    <n v="21.267700000000001"/>
    <n v="10.396000000000001"/>
  </r>
  <r>
    <x v="11"/>
    <n v="121302646"/>
    <s v="C_0"/>
    <n v="7.4307100000000004"/>
    <n v="2.1225900000000002"/>
    <n v="7.4307100000000004"/>
    <n v="0"/>
    <n v="0"/>
    <n v="-0.73229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10.3911"/>
    <n v="8.9320500000000003"/>
    <n v="0"/>
    <n v="2.9439700000000002"/>
    <n v="0"/>
    <n v="6"/>
    <n v="0"/>
    <n v="20.523499999999999"/>
    <n v="10.396000000000001"/>
  </r>
  <r>
    <x v="12"/>
    <n v="238110832"/>
    <s v="C_0"/>
    <n v="7.7984799999999996"/>
    <n v="2.1225900000000002"/>
    <n v="7.7984799999999996"/>
    <n v="0"/>
    <n v="0"/>
    <n v="-0.40384999999999999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10.210900000000001"/>
    <n v="8.9705300000000001"/>
    <n v="0"/>
    <n v="2.9439700000000002"/>
    <n v="0"/>
    <n v="6"/>
    <n v="0"/>
    <n v="20.1067"/>
    <n v="10.396000000000001"/>
  </r>
  <r>
    <x v="13"/>
    <n v="961221646"/>
    <s v="C_0"/>
    <n v="8.1662499999999998"/>
    <n v="2.1225900000000002"/>
    <n v="8.1662499999999998"/>
    <n v="0"/>
    <n v="0"/>
    <n v="-0.40323399999999998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10.0307"/>
    <n v="8.98977"/>
    <n v="0"/>
    <n v="2.9439700000000002"/>
    <n v="0"/>
    <n v="6"/>
    <n v="0"/>
    <n v="19.689399999999999"/>
    <n v="10.396000000000001"/>
  </r>
  <r>
    <x v="14"/>
    <n v="831476582"/>
    <s v="C_0"/>
    <n v="8.5340199999999999"/>
    <n v="2.1225900000000002"/>
    <n v="8.5340199999999999"/>
    <n v="0"/>
    <n v="0"/>
    <n v="-0.39193299999999998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8505199999999995"/>
    <n v="8.99939"/>
    <n v="0"/>
    <n v="2.9439700000000002"/>
    <n v="0"/>
    <n v="6"/>
    <n v="0"/>
    <n v="19.282399999999999"/>
    <n v="10.396000000000001"/>
  </r>
  <r>
    <x v="15"/>
    <n v="104392272"/>
    <s v="C_0"/>
    <n v="8.9017900000000001"/>
    <n v="2.1225900000000002"/>
    <n v="8.9017900000000001"/>
    <n v="0"/>
    <n v="0"/>
    <n v="-0.32324900000000001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6703399999999995"/>
    <n v="9.0042000000000009"/>
    <n v="0"/>
    <n v="2.9439700000000002"/>
    <n v="0"/>
    <n v="6"/>
    <n v="0"/>
    <n v="18.944299999999998"/>
    <n v="10.396000000000001"/>
  </r>
  <r>
    <x v="16"/>
    <n v="916001675"/>
    <s v="C_0"/>
    <n v="9.2695600000000002"/>
    <n v="2.1225900000000002"/>
    <n v="9.2695600000000002"/>
    <n v="0"/>
    <n v="0"/>
    <n v="-0.32722299999999999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4901599999999995"/>
    <n v="9.0066000000000006"/>
    <n v="0"/>
    <n v="2.9439700000000002"/>
    <n v="0"/>
    <n v="6"/>
    <n v="0"/>
    <n v="18.602499999999999"/>
    <n v="10.396000000000001"/>
  </r>
  <r>
    <x v="17"/>
    <n v="936052797"/>
    <s v="C_0"/>
    <n v="9.6373300000000004"/>
    <n v="2.1225900000000002"/>
    <n v="9.6373300000000004"/>
    <n v="0"/>
    <n v="0"/>
    <n v="-0.28475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3099799999999995"/>
    <n v="9.0078099999999992"/>
    <n v="0"/>
    <n v="2.9439700000000002"/>
    <n v="0"/>
    <n v="6"/>
    <n v="0"/>
    <n v="18.304300000000001"/>
    <n v="10.396000000000001"/>
  </r>
  <r>
    <x v="18"/>
    <n v="77616671"/>
    <s v="C_0"/>
    <n v="6.8630699999999996"/>
    <n v="2.1225900000000002"/>
    <n v="7.3577000000000004"/>
    <n v="0"/>
    <n v="0"/>
    <n v="2.4731299999999998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10.527200000000001"/>
    <n v="9.0084099999999996"/>
    <n v="2.6474000000000002"/>
    <n v="2.9439700000000002"/>
    <n v="2.0088200000000001"/>
    <n v="6"/>
    <n v="3.9624299999999999"/>
    <n v="20.765000000000001"/>
    <n v="10.598100000000001"/>
  </r>
  <r>
    <x v="19"/>
    <n v="680394204"/>
    <s v="C_0"/>
    <n v="7.2308500000000002"/>
    <n v="2.1225900000000002"/>
    <n v="7.2308500000000002"/>
    <n v="0"/>
    <n v="0"/>
    <n v="-0.29058200000000001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10.347"/>
    <n v="9.0087100000000007"/>
    <n v="0"/>
    <n v="2.9439700000000002"/>
    <n v="0"/>
    <n v="6"/>
    <n v="0"/>
    <n v="20.463000000000001"/>
    <n v="10.598100000000001"/>
  </r>
  <r>
    <x v="20"/>
    <n v="658983578"/>
    <s v="C_0"/>
    <n v="7.5986200000000004"/>
    <n v="2.1225900000000002"/>
    <n v="7.5986200000000004"/>
    <n v="0"/>
    <n v="0"/>
    <n v="-0.270592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10.1668"/>
    <n v="9.0088600000000003"/>
    <n v="0"/>
    <n v="2.9439700000000002"/>
    <n v="0"/>
    <n v="6"/>
    <n v="0"/>
    <n v="20.182300000000001"/>
    <n v="10.598100000000001"/>
  </r>
  <r>
    <x v="21"/>
    <n v="211060894"/>
    <s v="C_0"/>
    <n v="7.9663899999999996"/>
    <n v="2.1225900000000002"/>
    <n v="7.9663899999999996"/>
    <n v="0"/>
    <n v="0"/>
    <n v="-0.25189699999999998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9866200000000003"/>
    <n v="9.0089299999999994"/>
    <n v="0"/>
    <n v="2.9439700000000002"/>
    <n v="0"/>
    <n v="6"/>
    <n v="0"/>
    <n v="19.9221"/>
    <n v="10.598100000000001"/>
  </r>
  <r>
    <x v="22"/>
    <n v="770567819"/>
    <s v="C_0"/>
    <n v="8.3341600000000007"/>
    <n v="2.1225900000000002"/>
    <n v="8.3341600000000007"/>
    <n v="0"/>
    <n v="0"/>
    <n v="-0.246694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8064499999999999"/>
    <n v="9.0089699999999997"/>
    <n v="0"/>
    <n v="2.9439700000000002"/>
    <n v="0"/>
    <n v="6"/>
    <n v="0"/>
    <n v="19.669"/>
    <n v="10.598100000000001"/>
  </r>
  <r>
    <x v="23"/>
    <n v="501229029"/>
    <s v="C_0"/>
    <n v="8.7019300000000008"/>
    <n v="2.1225900000000002"/>
    <n v="8.7019300000000008"/>
    <n v="0"/>
    <n v="0"/>
    <n v="-0.222471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6262600000000003"/>
    <n v="9.0089900000000007"/>
    <n v="0"/>
    <n v="2.9439700000000002"/>
    <n v="0"/>
    <n v="6"/>
    <n v="0"/>
    <n v="19.442699999999999"/>
    <n v="10.598100000000001"/>
  </r>
  <r>
    <x v="24"/>
    <n v="276334154"/>
    <s v="C_0"/>
    <n v="9.0696999999999992"/>
    <n v="2.1225900000000002"/>
    <n v="9.0696999999999992"/>
    <n v="0"/>
    <n v="0"/>
    <n v="-0.20371500000000001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4460800000000003"/>
    <n v="9.0090000000000003"/>
    <n v="0"/>
    <n v="2.9439700000000002"/>
    <n v="0"/>
    <n v="6"/>
    <n v="0"/>
    <n v="19.238199999999999"/>
    <n v="10.598100000000001"/>
  </r>
  <r>
    <x v="25"/>
    <n v="502571959"/>
    <s v="C_0"/>
    <n v="9.4374699999999994"/>
    <n v="2.1225900000000002"/>
    <n v="9.4374699999999994"/>
    <n v="0"/>
    <n v="0"/>
    <n v="-0.30121199999999998"/>
    <n v="3"/>
    <n v="3"/>
    <n v="0"/>
    <n v="5"/>
    <n v="0"/>
    <n v="0"/>
    <n v="0"/>
    <s v="[]"/>
    <s v="[&quot;W_2627&quot;, &quot;W_1860&quot;, &quot;W_2783&quot;, &quot;W_2271&quot;, &quot;W_176&quot;, &quot;W_895&quot;]"/>
    <n v="0"/>
    <n v="9.2659000000000002"/>
    <n v="9.0090000000000003"/>
    <n v="0"/>
    <n v="2.9439700000000002"/>
    <n v="0"/>
    <n v="6"/>
    <n v="0"/>
    <n v="18.9375"/>
    <n v="10.598100000000001"/>
  </r>
  <r>
    <x v="26"/>
    <n v="131486380"/>
    <s v="C_0"/>
    <n v="9.8052399999999995"/>
    <n v="2.1225900000000002"/>
    <n v="9.8052399999999995"/>
    <n v="0"/>
    <n v="0"/>
    <n v="-0.21163499999999999"/>
    <n v="3"/>
    <n v="3"/>
    <n v="6.5579600000000002E-2"/>
    <n v="5"/>
    <n v="0"/>
    <n v="0"/>
    <n v="0"/>
    <s v="[]"/>
    <s v="[&quot;W_2627&quot;, &quot;W_1860&quot;, &quot;W_2783&quot;, &quot;W_2271&quot;, &quot;W_176&quot;, &quot;W_895&quot;]"/>
    <n v="0"/>
    <n v="9.0857200000000002"/>
    <n v="9.00901"/>
    <n v="0"/>
    <n v="2.9439700000000002"/>
    <n v="0"/>
    <n v="6"/>
    <n v="0"/>
    <n v="18.729500000000002"/>
    <n v="10.598100000000001"/>
  </r>
  <r>
    <x v="27"/>
    <n v="811259257"/>
    <s v="C_0"/>
    <n v="10.257300000000001"/>
    <n v="2.15069"/>
    <n v="10.257300000000001"/>
    <n v="0"/>
    <n v="0"/>
    <n v="-0.117605"/>
    <n v="3"/>
    <n v="3"/>
    <n v="1.14585E-2"/>
    <n v="5"/>
    <n v="0"/>
    <n v="0"/>
    <n v="0"/>
    <s v="[]"/>
    <s v="[&quot;W_2627&quot;, &quot;W_1860&quot;, &quot;W_2783&quot;, &quot;W_2271&quot;, &quot;W_176&quot;, &quot;W_895&quot;]"/>
    <n v="0"/>
    <n v="8.9055400000000002"/>
    <n v="9.00901"/>
    <n v="0"/>
    <n v="2.9439700000000002"/>
    <n v="0"/>
    <n v="6"/>
    <n v="0"/>
    <n v="18.534800000000001"/>
    <n v="10.598100000000001"/>
  </r>
  <r>
    <x v="28"/>
    <n v="802722953"/>
    <s v="C_0"/>
    <n v="10.637700000000001"/>
    <n v="2.15151"/>
    <n v="10.637700000000001"/>
    <n v="0"/>
    <n v="0"/>
    <n v="-0.155052"/>
    <n v="2.9655499999999999"/>
    <n v="2.9655499999999999"/>
    <n v="0"/>
    <n v="5"/>
    <n v="0"/>
    <n v="0"/>
    <n v="0"/>
    <s v="[]"/>
    <s v="[&quot;W_2627&quot;, &quot;W_1860&quot;, &quot;W_2783&quot;, &quot;W_2271&quot;, &quot;W_176&quot;, &quot;W_895&quot;]"/>
    <n v="0"/>
    <n v="8.72743"/>
    <n v="9.00901"/>
    <n v="0"/>
    <n v="2.9439700000000002"/>
    <n v="0"/>
    <n v="6"/>
    <n v="0"/>
    <n v="18.374300000000002"/>
    <n v="10.598100000000001"/>
  </r>
  <r>
    <x v="29"/>
    <n v="61986554"/>
    <s v="C_0"/>
    <n v="10.890499999999999"/>
    <n v="2.15151"/>
    <n v="10.890499999999999"/>
    <n v="0"/>
    <n v="0"/>
    <n v="-0.35432900000000001"/>
    <n v="2.9062399999999999"/>
    <n v="2.9062399999999999"/>
    <n v="9.3566199999999995E-3"/>
    <n v="5"/>
    <n v="0"/>
    <n v="0"/>
    <n v="0"/>
    <s v="[]"/>
    <s v="[&quot;W_2627&quot;, &quot;W_1860&quot;, &quot;W_2783&quot;, &quot;W_2271&quot;, &quot;W_176&quot;, &quot;W_895&quot;]"/>
    <n v="0"/>
    <n v="8.55288"/>
    <n v="8.9572800000000008"/>
    <n v="0"/>
    <n v="2.9439700000000002"/>
    <n v="0"/>
    <n v="6"/>
    <n v="0"/>
    <n v="18.1373"/>
    <n v="10.598100000000001"/>
  </r>
  <r>
    <x v="30"/>
    <n v="238863426"/>
    <s v="C_0"/>
    <n v="11.085000000000001"/>
    <n v="2.1749299999999998"/>
    <n v="11.085000000000001"/>
    <n v="0"/>
    <n v="0"/>
    <n v="-0.51776699999999998"/>
    <n v="2.8481100000000001"/>
    <n v="2.8481100000000001"/>
    <n v="0"/>
    <n v="5"/>
    <n v="0"/>
    <n v="0"/>
    <n v="0"/>
    <s v="[]"/>
    <s v="[&quot;W_2627&quot;, &quot;W_1860&quot;, &quot;W_2783&quot;, &quot;W_2271&quot;, &quot;W_176&quot;, &quot;W_895&quot;]"/>
    <n v="0"/>
    <n v="8.3818300000000008"/>
    <n v="8.8423499999999997"/>
    <n v="0"/>
    <n v="2.91466"/>
    <n v="0"/>
    <n v="6"/>
    <n v="0"/>
    <n v="17.7881"/>
    <n v="10.598100000000001"/>
  </r>
  <r>
    <x v="31"/>
    <n v="56500805"/>
    <s v="C_0"/>
    <n v="8.7711799999999993"/>
    <n v="2.1749299999999998"/>
    <n v="9.0687200000000008"/>
    <n v="0"/>
    <n v="0"/>
    <n v="1.4877100000000001"/>
    <n v="2.79115"/>
    <n v="2.79115"/>
    <n v="0.92610300000000001"/>
    <n v="5"/>
    <n v="0"/>
    <n v="0"/>
    <n v="0"/>
    <s v="[]"/>
    <s v="[&quot;W_2627&quot;, &quot;W_1860&quot;, &quot;W_2783&quot;, &quot;W_2271&quot;, &quot;W_176&quot;, &quot;W_895&quot;]"/>
    <n v="0"/>
    <n v="9.1843900000000005"/>
    <n v="8.6976200000000006"/>
    <n v="2.0868099999999998"/>
    <n v="2.8481100000000001"/>
    <n v="2.5464799999999999"/>
    <n v="6"/>
    <n v="5.4238900000000001"/>
    <n v="19.5624"/>
    <n v="10.2325"/>
  </r>
  <r>
    <x v="32"/>
    <n v="578502809"/>
    <s v="C_0"/>
    <n v="9.2959800000000001"/>
    <n v="2.1749299999999998"/>
    <n v="9.2959800000000001"/>
    <n v="0"/>
    <n v="0"/>
    <n v="-6.8475800000000003E-2"/>
    <n v="3"/>
    <n v="3"/>
    <n v="0.544937"/>
    <n v="5"/>
    <n v="0"/>
    <n v="0.11680400000000001"/>
    <n v="0"/>
    <s v="[]"/>
    <s v="[&quot;W_2627&quot;, &quot;W_1860&quot;, &quot;W_2783&quot;, &quot;W_2271&quot;, &quot;W_176&quot;, &quot;W_895&quot;]"/>
    <n v="0"/>
    <n v="9.0042100000000005"/>
    <n v="8.5397200000000009"/>
    <n v="0"/>
    <n v="3.6246399999999999"/>
    <n v="0"/>
    <n v="6"/>
    <n v="0"/>
    <n v="19.356400000000001"/>
    <n v="10.2325"/>
  </r>
  <r>
    <x v="33"/>
    <n v="798280695"/>
    <s v="C_0"/>
    <n v="9.8172999999999995"/>
    <n v="2.1749299999999998"/>
    <n v="9.8172999999999995"/>
    <n v="0"/>
    <n v="0"/>
    <n v="-3.5340200000000002E-2"/>
    <n v="2.9984000000000002"/>
    <n v="2.9984000000000002"/>
    <n v="0.289962"/>
    <n v="5"/>
    <n v="0"/>
    <n v="0"/>
    <n v="0"/>
    <s v="[]"/>
    <s v="[&quot;W_2627&quot;, &quot;W_1860&quot;, &quot;W_2783&quot;, &quot;W_2271&quot;, &quot;W_176&quot;, &quot;W_895&quot;]"/>
    <n v="0"/>
    <n v="8.8241300000000003"/>
    <n v="8.7743699999999993"/>
    <n v="0"/>
    <n v="3.49044"/>
    <n v="0"/>
    <n v="6"/>
    <n v="0"/>
    <n v="19.191400000000002"/>
    <n v="10.2325"/>
  </r>
  <r>
    <x v="34"/>
    <n v="963350314"/>
    <s v="C_0"/>
    <n v="10.2082"/>
    <n v="2.1749299999999998"/>
    <n v="10.2082"/>
    <n v="0"/>
    <n v="0"/>
    <n v="-0.245225"/>
    <n v="2.9384299999999999"/>
    <n v="2.9384299999999999"/>
    <n v="1.3139100000000001E-2"/>
    <n v="5"/>
    <n v="0"/>
    <n v="0"/>
    <n v="0"/>
    <s v="[]"/>
    <s v="[&quot;W_2627&quot;, &quot;W_1860&quot;, &quot;W_2783&quot;, &quot;W_2271&quot;, &quot;W_176&quot;, &quot;W_895&quot;]"/>
    <n v="0"/>
    <n v="8.6476400000000009"/>
    <n v="8.8892900000000008"/>
    <n v="0"/>
    <n v="3.2593700000000001"/>
    <n v="0"/>
    <n v="6"/>
    <n v="0"/>
    <n v="18.9419"/>
    <n v="10.2325"/>
  </r>
  <r>
    <x v="35"/>
    <n v="519322908"/>
    <s v="C_0"/>
    <n v="10.471299999999999"/>
    <n v="2.1749299999999998"/>
    <n v="10.471299999999999"/>
    <n v="0"/>
    <n v="0"/>
    <n v="-0.43240600000000001"/>
    <n v="2.87967"/>
    <n v="2.87967"/>
    <n v="0"/>
    <n v="5"/>
    <n v="0"/>
    <n v="0"/>
    <n v="0"/>
    <s v="[]"/>
    <s v="[&quot;W_2627&quot;, &quot;W_1860&quot;, &quot;W_2783&quot;, &quot;W_2271&quot;, &quot;W_176&quot;, &quot;W_895&quot;]"/>
    <n v="0"/>
    <n v="8.4746900000000007"/>
    <n v="8.8567099999999996"/>
    <n v="0"/>
    <n v="2.9502600000000001"/>
    <n v="0"/>
    <n v="6"/>
    <n v="0"/>
    <n v="18.6265"/>
    <n v="10.2325"/>
  </r>
  <r>
    <x v="36"/>
    <n v="26405910"/>
    <s v="C_0"/>
    <n v="10.6091"/>
    <n v="2.1749299999999998"/>
    <n v="10.6091"/>
    <n v="0"/>
    <n v="0"/>
    <n v="-0.36158400000000002"/>
    <n v="2.8220700000000001"/>
    <n v="2.8220700000000001"/>
    <n v="0.12903899999999999"/>
    <n v="5"/>
    <n v="0"/>
    <n v="0"/>
    <n v="0"/>
    <s v="[]"/>
    <s v="[&quot;W_2627&quot;, &quot;W_1860&quot;, &quot;W_2783&quot;, &quot;W_2271&quot;, &quot;W_176&quot;, &quot;W_895&quot;]"/>
    <n v="0"/>
    <n v="8.3051999999999992"/>
    <n v="8.7521799999999992"/>
    <n v="0"/>
    <n v="2.87967"/>
    <n v="0"/>
    <n v="6"/>
    <n v="0"/>
    <n v="18.504799999999999"/>
    <n v="10.2325"/>
  </r>
  <r>
    <x v="37"/>
    <n v="789979588"/>
    <s v="C_0"/>
    <n v="10.6242"/>
    <n v="2.1749299999999998"/>
    <n v="10.6242"/>
    <n v="0"/>
    <n v="0"/>
    <n v="-0.63351000000000002"/>
    <n v="2.7656299999999998"/>
    <n v="2.7656299999999998"/>
    <n v="5.5567999999999998E-3"/>
    <n v="5"/>
    <n v="0"/>
    <n v="0"/>
    <n v="0"/>
    <s v="[]"/>
    <s v="[&quot;W_2627&quot;, &quot;W_1860&quot;, &quot;W_2783&quot;, &quot;W_2271&quot;, &quot;W_176&quot;, &quot;W_895&quot;]"/>
    <n v="0"/>
    <n v="8.1390899999999995"/>
    <n v="8.6134299999999993"/>
    <n v="0"/>
    <n v="2.9382100000000002"/>
    <n v="0"/>
    <n v="6"/>
    <n v="0"/>
    <n v="18.228200000000001"/>
    <n v="10.2325"/>
  </r>
  <r>
    <x v="38"/>
    <n v="258068337"/>
    <s v="C_0"/>
    <n v="6.7211499999999997"/>
    <n v="2.1749299999999998"/>
    <n v="7.25814"/>
    <n v="0"/>
    <n v="0"/>
    <n v="2.68493"/>
    <n v="2.7103199999999998"/>
    <n v="2.7103199999999998"/>
    <n v="7.2178299999999997E-3"/>
    <n v="5"/>
    <n v="0"/>
    <n v="0"/>
    <n v="0"/>
    <s v="[]"/>
    <s v="[&quot;W_2627&quot;, &quot;W_1860&quot;, &quot;W_2783&quot;, &quot;W_2271&quot;, &quot;W_176&quot;, &quot;W_895&quot;]"/>
    <n v="0"/>
    <n v="9.46631"/>
    <n v="8.4593100000000003"/>
    <n v="3.2607699999999999"/>
    <n v="2.7706300000000001"/>
    <n v="2.4897900000000002"/>
    <n v="6"/>
    <n v="5.6248800000000001"/>
    <n v="21.386099999999999"/>
    <n v="9.95214"/>
  </r>
  <r>
    <x v="39"/>
    <n v="882293954"/>
    <s v="C_0"/>
    <n v="4.6315200000000001"/>
    <n v="2.1749299999999998"/>
    <n v="4.6315200000000001"/>
    <n v="1.20208"/>
    <n v="0"/>
    <n v="-2.7463500000000001"/>
    <n v="3"/>
    <n v="1.79792"/>
    <n v="0"/>
    <n v="5"/>
    <n v="0"/>
    <n v="0"/>
    <n v="0"/>
    <s v="[]"/>
    <s v="[&quot;W_2627&quot;, &quot;W_1860&quot;, &quot;W_2783&quot;, &quot;W_2271&quot;, &quot;W_176&quot;, &quot;W_895&quot;]"/>
    <n v="0"/>
    <n v="9.28613"/>
    <n v="8.2992000000000008"/>
    <n v="0"/>
    <n v="2.7168100000000002"/>
    <n v="0"/>
    <n v="6"/>
    <n v="0"/>
    <n v="21.139600000000002"/>
    <n v="9.95214"/>
  </r>
  <r>
    <x v="40"/>
    <n v="696091386"/>
    <s v="C_0"/>
    <n v="4.7758700000000003"/>
    <n v="2.0721799999999999"/>
    <n v="4.7758700000000003"/>
    <n v="0"/>
    <n v="0"/>
    <n v="-0.30449599999999999"/>
    <n v="2"/>
    <n v="2"/>
    <n v="0"/>
    <n v="5"/>
    <n v="0"/>
    <n v="0"/>
    <n v="0"/>
    <s v="[]"/>
    <s v="[&quot;W_2627&quot;, &quot;W_2783&quot;, &quot;W_176&quot;, &quot;W_895&quot;]"/>
    <n v="0"/>
    <n v="9.16601"/>
    <n v="8.6541099999999993"/>
    <n v="0"/>
    <n v="1.9181299999999999"/>
    <n v="0"/>
    <n v="4"/>
    <n v="0"/>
    <n v="20.965499999999999"/>
    <n v="9.95214"/>
  </r>
  <r>
    <x v="41"/>
    <n v="139397762"/>
    <s v="C_0"/>
    <n v="4.9202199999999996"/>
    <n v="2.0721799999999999"/>
    <n v="4.9202199999999996"/>
    <n v="0"/>
    <n v="0"/>
    <n v="-0.13825200000000001"/>
    <n v="2"/>
    <n v="2"/>
    <n v="0.37535400000000002"/>
    <n v="5"/>
    <n v="0"/>
    <n v="0"/>
    <n v="0"/>
    <s v="[]"/>
    <s v="[&quot;W_2627&quot;, &quot;W_2783&quot;, &quot;W_176&quot;, &quot;W_895&quot;]"/>
    <n v="0"/>
    <n v="9.04589"/>
    <n v="7.3300599999999996"/>
    <n v="0"/>
    <n v="1.9181299999999999"/>
    <n v="0"/>
    <n v="4"/>
    <n v="0"/>
    <n v="20.961200000000002"/>
    <n v="9.95214"/>
  </r>
  <r>
    <x v="42"/>
    <n v="404803651"/>
    <s v="C_0"/>
    <n v="5.1678199999999999"/>
    <n v="2.1238000000000001"/>
    <n v="5.1678199999999999"/>
    <n v="0"/>
    <n v="0"/>
    <n v="-4.6414799999999999E-2"/>
    <n v="2"/>
    <n v="2"/>
    <n v="0"/>
    <n v="5"/>
    <n v="0"/>
    <n v="0.67563700000000004"/>
    <n v="0"/>
    <s v="[]"/>
    <s v="[&quot;W_2627&quot;, &quot;W_2783&quot;, &quot;W_176&quot;, &quot;W_895&quot;]"/>
    <n v="0"/>
    <n v="8.92577"/>
    <n v="6.6680299999999999"/>
    <n v="0"/>
    <n v="2.3378199999999998"/>
    <n v="0"/>
    <n v="4"/>
    <n v="0"/>
    <n v="20.949100000000001"/>
    <n v="9.95214"/>
  </r>
  <r>
    <x v="43"/>
    <n v="711004912"/>
    <s v="C_0"/>
    <n v="5.4154200000000001"/>
    <n v="2.1238000000000001"/>
    <n v="5.4154200000000001"/>
    <n v="0"/>
    <n v="0"/>
    <n v="-0.235516"/>
    <n v="2"/>
    <n v="2"/>
    <n v="5.5783399999999997E-2"/>
    <n v="5"/>
    <n v="0"/>
    <n v="0"/>
    <n v="0"/>
    <s v="[]"/>
    <s v="[&quot;W_2627&quot;, &quot;W_2783&quot;, &quot;W_176&quot;, &quot;W_895&quot;]"/>
    <n v="0"/>
    <n v="8.80565"/>
    <n v="6.3370199999999999"/>
    <n v="0"/>
    <n v="2"/>
    <n v="0"/>
    <n v="4"/>
    <n v="0"/>
    <n v="20.749099999999999"/>
    <n v="9.95214"/>
  </r>
  <r>
    <x v="44"/>
    <n v="213932851"/>
    <s v="C_0"/>
    <n v="5.6630200000000004"/>
    <n v="2.1238000000000001"/>
    <n v="5.6630200000000004"/>
    <n v="0"/>
    <n v="0"/>
    <n v="-9.0652800000000006E-2"/>
    <n v="2"/>
    <n v="2"/>
    <n v="0"/>
    <n v="5"/>
    <n v="0"/>
    <n v="0.10041"/>
    <n v="0"/>
    <s v="[]"/>
    <s v="[&quot;W_2627&quot;, &quot;W_2783&quot;, &quot;W_176&quot;, &quot;W_895&quot;]"/>
    <n v="0"/>
    <n v="8.68553"/>
    <n v="6.1715099999999996"/>
    <n v="0"/>
    <n v="2.0501999999999998"/>
    <n v="0"/>
    <n v="4"/>
    <n v="0"/>
    <n v="20.696999999999999"/>
    <n v="9.95214"/>
  </r>
  <r>
    <x v="45"/>
    <n v="124159291"/>
    <s v="C_0"/>
    <n v="5.9106300000000003"/>
    <n v="2.1238000000000001"/>
    <n v="5.9106300000000003"/>
    <n v="0"/>
    <n v="0"/>
    <n v="-0.164077"/>
    <n v="2"/>
    <n v="2"/>
    <n v="1.1299699999999999"/>
    <n v="5"/>
    <n v="0"/>
    <n v="8.8817800000000003E-16"/>
    <n v="0"/>
    <s v="[]"/>
    <s v="[&quot;W_2627&quot;, &quot;W_2783&quot;, &quot;W_176&quot;, &quot;W_895&quot;]"/>
    <n v="0"/>
    <n v="8.56541"/>
    <n v="6.0887599999999997"/>
    <n v="0"/>
    <n v="2"/>
    <n v="0"/>
    <n v="4"/>
    <n v="0"/>
    <n v="20.573899999999998"/>
    <n v="7.1632499999999997"/>
  </r>
  <r>
    <x v="46"/>
    <n v="579575343"/>
    <s v="C_0"/>
    <n v="6.2201300000000002"/>
    <n v="2.1238000000000001"/>
    <n v="6.2201300000000002"/>
    <n v="0"/>
    <n v="0"/>
    <n v="-0.23583000000000001"/>
    <n v="2.5"/>
    <n v="2.5"/>
    <n v="0.337281"/>
    <n v="5"/>
    <n v="0"/>
    <n v="0.70456300000000005"/>
    <n v="0"/>
    <s v="[]"/>
    <s v="[&quot;W_2627&quot;, &quot;W_2783&quot;, &quot;W_176&quot;, &quot;W_895&quot;, &quot;W_2545&quot;]"/>
    <n v="0"/>
    <n v="8.41526"/>
    <n v="6.0473800000000004"/>
    <n v="0"/>
    <n v="3.0169700000000002"/>
    <n v="0"/>
    <n v="5"/>
    <n v="0"/>
    <n v="20.392399999999999"/>
    <n v="7.1632499999999997"/>
  </r>
  <r>
    <x v="47"/>
    <n v="116845730"/>
    <s v="C_0"/>
    <n v="6.52963"/>
    <n v="2.1238000000000001"/>
    <n v="6.52963"/>
    <n v="0"/>
    <n v="0"/>
    <n v="-0.235871"/>
    <n v="2.5"/>
    <n v="2.5"/>
    <n v="0.59605300000000006"/>
    <n v="5"/>
    <n v="0"/>
    <n v="0.60456299999999996"/>
    <n v="0"/>
    <s v="[]"/>
    <s v="[&quot;W_2627&quot;, &quot;W_2783&quot;, &quot;W_176&quot;, &quot;W_895&quot;, &quot;W_2545&quot;]"/>
    <n v="0"/>
    <n v="8.26511"/>
    <n v="6.7774400000000004"/>
    <n v="0"/>
    <n v="2.80355"/>
    <n v="0"/>
    <n v="5"/>
    <n v="0"/>
    <n v="20.214300000000001"/>
    <n v="7.1632499999999997"/>
  </r>
  <r>
    <x v="48"/>
    <n v="524959716"/>
    <s v="C_0"/>
    <n v="6.8391299999999999"/>
    <n v="2.1238000000000001"/>
    <n v="6.8391299999999999"/>
    <n v="0"/>
    <n v="0"/>
    <n v="-0.33417200000000002"/>
    <n v="2.5"/>
    <n v="2.5"/>
    <n v="0.247867"/>
    <n v="5"/>
    <n v="0"/>
    <n v="0.50456299999999998"/>
    <n v="0"/>
    <s v="[]"/>
    <s v="[&quot;W_2627&quot;, &quot;W_2783&quot;, &quot;W_176&quot;, &quot;W_895&quot;, &quot;W_2545&quot;]"/>
    <n v="0"/>
    <n v="8.11496"/>
    <n v="7.1424799999999999"/>
    <n v="0"/>
    <n v="3.0364499999999999"/>
    <n v="0"/>
    <n v="5"/>
    <n v="0"/>
    <n v="19.939499999999999"/>
    <n v="7.1632499999999997"/>
  </r>
  <r>
    <x v="49"/>
    <n v="757509101"/>
    <s v="C_0"/>
    <n v="4.0102700000000002"/>
    <n v="2.1238000000000001"/>
    <n v="4.4800300000000002"/>
    <n v="0"/>
    <n v="0"/>
    <n v="2.34884"/>
    <n v="2.5"/>
    <n v="2.5"/>
    <n v="0.44538899999999998"/>
    <n v="5"/>
    <n v="0"/>
    <n v="0.40456300000000001"/>
    <n v="0"/>
    <s v="[]"/>
    <s v="[&quot;W_2627&quot;, &quot;W_2783&quot;, &quot;W_176&quot;, &quot;W_895&quot;, &quot;W_2545&quot;]"/>
    <n v="0"/>
    <n v="9.05349"/>
    <n v="7.3249899999999997"/>
    <n v="2.6686000000000001"/>
    <n v="2.7230799999999999"/>
    <n v="1.0886800000000001"/>
    <n v="5"/>
    <n v="2.6875200000000001"/>
    <n v="22.349499999999999"/>
    <n v="8.6176399999999997"/>
  </r>
  <r>
    <x v="50"/>
    <n v="752074527"/>
    <s v="C_0"/>
    <n v="4.3197700000000001"/>
    <n v="2.1238000000000001"/>
    <n v="4.3197700000000001"/>
    <n v="0"/>
    <n v="0"/>
    <n v="-0.219919"/>
    <n v="2.5"/>
    <n v="2.5"/>
    <n v="6.4061300000000002E-2"/>
    <n v="5"/>
    <n v="0"/>
    <n v="0.80169999999999997"/>
    <n v="0"/>
    <s v="[]"/>
    <s v="[&quot;W_2627&quot;, &quot;W_2783&quot;, &quot;W_176&quot;, &quot;W_895&quot;, &quot;W_2545&quot;]"/>
    <n v="0"/>
    <n v="8.90334"/>
    <n v="7.4162499999999998"/>
    <n v="0"/>
    <n v="2.9008500000000002"/>
    <n v="0"/>
    <n v="5"/>
    <n v="0"/>
    <n v="22.194400000000002"/>
    <n v="8.6176399999999997"/>
  </r>
  <r>
    <x v="51"/>
    <n v="731272528"/>
    <s v="C_0"/>
    <n v="4.62927"/>
    <n v="2.1238000000000001"/>
    <n v="4.62927"/>
    <n v="0"/>
    <n v="0"/>
    <n v="-0.21546999999999999"/>
    <n v="2.5"/>
    <n v="2.5"/>
    <n v="0.19273999999999999"/>
    <n v="5"/>
    <n v="0"/>
    <n v="0.11531"/>
    <n v="0"/>
    <s v="[]"/>
    <s v="[&quot;W_2627&quot;, &quot;W_2783&quot;, &quot;W_176&quot;, &quot;W_895&quot;, &quot;W_2545&quot;]"/>
    <n v="0"/>
    <n v="8.75319"/>
    <n v="7.4618799999999998"/>
    <n v="0"/>
    <n v="2.5576599999999998"/>
    <n v="0"/>
    <n v="5"/>
    <n v="0"/>
    <n v="22.047599999999999"/>
    <n v="8.6176399999999997"/>
  </r>
  <r>
    <x v="52"/>
    <n v="936623480"/>
    <s v="C_0"/>
    <n v="4.9387699999999999"/>
    <n v="2.1238000000000001"/>
    <n v="4.9387699999999999"/>
    <n v="0"/>
    <n v="0"/>
    <n v="-0.186695"/>
    <n v="2.5"/>
    <n v="2.5"/>
    <n v="0.56715499999999996"/>
    <n v="5"/>
    <n v="0"/>
    <n v="0.34693200000000002"/>
    <n v="0"/>
    <s v="[]"/>
    <s v="[&quot;W_2627&quot;, &quot;W_2783&quot;, &quot;W_176&quot;, &quot;W_895&quot;, &quot;W_2545&quot;]"/>
    <n v="0"/>
    <n v="8.60304"/>
    <n v="7.4846899999999996"/>
    <n v="0"/>
    <n v="2.67347"/>
    <n v="0"/>
    <n v="5"/>
    <n v="0"/>
    <n v="21.9343"/>
    <n v="8.6176399999999997"/>
  </r>
  <r>
    <x v="53"/>
    <n v="695622944"/>
    <s v="C_0"/>
    <n v="5.2482699999999998"/>
    <n v="2.1238000000000001"/>
    <n v="5.2482699999999998"/>
    <n v="0"/>
    <n v="0"/>
    <n v="-0.41828900000000002"/>
    <n v="2.5"/>
    <n v="2.5"/>
    <n v="0.70094699999999999"/>
    <n v="5"/>
    <n v="0"/>
    <n v="0.72962199999999999"/>
    <n v="0"/>
    <s v="[]"/>
    <s v="[&quot;W_2627&quot;, &quot;W_2783&quot;, &quot;W_176&quot;, &quot;W_895&quot;, &quot;W_2545&quot;]"/>
    <n v="0"/>
    <n v="8.45289"/>
    <n v="7.4961000000000002"/>
    <n v="0"/>
    <n v="3.01044"/>
    <n v="0"/>
    <n v="5"/>
    <n v="0"/>
    <n v="21.59"/>
    <n v="8.6176399999999997"/>
  </r>
  <r>
    <x v="54"/>
    <n v="820378914"/>
    <s v="C_0"/>
    <n v="5.5577800000000002"/>
    <n v="2.1238000000000001"/>
    <n v="5.5577800000000002"/>
    <n v="0"/>
    <n v="0"/>
    <n v="-0.37834099999999998"/>
    <n v="2.5"/>
    <n v="2.5"/>
    <n v="0.121582"/>
    <n v="5"/>
    <n v="0"/>
    <n v="0.62962200000000001"/>
    <n v="0"/>
    <s v="[]"/>
    <s v="[&quot;W_2627&quot;, &quot;W_2783&quot;, &quot;W_176&quot;, &quot;W_895&quot;, &quot;W_2545&quot;]"/>
    <n v="0"/>
    <n v="8.30274"/>
    <n v="7.5018000000000002"/>
    <n v="0"/>
    <n v="3.1308500000000001"/>
    <n v="0"/>
    <n v="5"/>
    <n v="0"/>
    <n v="21.287099999999999"/>
    <n v="8.6176399999999997"/>
  </r>
  <r>
    <x v="55"/>
    <n v="49883617"/>
    <s v="C_0"/>
    <n v="3.20065"/>
    <n v="2.1238000000000001"/>
    <n v="2.8821699999999999"/>
    <n v="0.74320000000000008"/>
    <n v="0.31848199999999999"/>
    <n v="-0.50839999999999996"/>
    <n v="2.5"/>
    <n v="1.7567999999999999"/>
    <n v="0"/>
    <n v="5"/>
    <n v="3.7559600000000001E-4"/>
    <n v="0.21884700000000001"/>
    <n v="5.6888399999999999E-2"/>
    <s v="[{&quot;amount&quot;: 0.31848239892830754, &quot;rate&quot;: 0.022407254804442167}]"/>
    <s v="[&quot;W_2627&quot;, &quot;W_2783&quot;, &quot;W_176&quot;, &quot;W_895&quot;, &quot;W_2545&quot;]"/>
    <n v="0"/>
    <n v="8.7363999999999997"/>
    <n v="7.5046600000000003"/>
    <n v="1.3991899999999999"/>
    <n v="2.6094200000000001"/>
    <n v="1.1266400000000001"/>
    <n v="5"/>
    <n v="2.8930199999999999"/>
    <n v="22.433499999999999"/>
    <n v="8.8290100000000002"/>
  </r>
  <r>
    <x v="56"/>
    <n v="327204046"/>
    <s v="C_0"/>
    <n v="3.0046200000000001"/>
    <n v="1.91351"/>
    <n v="2.7020599999999999"/>
    <n v="0"/>
    <n v="0.30255799999999999"/>
    <n v="-0.64166900000000004"/>
    <n v="2"/>
    <n v="2"/>
    <n v="0"/>
    <n v="5"/>
    <n v="3.5681599999999998E-4"/>
    <n v="0"/>
    <n v="9.9505399999999994E-2"/>
    <s v="[{&quot;amount&quot;: 0.30255827898189214, &quot;rate&quot;: 0.022407254804442167}]"/>
    <s v="[&quot;W_2627&quot;, &quot;W_2783&quot;, &quot;W_176&quot;, &quot;W_895&quot;]"/>
    <n v="0"/>
    <n v="8.6162799999999997"/>
    <n v="7.5060799999999999"/>
    <n v="0"/>
    <n v="1.8311200000000001"/>
    <n v="0"/>
    <n v="4"/>
    <n v="0"/>
    <n v="22.275700000000001"/>
    <n v="8.8290100000000002"/>
  </r>
  <r>
    <x v="57"/>
    <n v="737990378"/>
    <s v="C_0"/>
    <n v="2.8097400000000001"/>
    <n v="1.91351"/>
    <n v="2.5223100000000001"/>
    <n v="0"/>
    <n v="0.28743000000000002"/>
    <n v="-0.63643400000000006"/>
    <n v="2"/>
    <n v="2"/>
    <n v="0"/>
    <n v="5"/>
    <n v="3.3897499999999999E-4"/>
    <n v="0"/>
    <n v="0.100698"/>
    <s v="[{&quot;amount&quot;: 0.2874303650327975, &quot;rate&quot;: 0.022407254804442167}]"/>
    <s v="[&quot;W_2627&quot;, &quot;W_2783&quot;, &quot;W_176&quot;, &quot;W_895&quot;]"/>
    <n v="0"/>
    <n v="8.4961599999999997"/>
    <n v="6.7560399999999996"/>
    <n v="0"/>
    <n v="1.8311200000000001"/>
    <n v="0"/>
    <n v="4"/>
    <n v="0"/>
    <n v="22.125399999999999"/>
    <n v="8.8290100000000002"/>
  </r>
  <r>
    <x v="58"/>
    <n v="605582596"/>
    <s v="C_0"/>
    <n v="2.6159599999999998"/>
    <n v="1.91351"/>
    <n v="2.3429000000000002"/>
    <n v="0"/>
    <n v="0.273059"/>
    <n v="-0.56433900000000004"/>
    <n v="2"/>
    <n v="2"/>
    <n v="0"/>
    <n v="5"/>
    <n v="3.22026E-4"/>
    <n v="0"/>
    <n v="0.102298"/>
    <s v="[{&quot;amount&quot;: 0.27305884678115766, &quot;rate&quot;: 0.022407254804442167}]"/>
    <s v="[&quot;W_2627&quot;, &quot;W_2783&quot;, &quot;W_176&quot;, &quot;W_895&quot;]"/>
    <n v="0"/>
    <n v="8.3760399999999997"/>
    <n v="6.3810200000000004"/>
    <n v="0"/>
    <n v="1.8311200000000001"/>
    <n v="0"/>
    <n v="4"/>
    <n v="0"/>
    <n v="22.050599999999999"/>
    <n v="8.8290100000000002"/>
  </r>
  <r>
    <x v="59"/>
    <n v="577084075"/>
    <s v="C_0"/>
    <n v="2.4232200000000002"/>
    <n v="1.91351"/>
    <n v="2.1638099999999998"/>
    <n v="0"/>
    <n v="0.25940600000000003"/>
    <n v="-0.72736100000000004"/>
    <n v="2"/>
    <n v="2"/>
    <n v="0"/>
    <n v="5"/>
    <n v="3.0592500000000002E-4"/>
    <n v="0"/>
    <n v="0.104382"/>
    <s v="[{&quot;amount&quot;: 0.25940590444209977, &quot;rate&quot;: 0.022407254804442167}]"/>
    <s v="[&quot;W_2627&quot;, &quot;W_2783&quot;, &quot;W_176&quot;, &quot;W_895&quot;]"/>
    <n v="0"/>
    <n v="8.2559199999999997"/>
    <n v="6.1935200000000004"/>
    <n v="0"/>
    <n v="1.8311200000000001"/>
    <n v="0"/>
    <n v="4"/>
    <n v="0"/>
    <n v="21.8139"/>
    <n v="8.8290100000000002"/>
  </r>
  <r>
    <x v="60"/>
    <n v="578649092"/>
    <s v="C_0"/>
    <n v="2.2314699999999998"/>
    <n v="1.91351"/>
    <n v="1.9850300000000001"/>
    <n v="0"/>
    <n v="0.24643599999999999"/>
    <n v="-0.74651400000000001"/>
    <n v="2"/>
    <n v="2"/>
    <n v="0"/>
    <n v="5"/>
    <n v="2.9062899999999999E-4"/>
    <n v="0"/>
    <n v="0.10705000000000001"/>
    <s v="[{&quot;amount&quot;: 0.24643560921999477, &quot;rate&quot;: 0.022407254804442167}]"/>
    <s v="[&quot;W_2627&quot;, &quot;W_2783&quot;, &quot;W_176&quot;, &quot;W_895&quot;]"/>
    <n v="0"/>
    <n v="8.1357999999999997"/>
    <n v="6.0997599999999998"/>
    <n v="0"/>
    <n v="1.8311200000000001"/>
    <n v="0"/>
    <n v="4"/>
    <n v="0"/>
    <n v="21.559000000000001"/>
    <n v="8.8290100000000002"/>
  </r>
  <r>
    <x v="61"/>
    <n v="454409803"/>
    <s v="C_0"/>
    <n v="2.0406499999999999"/>
    <n v="1.91351"/>
    <n v="1.80654"/>
    <n v="0"/>
    <n v="0.23411399999999999"/>
    <n v="-0.56334799999999996"/>
    <n v="2"/>
    <n v="2"/>
    <n v="0"/>
    <n v="5"/>
    <n v="2.76097E-4"/>
    <n v="0"/>
    <n v="0.11043699999999999"/>
    <s v="[{&quot;amount&quot;: 0.23411382875899503, &quot;rate&quot;: 0.022407254804442167}]"/>
    <s v="[&quot;W_2627&quot;, &quot;W_2783&quot;, &quot;W_176&quot;, &quot;W_895&quot;]"/>
    <n v="0"/>
    <n v="8.0156799999999997"/>
    <n v="6.05288"/>
    <n v="0"/>
    <n v="1.8311200000000001"/>
    <n v="0"/>
    <n v="4"/>
    <n v="0"/>
    <n v="21.4909"/>
    <n v="7.1210399999999998"/>
  </r>
  <r>
    <x v="62"/>
    <n v="9834243"/>
    <s v="C_0"/>
    <n v="1.85073"/>
    <n v="1.91351"/>
    <n v="1.62832"/>
    <n v="0"/>
    <n v="0.22240799999999999"/>
    <n v="-0.695994"/>
    <n v="2"/>
    <n v="2"/>
    <n v="0"/>
    <n v="5"/>
    <n v="2.6229200000000002E-4"/>
    <n v="0"/>
    <n v="0.11472499999999999"/>
    <s v="[{&quot;amount&quot;: 0.22240813732104528, &quot;rate&quot;: 0.022407254804442167}]"/>
    <s v="[&quot;W_2627&quot;, &quot;W_2783&quot;, &quot;W_176&quot;, &quot;W_895&quot;]"/>
    <n v="0"/>
    <n v="7.8955599999999997"/>
    <n v="6.0294400000000001"/>
    <n v="0"/>
    <n v="1.8311200000000001"/>
    <n v="0"/>
    <n v="4"/>
    <n v="0"/>
    <n v="21.292100000000001"/>
    <n v="7.0934600000000003"/>
  </r>
  <r>
    <x v="63"/>
    <n v="481639408"/>
    <s v="C_0"/>
    <n v="1.79992"/>
    <n v="1.91351"/>
    <n v="1.4468300000000001"/>
    <n v="0"/>
    <n v="0.35309600000000002"/>
    <n v="-0.62804899999999997"/>
    <n v="2"/>
    <n v="2"/>
    <n v="0"/>
    <n v="5"/>
    <n v="4.2614900000000002E-4"/>
    <n v="0"/>
    <n v="0.18584000000000001"/>
    <s v="[{&quot;amount&quot;: 0.21128773045499302, &quot;rate&quot;: 0.022407254804442167}, {&quot;amount&quot;: 0.14180789789376563, &quot;rate&quot;: 0.023711355946681445}]"/>
    <s v="[&quot;W_2627&quot;, &quot;W_2783&quot;, &quot;W_176&quot;, &quot;W_895&quot;]"/>
    <n v="0"/>
    <n v="7.7754399999999997"/>
    <n v="6.0177300000000002"/>
    <n v="0"/>
    <n v="1.8311200000000001"/>
    <n v="0"/>
    <n v="4"/>
    <n v="0"/>
    <n v="21.164400000000001"/>
    <n v="7.0934600000000003"/>
  </r>
  <r>
    <x v="64"/>
    <n v="64469925"/>
    <s v="C_0"/>
    <n v="1.7830699999999999"/>
    <n v="1.91351"/>
    <n v="1.2575499999999999"/>
    <n v="0"/>
    <n v="0.52551499999999995"/>
    <n v="-0.77881199999999995"/>
    <n v="2"/>
    <n v="2"/>
    <n v="0"/>
    <n v="5"/>
    <n v="8.15126E-4"/>
    <n v="0"/>
    <n v="0.27658700000000003"/>
    <s v="[{&quot;amount&quot;: 0.20072334393224336, &quot;rate&quot;: 0.022407254804442167}, {&quot;amount&quot;: 0.13471750299907737, &quot;rate&quot;: 0.023711355946681445}, {&quot;amount&quot;: 0.19007384654106663, &quot;rate&quot;: 0.04101248888814897}]"/>
    <s v="[&quot;W_2627&quot;, &quot;W_2783&quot;, &quot;W_176&quot;, &quot;W_895&quot;]"/>
    <n v="0"/>
    <n v="7.6553199999999997"/>
    <n v="6.01187"/>
    <n v="0"/>
    <n v="1.8311200000000001"/>
    <n v="0"/>
    <n v="4"/>
    <n v="0"/>
    <n v="20.8871"/>
    <n v="7.0727799999999998"/>
  </r>
  <r>
    <x v="65"/>
    <n v="576255941"/>
    <s v="C_0"/>
    <n v="1.7534700000000001"/>
    <n v="1.91351"/>
    <n v="1.0481499999999999"/>
    <n v="0"/>
    <n v="0.70532399999999995"/>
    <n v="-0.68937099999999996"/>
    <n v="2"/>
    <n v="2"/>
    <n v="0"/>
    <n v="5"/>
    <n v="1.82168E-3"/>
    <n v="0"/>
    <n v="0.37122300000000003"/>
    <s v="[{&quot;amount&quot;: 0.19068717673563118, &quot;rate&quot;: 0.022407254804442167}, {&quot;amount&quot;: 0.1279816278491235, &quot;rate&quot;: 0.023711355946681445}, {&quot;amount&quot;: 0.1805701542140133, &quot;rate&quot;: 0.04101248888814897}, {&quot;amount&quot;: 0.20608535953862114, &quot;rate&quot;: 0.09655666259328514}]"/>
    <s v="[&quot;W_2627&quot;, &quot;W_2783&quot;, &quot;W_176&quot;, &quot;W_895&quot;]"/>
    <n v="0"/>
    <n v="7.5351999999999997"/>
    <n v="6.0089399999999999"/>
    <n v="0"/>
    <n v="1.8311200000000001"/>
    <n v="0"/>
    <n v="4"/>
    <n v="0"/>
    <n v="20.702500000000001"/>
    <n v="7.0693400000000004"/>
  </r>
  <r>
    <x v="66"/>
    <n v="97464052"/>
    <s v="C_0"/>
    <n v="1.6937"/>
    <n v="1.91351"/>
    <n v="0.789439"/>
    <n v="0"/>
    <n v="0.90425800000000001"/>
    <n v="-0.72127799999999997"/>
    <n v="2"/>
    <n v="2"/>
    <n v="0"/>
    <n v="5"/>
    <n v="4.2869400000000004E-3"/>
    <n v="0"/>
    <n v="0.47592600000000002"/>
    <s v="[{&quot;amount&quot;: 0.18115281789884963, &quot;rate&quot;: 0.022407254804442167}, {&quot;amount&quot;: 0.12158254645666733, &quot;rate&quot;: 0.023711355946681445}, {&quot;amount&quot;: 0.17154164650331263, &quot;rate&quot;: 0.04101248888814897}, {&quot;amount&quot;: 0.19578109156169007, &quot;rate&quot;: 0.09655666259328514}, {&quot;amount&quot;: 0.23420038554337072, &quot;rate&quot;: 0.20738866791222232}]"/>
    <s v="[&quot;W_2627&quot;, &quot;W_2783&quot;, &quot;W_176&quot;, &quot;W_895&quot;]"/>
    <n v="0"/>
    <n v="7.4150799999999997"/>
    <n v="6.0074699999999996"/>
    <n v="0"/>
    <n v="1.8311200000000001"/>
    <n v="0"/>
    <n v="4"/>
    <n v="0"/>
    <n v="20.490500000000001"/>
    <n v="7.0693400000000004"/>
  </r>
  <r>
    <x v="67"/>
    <n v="838240484"/>
    <s v="C_0"/>
    <n v="1.55671"/>
    <n v="1.91351"/>
    <n v="0.40667900000000001"/>
    <n v="0"/>
    <n v="1.1500300000000001"/>
    <n v="-0.69452899999999995"/>
    <n v="2"/>
    <n v="2"/>
    <n v="0"/>
    <n v="5"/>
    <n v="1.0489500000000001E-2"/>
    <n v="0"/>
    <n v="0.60528000000000004"/>
    <s v="[{&quot;amount&quot;: 0.17209517700390714, &quot;rate&quot;: 0.022407254804442167}, {&quot;amount&quot;: 0.11550341913383397, &quot;rate&quot;: 0.023711355946681445}, {&quot;amount&quot;: 0.162964564178147, &quot;rate&quot;: 0.04101248888814897}, {&quot;amount&quot;: 0.18599203698360556, &quot;rate&quot;: 0.09655666259328514}, {&quot;amount&quot;: 0.2224903662662022, &quot;rate&quot;: 0.20738866791222232}, {&quot;amount&quot;: 0.290987003004102, &quot;rate&quot;: 0.4189904798599516}]"/>
    <s v="[&quot;W_2627&quot;, &quot;W_2783&quot;, &quot;W_176&quot;, &quot;W_895&quot;]"/>
    <n v="0"/>
    <n v="7.2949599999999997"/>
    <n v="6.0067399999999997"/>
    <n v="0"/>
    <n v="1.8311200000000001"/>
    <n v="0"/>
    <n v="4"/>
    <n v="0"/>
    <n v="20.3139"/>
    <n v="7.0693400000000004"/>
  </r>
  <r>
    <x v="68"/>
    <n v="802090407"/>
    <s v="C_0"/>
    <n v="1.2715799999999999"/>
    <n v="1.91351"/>
    <n v="-0.24207300000000001"/>
    <n v="0"/>
    <n v="1.5136499999999999"/>
    <n v="-0.69452899999999995"/>
    <n v="2"/>
    <n v="2"/>
    <n v="0"/>
    <n v="5"/>
    <n v="2.3789100000000001E-2"/>
    <n v="0"/>
    <n v="0.79666000000000003"/>
    <s v="[{&quot;amount&quot;: 0.1634904181537118, &quot;rate&quot;: 0.022407254804442167}, {&quot;amount&quot;: 0.10972824817714227, &quot;rate&quot;: 0.023711355946681445}, {&quot;amount&quot;: 0.15481633596923966, &quot;rate&quot;: 0.04101248888814897}, {&quot;amount&quot;: 0.17669243513442529, &quot;rate&quot;: 0.09655666259328514}, {&quot;amount&quot;: 0.2113658479528921, &quot;rate&quot;: 0.20738866791222232}, {&quot;amount&quot;: 0.27643765285389693, &quot;rate&quot;: 0.4189904798599516}, {&quot;amount&quot;: 0.42112389850416304, &quot;rate&quot;: 0.6237055571296336}]"/>
    <s v="[&quot;W_2627&quot;, &quot;W_2783&quot;, &quot;W_176&quot;, &quot;W_895&quot;]"/>
    <n v="0"/>
    <n v="7.1748399999999997"/>
    <n v="6.0063700000000004"/>
    <n v="0"/>
    <n v="1.8311200000000001"/>
    <n v="0"/>
    <n v="4"/>
    <n v="0"/>
    <n v="20.0334"/>
    <n v="7.0693400000000004"/>
  </r>
  <r>
    <x v="69"/>
    <n v="432857668"/>
    <s v="C_0"/>
    <n v="0.37039800000000001"/>
    <n v="1.91351"/>
    <n v="-1.5296000000000001"/>
    <n v="0"/>
    <n v="1.9"/>
    <n v="-0.69452899999999995"/>
    <n v="2"/>
    <n v="2"/>
    <n v="0"/>
    <n v="5"/>
    <n v="6.7831600000000006E-2"/>
    <n v="0"/>
    <n v="0.99990000000000001"/>
    <s v="[{&quot;amount&quot;: 1.9, &quot;rate&quot;: 0.6783157960923868}]"/>
    <s v="[&quot;W_2627&quot;, &quot;W_2783&quot;, &quot;W_176&quot;, &quot;W_895&quot;]"/>
    <n v="0"/>
    <n v="7.0547199999999997"/>
    <n v="6.0061900000000001"/>
    <n v="0"/>
    <n v="1.8311200000000001"/>
    <n v="0"/>
    <n v="4"/>
    <n v="0"/>
    <n v="19.811900000000001"/>
    <n v="7.0693400000000004"/>
  </r>
  <r>
    <x v="70"/>
    <n v="862982991"/>
    <s v="C_0"/>
    <n v="-0.58656799999999998"/>
    <n v="1.91351"/>
    <n v="-3.8062800000000001"/>
    <n v="0"/>
    <n v="3.2197100000000001"/>
    <n v="-0.69452899999999995"/>
    <n v="2"/>
    <n v="2"/>
    <n v="0"/>
    <n v="5"/>
    <n v="0.11498700000000001"/>
    <n v="0"/>
    <n v="0.99990000000000001"/>
    <s v="[{&quot;amount&quot;: 3.219710550774358, &quot;rate&quot;: 0.6785536011086309}]"/>
    <s v="[&quot;W_2627&quot;, &quot;W_2783&quot;, &quot;W_176&quot;, &quot;W_895&quot;]"/>
    <n v="0"/>
    <n v="7.4263599999999999"/>
    <n v="6.0061"/>
    <n v="1.3335699999999999"/>
    <n v="1.8311200000000001"/>
    <n v="0.49176199999999998"/>
    <n v="4"/>
    <n v="1.38917"/>
    <n v="20.9786"/>
    <n v="7.0659999999999998"/>
  </r>
  <r>
    <x v="71"/>
    <n v="506005329"/>
    <s v="C_0"/>
    <n v="0.37003599999999998"/>
    <n v="1.91351"/>
    <n v="-1.52996"/>
    <n v="0"/>
    <n v="1.9"/>
    <n v="-0.69452899999999995"/>
    <n v="2"/>
    <n v="2"/>
    <n v="0"/>
    <n v="5"/>
    <n v="6.7849699999999999E-2"/>
    <n v="0"/>
    <n v="0.99990000000000001"/>
    <s v="[{&quot;amount&quot;: 1.9, &quot;rate&quot;: 0.6784968019182339}]"/>
    <s v="[&quot;W_2627&quot;, &quot;W_2783&quot;, &quot;W_176&quot;, &quot;W_895&quot;]"/>
    <n v="0"/>
    <n v="7.3062399999999998"/>
    <n v="6.0060500000000001"/>
    <n v="0"/>
    <n v="1.8311200000000001"/>
    <n v="0"/>
    <n v="4"/>
    <n v="0"/>
    <n v="20.709700000000002"/>
    <n v="7.0659999999999998"/>
  </r>
  <r>
    <x v="72"/>
    <n v="506080158"/>
    <s v="C_0"/>
    <n v="0.36985600000000002"/>
    <n v="1.91351"/>
    <n v="-1.5301400000000001"/>
    <n v="0"/>
    <n v="1.9"/>
    <n v="-0.69452899999999995"/>
    <n v="2"/>
    <n v="2"/>
    <n v="0"/>
    <n v="5"/>
    <n v="6.7858699999999994E-2"/>
    <n v="0"/>
    <n v="0.99990000000000001"/>
    <s v="[{&quot;amount&quot;: 1.9, &quot;rate&quot;: 0.6785868445258252}]"/>
    <s v="[&quot;W_2627&quot;, &quot;W_2783&quot;, &quot;W_176&quot;, &quot;W_895&quot;]"/>
    <n v="0"/>
    <n v="7.1861199999999998"/>
    <n v="6.00603"/>
    <n v="0"/>
    <n v="1.8311200000000001"/>
    <n v="0"/>
    <n v="4"/>
    <n v="0"/>
    <n v="20.62"/>
    <n v="7.0659999999999998"/>
  </r>
  <r>
    <x v="73"/>
    <n v="837796974"/>
    <s v="C_0"/>
    <n v="0.36945"/>
    <n v="1.91351"/>
    <n v="-1.5305500000000001"/>
    <n v="0"/>
    <n v="1.9"/>
    <n v="-0.69452899999999995"/>
    <n v="2"/>
    <n v="2"/>
    <n v="0"/>
    <n v="5"/>
    <n v="6.7878999999999995E-2"/>
    <n v="0"/>
    <n v="0.99990000000000001"/>
    <s v="[{&quot;amount&quot;: 1.9, &quot;rate&quot;: 0.6787897207878751}]"/>
    <s v="[&quot;W_2627&quot;, &quot;W_2783&quot;, &quot;W_176&quot;, &quot;W_895&quot;]"/>
    <n v="0"/>
    <n v="7.0659999999999998"/>
    <n v="6.0060200000000004"/>
    <n v="0"/>
    <n v="1.8311200000000001"/>
    <n v="0"/>
    <n v="4"/>
    <n v="0"/>
    <n v="20.490200000000002"/>
    <n v="7.0659999999999998"/>
  </r>
  <r>
    <x v="74"/>
    <n v="300223173"/>
    <s v="C_0"/>
    <n v="0.370174"/>
    <n v="1.91351"/>
    <n v="-1.52983"/>
    <n v="0"/>
    <n v="1.9"/>
    <n v="-0.69452899999999995"/>
    <n v="2"/>
    <n v="2"/>
    <n v="0"/>
    <n v="5"/>
    <n v="6.7842799999999995E-2"/>
    <n v="0"/>
    <n v="0.99990000000000001"/>
    <s v="[{&quot;amount&quot;: 1.9, &quot;rate&quot;: 0.6784276991962238}]"/>
    <s v="[&quot;W_2627&quot;, &quot;W_2783&quot;, &quot;W_176&quot;, &quot;W_895&quot;]"/>
    <n v="0"/>
    <n v="6.9458799999999998"/>
    <n v="6.0060099999999998"/>
    <n v="0"/>
    <n v="1.8311200000000001"/>
    <n v="0"/>
    <n v="4"/>
    <n v="0"/>
    <n v="20.373200000000001"/>
    <n v="7.0659999999999998"/>
  </r>
  <r>
    <x v="75"/>
    <n v="766130737"/>
    <s v="C_0"/>
    <n v="0.37042399999999998"/>
    <n v="1.91351"/>
    <n v="-1.5295799999999999"/>
    <n v="0"/>
    <n v="1.9"/>
    <n v="-0.69452899999999995"/>
    <n v="2"/>
    <n v="2"/>
    <n v="0"/>
    <n v="5"/>
    <n v="6.7830199999999993E-2"/>
    <n v="0"/>
    <n v="0.99990000000000001"/>
    <s v="[{&quot;amount&quot;: 1.9, &quot;rate&quot;: 0.6783023819753894}]"/>
    <s v="[&quot;W_2627&quot;, &quot;W_2783&quot;, &quot;W_176&quot;, &quot;W_895&quot;]"/>
    <n v="0"/>
    <n v="6.8257599999999998"/>
    <n v="6.0060099999999998"/>
    <n v="0"/>
    <n v="1.8311200000000001"/>
    <n v="0"/>
    <n v="4"/>
    <n v="0"/>
    <n v="20.2727"/>
    <n v="7.0659999999999998"/>
  </r>
  <r>
    <x v="76"/>
    <n v="490787890"/>
    <s v="C_0"/>
    <n v="0.37147200000000002"/>
    <n v="1.91351"/>
    <n v="-1.5285299999999999"/>
    <n v="0"/>
    <n v="1.9"/>
    <n v="-0.69452899999999995"/>
    <n v="2"/>
    <n v="2"/>
    <n v="0"/>
    <n v="5"/>
    <n v="6.7777900000000002E-2"/>
    <n v="0"/>
    <n v="0.99990000000000001"/>
    <s v="[{&quot;amount&quot;: 1.9, &quot;rate&quot;: 0.6777787767886363}]"/>
    <s v="[&quot;W_2627&quot;, &quot;W_2783&quot;, &quot;W_176&quot;, &quot;W_895&quot;]"/>
    <n v="0"/>
    <n v="6.7056399999999998"/>
    <n v="6.0060099999999998"/>
    <n v="0"/>
    <n v="1.8311200000000001"/>
    <n v="0"/>
    <n v="4"/>
    <n v="0"/>
    <n v="20.0289"/>
    <n v="7.0659999999999998"/>
  </r>
  <r>
    <x v="77"/>
    <n v="186812278"/>
    <s v="C_0"/>
    <n v="0.37162099999999998"/>
    <n v="1.91351"/>
    <n v="-1.5283800000000001"/>
    <n v="0"/>
    <n v="1.9"/>
    <n v="-0.69452899999999995"/>
    <n v="2"/>
    <n v="2"/>
    <n v="0"/>
    <n v="5"/>
    <n v="6.7770399999999995E-2"/>
    <n v="0"/>
    <n v="0.99990000000000001"/>
    <s v="[{&quot;amount&quot;: 1.9, &quot;rate&quot;: 0.6777041809939585}]"/>
    <s v="[&quot;W_2627&quot;, &quot;W_2783&quot;, &quot;W_176&quot;, &quot;W_895&quot;]"/>
    <n v="0"/>
    <n v="6.5855199999999998"/>
    <n v="6.0060099999999998"/>
    <n v="0"/>
    <n v="1.8311200000000001"/>
    <n v="0"/>
    <n v="4"/>
    <n v="0"/>
    <n v="19.809799999999999"/>
    <n v="7.0659999999999998"/>
  </r>
  <r>
    <x v="78"/>
    <n v="702691503"/>
    <s v="C_0"/>
    <n v="-1.7732699999999999"/>
    <n v="1.91351"/>
    <n v="-6.4416900000000004"/>
    <n v="0"/>
    <n v="4.6684200000000002"/>
    <n v="-0.69452899999999995"/>
    <n v="2"/>
    <n v="2"/>
    <n v="0"/>
    <n v="5"/>
    <n v="0.166686"/>
    <n v="0"/>
    <n v="0.99990000000000001"/>
    <s v="[{&quot;amount&quot;: 4.668424647272865, &quot;rate&quot;: 0.6783948965236454}]"/>
    <s v="[&quot;W_2627&quot;, &quot;W_2783&quot;, &quot;W_176&quot;, &quot;W_895&quot;]"/>
    <n v="0"/>
    <n v="7.4262499999999996"/>
    <n v="6.0060099999999998"/>
    <n v="2.9350000000000001"/>
    <n v="1.8311200000000001"/>
    <n v="0.96084599999999998"/>
    <n v="4"/>
    <n v="2.9141300000000001"/>
    <n v="22.5229"/>
    <n v="7.0658899999999996"/>
  </r>
  <r>
    <x v="79"/>
    <n v="302667780"/>
    <s v="C_0"/>
    <n v="0.370556"/>
    <n v="1.91351"/>
    <n v="-1.5294399999999999"/>
    <n v="0"/>
    <n v="1.9"/>
    <n v="-0.69452899999999995"/>
    <n v="2"/>
    <n v="2"/>
    <n v="0"/>
    <n v="5"/>
    <n v="6.7823700000000001E-2"/>
    <n v="0"/>
    <n v="0.99990000000000001"/>
    <s v="[{&quot;amount&quot;: 1.9, &quot;rate&quot;: 0.6782367937955266}]"/>
    <s v="[&quot;W_2627&quot;, &quot;W_2783&quot;, &quot;W_176&quot;, &quot;W_895&quot;]"/>
    <n v="0"/>
    <n v="7.3061299999999996"/>
    <n v="6.0060099999999998"/>
    <n v="0"/>
    <n v="1.8311200000000001"/>
    <n v="0"/>
    <n v="4"/>
    <n v="0"/>
    <n v="22.252199999999998"/>
    <n v="7.0658899999999996"/>
  </r>
  <r>
    <x v="80"/>
    <n v="91319182"/>
    <s v="C_0"/>
    <n v="0.36984499999999998"/>
    <n v="1.91351"/>
    <n v="-1.53016"/>
    <n v="0"/>
    <n v="1.9"/>
    <n v="-0.69452899999999995"/>
    <n v="2"/>
    <n v="2"/>
    <n v="0"/>
    <n v="5"/>
    <n v="6.7859199999999995E-2"/>
    <n v="0"/>
    <n v="0.99990000000000001"/>
    <s v="[{&quot;amount&quot;: 1.9, &quot;rate&quot;: 0.6785921872479576}]"/>
    <s v="[&quot;W_2627&quot;, &quot;W_2783&quot;, &quot;W_176&quot;, &quot;W_895&quot;]"/>
    <n v="0"/>
    <n v="7.1860099999999996"/>
    <n v="6.0060099999999998"/>
    <n v="0"/>
    <n v="1.8311200000000001"/>
    <n v="0"/>
    <n v="4"/>
    <n v="0"/>
    <n v="22.088100000000001"/>
    <n v="7.0658899999999996"/>
  </r>
  <r>
    <x v="81"/>
    <n v="402367222"/>
    <s v="C_0"/>
    <n v="0.36958200000000002"/>
    <n v="1.91351"/>
    <n v="-1.5304199999999999"/>
    <n v="0"/>
    <n v="1.9"/>
    <n v="-0.69452899999999995"/>
    <n v="2"/>
    <n v="2"/>
    <n v="0"/>
    <n v="5"/>
    <n v="6.7872399999999999E-2"/>
    <n v="0"/>
    <n v="0.99990000000000001"/>
    <s v="[{&quot;amount&quot;: 1.9, &quot;rate&quot;: 0.6787235639770135}]"/>
    <s v="[&quot;W_2627&quot;, &quot;W_2783&quot;, &quot;W_176&quot;, &quot;W_895&quot;]"/>
    <n v="0"/>
    <n v="7.0658899999999996"/>
    <n v="6.0060099999999998"/>
    <n v="0"/>
    <n v="1.8311200000000001"/>
    <n v="0"/>
    <n v="4"/>
    <n v="0"/>
    <n v="22.042000000000002"/>
    <n v="7.0658899999999996"/>
  </r>
  <r>
    <x v="82"/>
    <n v="79197749"/>
    <s v="C_0"/>
    <n v="0.36865500000000001"/>
    <n v="1.91351"/>
    <n v="-1.53135"/>
    <n v="0"/>
    <n v="1.9"/>
    <n v="-0.69452899999999995"/>
    <n v="2"/>
    <n v="2"/>
    <n v="0"/>
    <n v="5"/>
    <n v="6.7918699999999999E-2"/>
    <n v="0"/>
    <n v="0.99990000000000001"/>
    <s v="[{&quot;amount&quot;: 1.9, &quot;rate&quot;: 0.6791871405753007}]"/>
    <s v="[&quot;W_2627&quot;, &quot;W_2783&quot;, &quot;W_176&quot;, &quot;W_895&quot;]"/>
    <n v="0"/>
    <n v="6.9457700000000004"/>
    <n v="6.0060099999999998"/>
    <n v="0"/>
    <n v="1.8311200000000001"/>
    <n v="0"/>
    <n v="4"/>
    <n v="0"/>
    <n v="22.052199999999999"/>
    <n v="7.0658899999999996"/>
  </r>
  <r>
    <x v="83"/>
    <n v="704068245"/>
    <s v="C_0"/>
    <n v="0.88984700000000005"/>
    <n v="1.91351"/>
    <n v="-2.8444699999999998"/>
    <n v="0"/>
    <n v="3.7343199999999999"/>
    <n v="-0.69452899999999995"/>
    <n v="2"/>
    <n v="2"/>
    <n v="0"/>
    <n v="5"/>
    <n v="0.133575"/>
    <n v="0"/>
    <n v="0.99990000000000001"/>
    <s v="[{&quot;amount&quot;: 3.734316997615616, &quot;rate&quot;: 0.6796220997636574}]"/>
    <s v="[&quot;W_2627&quot;, &quot;W_2783&quot;, &quot;W_176&quot;, &quot;W_895&quot;]"/>
    <n v="0"/>
    <n v="6.8256500000000004"/>
    <n v="6.0060099999999998"/>
    <n v="0"/>
    <n v="1.8311200000000001"/>
    <n v="0.60060000000000002"/>
    <n v="4"/>
    <n v="1.93086"/>
    <n v="21.9437"/>
    <n v="7.0658899999999996"/>
  </r>
  <r>
    <x v="84"/>
    <n v="422263071"/>
    <s v="C_0"/>
    <n v="0.36902299999999999"/>
    <n v="1.91351"/>
    <n v="-1.53098"/>
    <n v="0"/>
    <n v="1.9"/>
    <n v="-0.69452899999999995"/>
    <n v="2"/>
    <n v="2"/>
    <n v="0"/>
    <n v="5"/>
    <n v="6.7900299999999997E-2"/>
    <n v="0"/>
    <n v="0.99990000000000001"/>
    <s v="[{&quot;amount&quot;: 1.9, &quot;rate&quot;: 0.6790029623943501}]"/>
    <s v="[&quot;W_2627&quot;, &quot;W_2783&quot;, &quot;W_176&quot;, &quot;W_895&quot;]"/>
    <n v="0"/>
    <n v="6.7055300000000004"/>
    <n v="6.0060099999999998"/>
    <n v="0"/>
    <n v="1.8311200000000001"/>
    <n v="0"/>
    <n v="4"/>
    <n v="0"/>
    <n v="21.557200000000002"/>
    <n v="7.0658899999999996"/>
  </r>
  <r>
    <x v="85"/>
    <n v="459418317"/>
    <s v="C_0"/>
    <n v="-1.5781099999999999"/>
    <n v="1.91351"/>
    <n v="-6.0455199999999998"/>
    <n v="0"/>
    <n v="4.4674100000000001"/>
    <n v="-0.69452899999999995"/>
    <n v="2"/>
    <n v="2"/>
    <n v="0"/>
    <n v="5"/>
    <n v="0.15960199999999999"/>
    <n v="0"/>
    <n v="0.99990000000000001"/>
    <s v="[{&quot;amount&quot;: 4.467407627315131, &quot;rate&quot;: 0.6787921280741204}]"/>
    <s v="[&quot;W_2627&quot;, &quot;W_2783&quot;, &quot;W_176&quot;, &quot;W_895&quot;]"/>
    <n v="0"/>
    <n v="7.4262499999999996"/>
    <n v="6.0060099999999998"/>
    <n v="2.6804999999999999"/>
    <n v="1.8311200000000001"/>
    <n v="0.84084000000000003"/>
    <n v="4"/>
    <n v="2.7093600000000002"/>
    <n v="23.928899999999999"/>
    <n v="7.0658899999999996"/>
  </r>
  <r>
    <x v="86"/>
    <n v="341241262"/>
    <s v="C_0"/>
    <n v="0.36794199999999999"/>
    <n v="1.91351"/>
    <n v="-1.53206"/>
    <n v="0"/>
    <n v="1.9"/>
    <n v="-0.69452899999999995"/>
    <n v="2"/>
    <n v="2"/>
    <n v="0"/>
    <n v="5"/>
    <n v="6.7954399999999998E-2"/>
    <n v="0"/>
    <n v="0.99990000000000001"/>
    <s v="[{&quot;amount&quot;: 1.9, &quot;rate&quot;: 0.6795438511131191}]"/>
    <s v="[&quot;W_2627&quot;, &quot;W_2783&quot;, &quot;W_176&quot;, &quot;W_895&quot;]"/>
    <n v="0"/>
    <n v="7.3061299999999996"/>
    <n v="6.0060099999999998"/>
    <n v="0"/>
    <n v="1.8311200000000001"/>
    <n v="0"/>
    <n v="4"/>
    <n v="0"/>
    <n v="23.752199999999998"/>
    <n v="7.0658899999999996"/>
  </r>
  <r>
    <x v="87"/>
    <n v="962936925"/>
    <s v="C_0"/>
    <n v="0.36658099999999999"/>
    <n v="1.91351"/>
    <n v="-1.53342"/>
    <n v="0"/>
    <n v="1.9"/>
    <n v="-0.69452899999999995"/>
    <n v="2"/>
    <n v="2"/>
    <n v="0"/>
    <n v="5"/>
    <n v="6.8022399999999997E-2"/>
    <n v="0"/>
    <n v="0.99990000000000001"/>
    <s v="[{&quot;amount&quot;: 1.9, &quot;rate&quot;: 0.6802239349874194}]"/>
    <s v="[&quot;W_2627&quot;, &quot;W_2783&quot;, &quot;W_176&quot;, &quot;W_895&quot;]"/>
    <n v="0"/>
    <n v="7.1860099999999996"/>
    <n v="6.0060099999999998"/>
    <n v="0"/>
    <n v="1.8311200000000001"/>
    <n v="0"/>
    <n v="4"/>
    <n v="0"/>
    <n v="23.4786"/>
    <n v="7.0658899999999996"/>
  </r>
  <r>
    <x v="88"/>
    <n v="870353475"/>
    <s v="C_0"/>
    <n v="0.36564200000000002"/>
    <n v="1.91351"/>
    <n v="-1.5343599999999999"/>
    <n v="0"/>
    <n v="1.9"/>
    <n v="-0.69452899999999995"/>
    <n v="2"/>
    <n v="2"/>
    <n v="0"/>
    <n v="5"/>
    <n v="6.8069400000000002E-2"/>
    <n v="0"/>
    <n v="0.99990000000000001"/>
    <s v="[{&quot;amount&quot;: 1.9, &quot;rate&quot;: 0.6806938536639353}]"/>
    <s v="[&quot;W_2627&quot;, &quot;W_2783&quot;, &quot;W_176&quot;, &quot;W_895&quot;]"/>
    <n v="0"/>
    <n v="7.0658899999999996"/>
    <n v="6.0060099999999998"/>
    <n v="0"/>
    <n v="1.8311200000000001"/>
    <n v="0"/>
    <n v="4"/>
    <n v="0"/>
    <n v="22.910399999999999"/>
    <n v="7.0658899999999996"/>
  </r>
  <r>
    <x v="89"/>
    <n v="445570690"/>
    <s v="C_0"/>
    <n v="0.365091"/>
    <n v="1.91351"/>
    <n v="-1.53491"/>
    <n v="0"/>
    <n v="1.9"/>
    <n v="-0.69452899999999995"/>
    <n v="2"/>
    <n v="2"/>
    <n v="0"/>
    <n v="5"/>
    <n v="6.8096900000000002E-2"/>
    <n v="0"/>
    <n v="0.99990000000000001"/>
    <s v="[{&quot;amount&quot;: 1.9, &quot;rate&quot;: 0.6809691197791337}]"/>
    <s v="[&quot;W_2627&quot;, &quot;W_2783&quot;, &quot;W_176&quot;, &quot;W_895&quot;]"/>
    <n v="0"/>
    <n v="6.9457700000000004"/>
    <n v="6.0060099999999998"/>
    <n v="0"/>
    <n v="1.8311200000000001"/>
    <n v="0"/>
    <n v="4"/>
    <n v="0"/>
    <n v="22.564299999999999"/>
    <n v="7.0658899999999996"/>
  </r>
  <r>
    <x v="90"/>
    <n v="125574090"/>
    <s v="C_0"/>
    <n v="0.36293199999999998"/>
    <n v="1.91351"/>
    <n v="-1.5370699999999999"/>
    <n v="0"/>
    <n v="1.9"/>
    <n v="-0.69452899999999995"/>
    <n v="2"/>
    <n v="2"/>
    <n v="0"/>
    <n v="5"/>
    <n v="6.8204899999999999E-2"/>
    <n v="0"/>
    <n v="0.99990000000000001"/>
    <s v="[{&quot;amount&quot;: 1.9, &quot;rate&quot;: 0.6820488276387803}]"/>
    <s v="[&quot;W_2627&quot;, &quot;W_2783&quot;, &quot;W_176&quot;, &quot;W_895&quot;]"/>
    <n v="0"/>
    <n v="6.8256500000000004"/>
    <n v="6.0060099999999998"/>
    <n v="0"/>
    <n v="1.8311200000000001"/>
    <n v="0"/>
    <n v="4"/>
    <n v="0"/>
    <n v="22.222200000000001"/>
    <n v="7.0658899999999996"/>
  </r>
  <r>
    <x v="91"/>
    <n v="62447300"/>
    <s v="C_0"/>
    <n v="-1.27868"/>
    <n v="1.91351"/>
    <n v="-5.3082099999999999"/>
    <n v="0"/>
    <n v="4.0295300000000003"/>
    <n v="-0.69452899999999995"/>
    <n v="2"/>
    <n v="2"/>
    <n v="0"/>
    <n v="5"/>
    <n v="0.144729"/>
    <n v="0"/>
    <n v="0.99990000000000001"/>
    <s v="[{&quot;amount&quot;: 4.029527961446624, &quot;rate&quot;: 0.6824245736810791}]"/>
    <s v="[&quot;W_2627&quot;, &quot;W_2783&quot;, &quot;W_176&quot;, &quot;W_895&quot;]"/>
    <n v="0"/>
    <n v="7.4262499999999996"/>
    <n v="6.0060099999999998"/>
    <n v="2.2406600000000001"/>
    <n v="1.8311200000000001"/>
    <n v="0.72072099999999995"/>
    <n v="4"/>
    <n v="2.3681000000000001"/>
    <n v="24.400700000000001"/>
    <n v="7.0658899999999996"/>
  </r>
  <r>
    <x v="92"/>
    <n v="861976170"/>
    <s v="C_0"/>
    <n v="0.36193500000000001"/>
    <n v="1.91351"/>
    <n v="-1.53807"/>
    <n v="0"/>
    <n v="1.9"/>
    <n v="-0.69452899999999995"/>
    <n v="2"/>
    <n v="2"/>
    <n v="0"/>
    <n v="5"/>
    <n v="6.8254700000000001E-2"/>
    <n v="0"/>
    <n v="0.99990000000000001"/>
    <s v="[{&quot;amount&quot;: 1.9, &quot;rate&quot;: 0.6825472636931428}]"/>
    <s v="[&quot;W_2627&quot;, &quot;W_2783&quot;, &quot;W_176&quot;, &quot;W_895&quot;]"/>
    <n v="0"/>
    <n v="7.3061299999999996"/>
    <n v="6.0060099999999998"/>
    <n v="0"/>
    <n v="1.8311200000000001"/>
    <n v="0"/>
    <n v="4"/>
    <n v="0"/>
    <n v="24.217600000000001"/>
    <n v="7.0658899999999996"/>
  </r>
  <r>
    <x v="93"/>
    <n v="130599393"/>
    <s v="C_0"/>
    <n v="0.36158299999999999"/>
    <n v="1.91351"/>
    <n v="-1.5384199999999999"/>
    <n v="0"/>
    <n v="1.9"/>
    <n v="-0.69452899999999995"/>
    <n v="2"/>
    <n v="2"/>
    <n v="0"/>
    <n v="5"/>
    <n v="6.8272299999999994E-2"/>
    <n v="0"/>
    <n v="0.99990000000000001"/>
    <s v="[{&quot;amount&quot;: 1.9, &quot;rate&quot;: 0.6827231538645572}]"/>
    <s v="[&quot;W_2627&quot;, &quot;W_2783&quot;, &quot;W_176&quot;, &quot;W_895&quot;]"/>
    <n v="0"/>
    <n v="7.1860099999999996"/>
    <n v="6.0060099999999998"/>
    <n v="0"/>
    <n v="1.8311200000000001"/>
    <n v="0"/>
    <n v="4"/>
    <n v="0"/>
    <n v="23.911300000000001"/>
    <n v="7.0658899999999996"/>
  </r>
  <r>
    <x v="94"/>
    <n v="606449881"/>
    <s v="C_0"/>
    <n v="0.36132300000000001"/>
    <n v="1.91351"/>
    <n v="-1.53868"/>
    <n v="0"/>
    <n v="1.9"/>
    <n v="-0.69452899999999995"/>
    <n v="2"/>
    <n v="2"/>
    <n v="0"/>
    <n v="5"/>
    <n v="6.8285299999999993E-2"/>
    <n v="0"/>
    <n v="0.99990000000000001"/>
    <s v="[{&quot;amount&quot;: 1.9, &quot;rate&quot;: 0.6828533250242614}]"/>
    <s v="[&quot;W_2627&quot;, &quot;W_2783&quot;, &quot;W_176&quot;, &quot;W_895&quot;]"/>
    <n v="0"/>
    <n v="7.0658899999999996"/>
    <n v="6.0060099999999998"/>
    <n v="0"/>
    <n v="1.8311200000000001"/>
    <n v="0"/>
    <n v="4"/>
    <n v="0"/>
    <n v="23.7026"/>
    <n v="7.0658899999999996"/>
  </r>
  <r>
    <x v="95"/>
    <n v="933213130"/>
    <s v="C_0"/>
    <n v="0.36152499999999999"/>
    <n v="1.91351"/>
    <n v="-1.5384800000000001"/>
    <n v="0"/>
    <n v="1.9"/>
    <n v="-0.69452899999999995"/>
    <n v="2"/>
    <n v="2"/>
    <n v="0"/>
    <n v="5"/>
    <n v="6.8275199999999994E-2"/>
    <n v="0"/>
    <n v="0.99990000000000001"/>
    <s v="[{&quot;amount&quot;: 1.9, &quot;rate&quot;: 0.6827522618230254}]"/>
    <s v="[&quot;W_2627&quot;, &quot;W_2783&quot;, &quot;W_176&quot;, &quot;W_895&quot;]"/>
    <n v="0"/>
    <n v="6.9457700000000004"/>
    <n v="6.0060099999999998"/>
    <n v="0"/>
    <n v="1.8311200000000001"/>
    <n v="0"/>
    <n v="4"/>
    <n v="0"/>
    <n v="23.5379"/>
    <n v="7.0658899999999996"/>
  </r>
  <r>
    <x v="96"/>
    <n v="841486551"/>
    <s v="C_0"/>
    <n v="0.36230200000000001"/>
    <n v="1.91351"/>
    <n v="-1.5377000000000001"/>
    <n v="0"/>
    <n v="1.9"/>
    <n v="-0.69452899999999995"/>
    <n v="2"/>
    <n v="2"/>
    <n v="0"/>
    <n v="5"/>
    <n v="6.8236400000000003E-2"/>
    <n v="0"/>
    <n v="0.99990000000000001"/>
    <s v="[{&quot;amount&quot;: 1.9, &quot;rate&quot;: 0.6823634865810787}]"/>
    <s v="[&quot;W_2627&quot;, &quot;W_2783&quot;, &quot;W_176&quot;, &quot;W_895&quot;]"/>
    <n v="0"/>
    <n v="6.8256500000000004"/>
    <n v="6.0060099999999998"/>
    <n v="0"/>
    <n v="1.8311200000000001"/>
    <n v="0"/>
    <n v="4"/>
    <n v="0"/>
    <n v="23.3446"/>
    <n v="7.0658899999999996"/>
  </r>
  <r>
    <x v="97"/>
    <n v="15594369"/>
    <s v="C_0"/>
    <n v="0.36261300000000002"/>
    <n v="1.91351"/>
    <n v="-1.53739"/>
    <n v="0"/>
    <n v="1.9"/>
    <n v="-0.69452899999999995"/>
    <n v="2"/>
    <n v="2"/>
    <n v="0"/>
    <n v="5"/>
    <n v="6.8220799999999998E-2"/>
    <n v="0"/>
    <n v="0.99990000000000001"/>
    <s v="[{&quot;amount&quot;: 1.9, &quot;rate&quot;: 0.682208182182679}]"/>
    <s v="[&quot;W_2627&quot;, &quot;W_2783&quot;, &quot;W_176&quot;, &quot;W_895&quot;]"/>
    <n v="0"/>
    <n v="6.7055300000000004"/>
    <n v="6.0060099999999998"/>
    <n v="0"/>
    <n v="1.8311200000000001"/>
    <n v="0"/>
    <n v="4"/>
    <n v="0"/>
    <n v="23.0595"/>
    <n v="7.0658899999999996"/>
  </r>
  <r>
    <x v="98"/>
    <n v="768189608"/>
    <s v="C_0"/>
    <n v="0.362709"/>
    <n v="1.91351"/>
    <n v="-1.53729"/>
    <n v="0"/>
    <n v="1.9"/>
    <n v="-0.69452899999999995"/>
    <n v="2"/>
    <n v="2"/>
    <n v="0"/>
    <n v="5"/>
    <n v="6.8215999999999999E-2"/>
    <n v="0"/>
    <n v="0.99990000000000001"/>
    <s v="[{&quot;amount&quot;: 1.9, &quot;rate&quot;: 0.6821600274388512}]"/>
    <s v="[&quot;W_2627&quot;, &quot;W_2783&quot;, &quot;W_176&quot;, &quot;W_895&quot;]"/>
    <n v="0"/>
    <n v="6.5854100000000004"/>
    <n v="6.0060099999999998"/>
    <n v="0"/>
    <n v="1.8311200000000001"/>
    <n v="0"/>
    <n v="4"/>
    <n v="0"/>
    <n v="22.753900000000002"/>
    <n v="7.0658899999999996"/>
  </r>
  <r>
    <x v="99"/>
    <n v="911298003"/>
    <s v="C_0"/>
    <n v="0.36298000000000002"/>
    <n v="1.91351"/>
    <n v="-1.5370200000000001"/>
    <n v="0"/>
    <n v="1.9"/>
    <n v="-0.69452899999999995"/>
    <n v="2"/>
    <n v="2"/>
    <n v="0"/>
    <n v="5"/>
    <n v="6.8202499999999999E-2"/>
    <n v="0"/>
    <n v="0.99990000000000001"/>
    <s v="[{&quot;amount&quot;: 1.9, &quot;rate&quot;: 0.6820244735921149}]"/>
    <s v="[&quot;W_2627&quot;, &quot;W_2783&quot;, &quot;W_176&quot;, &quot;W_895&quot;]"/>
    <n v="0"/>
    <n v="6.4652900000000004"/>
    <n v="6.0060099999999998"/>
    <n v="0"/>
    <n v="1.8311200000000001"/>
    <n v="0"/>
    <n v="4"/>
    <n v="0"/>
    <n v="22.578399999999998"/>
    <n v="7.0658899999999996"/>
  </r>
  <r>
    <x v="100"/>
    <n v="637640609"/>
    <s v="C_0"/>
    <n v="0.36299199999999998"/>
    <n v="1.91351"/>
    <n v="-1.53701"/>
    <n v="0"/>
    <n v="1.9"/>
    <n v="-0.69452899999999995"/>
    <n v="2"/>
    <n v="2"/>
    <n v="0"/>
    <n v="5"/>
    <n v="6.8201800000000007E-2"/>
    <n v="0"/>
    <n v="0.99990000000000001"/>
    <s v="[{&quot;amount&quot;: 1.9, &quot;rate&quot;: 0.6820184258096456}]"/>
    <s v="[&quot;W_2627&quot;, &quot;W_2783&quot;, &quot;W_176&quot;, &quot;W_895&quot;]"/>
    <n v="0"/>
    <n v="6.3451700000000004"/>
    <n v="6.0060099999999998"/>
    <n v="0"/>
    <n v="1.8311200000000001"/>
    <n v="0"/>
    <n v="4"/>
    <n v="0"/>
    <n v="22.309000000000001"/>
    <n v="7.0658899999999996"/>
  </r>
  <r>
    <x v="101"/>
    <n v="742098497"/>
    <s v="C_0"/>
    <n v="0.36177300000000001"/>
    <n v="1.91351"/>
    <n v="-1.53823"/>
    <n v="0"/>
    <n v="1.9"/>
    <n v="-0.69452899999999995"/>
    <n v="2"/>
    <n v="2"/>
    <n v="0"/>
    <n v="5"/>
    <n v="6.8262799999999998E-2"/>
    <n v="0"/>
    <n v="0.99990000000000001"/>
    <s v="[{&quot;amount&quot;: 1.9, &quot;rate&quot;: 0.6826280647203855}]"/>
    <s v="[&quot;W_2627&quot;, &quot;W_2783&quot;, &quot;W_176&quot;, &quot;W_895&quot;]"/>
    <n v="0"/>
    <n v="6.2250500000000004"/>
    <n v="6.0060099999999998"/>
    <n v="0"/>
    <n v="1.8311200000000001"/>
    <n v="0"/>
    <n v="4"/>
    <n v="0"/>
    <n v="22.131599999999999"/>
    <n v="7.0658899999999996"/>
  </r>
  <r>
    <x v="102"/>
    <n v="874457708"/>
    <s v="C_0"/>
    <n v="-4.0355699999999999"/>
    <n v="1.91351"/>
    <n v="-7.1841600000000003"/>
    <n v="0"/>
    <n v="3.14859"/>
    <n v="-0.69452899999999995"/>
    <n v="2"/>
    <n v="2"/>
    <n v="0"/>
    <n v="5"/>
    <n v="0.113217"/>
    <n v="0"/>
    <n v="0.99990000000000001"/>
    <s v="[{&quot;amount&quot;: 3.1485893406635586, &quot;rate&quot;: 0.683203519578282}]"/>
    <s v="[&quot;W_2627&quot;, &quot;W_2783&quot;, &quot;W_176&quot;, &quot;W_895&quot;]"/>
    <n v="0"/>
    <n v="7.4262499999999996"/>
    <n v="6.0060099999999998"/>
    <n v="4.7468399999999997"/>
    <n v="1.8311200000000001"/>
    <n v="1.3213200000000001"/>
    <n v="4"/>
    <n v="4.79061"/>
    <n v="26.924700000000001"/>
    <n v="7.0658899999999996"/>
  </r>
  <r>
    <x v="103"/>
    <n v="80630140"/>
    <s v="C_0"/>
    <n v="0.359483"/>
    <n v="1.91351"/>
    <n v="-1.5405199999999999"/>
    <n v="0"/>
    <n v="1.9"/>
    <n v="-0.69452899999999995"/>
    <n v="2"/>
    <n v="2"/>
    <n v="0"/>
    <n v="5"/>
    <n v="6.8377300000000002E-2"/>
    <n v="0"/>
    <n v="0.99990000000000001"/>
    <s v="[{&quot;amount&quot;: 1.9, &quot;rate&quot;: 0.683773043878275}]"/>
    <s v="[&quot;W_2627&quot;, &quot;W_2783&quot;, &quot;W_176&quot;, &quot;W_895&quot;]"/>
    <n v="0"/>
    <n v="7.3061299999999996"/>
    <n v="6.0060099999999998"/>
    <n v="0"/>
    <n v="1.8311200000000001"/>
    <n v="0"/>
    <n v="4"/>
    <n v="0"/>
    <n v="26.738199999999999"/>
    <n v="7.0658899999999996"/>
  </r>
  <r>
    <x v="104"/>
    <n v="682691133"/>
    <s v="C_0"/>
    <n v="0.358904"/>
    <n v="1.91351"/>
    <n v="-1.5410999999999999"/>
    <n v="0"/>
    <n v="1.9"/>
    <n v="-0.69452899999999995"/>
    <n v="2"/>
    <n v="2"/>
    <n v="0"/>
    <n v="5"/>
    <n v="6.8406300000000003E-2"/>
    <n v="0"/>
    <n v="0.99990000000000001"/>
    <s v="[{&quot;amount&quot;: 1.9, &quot;rate&quot;: 0.6840626703067074}]"/>
    <s v="[&quot;W_2627&quot;, &quot;W_2783&quot;, &quot;W_176&quot;, &quot;W_895&quot;]"/>
    <n v="0"/>
    <n v="7.1860099999999996"/>
    <n v="6.0060099999999998"/>
    <n v="0"/>
    <n v="1.8311200000000001"/>
    <n v="0"/>
    <n v="4"/>
    <n v="0"/>
    <n v="26.438199999999998"/>
    <n v="7.0658899999999996"/>
  </r>
  <r>
    <x v="105"/>
    <n v="427865688"/>
    <s v="C_0"/>
    <n v="0.358541"/>
    <n v="1.91351"/>
    <n v="-1.5414600000000001"/>
    <n v="0"/>
    <n v="1.9"/>
    <n v="-0.69452899999999995"/>
    <n v="2"/>
    <n v="2"/>
    <n v="0"/>
    <n v="5"/>
    <n v="6.8424399999999996E-2"/>
    <n v="0"/>
    <n v="0.99990000000000001"/>
    <s v="[{&quot;amount&quot;: 1.9, &quot;rate&quot;: 0.6842441583163842}]"/>
    <s v="[&quot;W_2627&quot;, &quot;W_2783&quot;, &quot;W_176&quot;, &quot;W_895&quot;]"/>
    <n v="0"/>
    <n v="7.0658899999999996"/>
    <n v="6.0060099999999998"/>
    <n v="0"/>
    <n v="1.8311200000000001"/>
    <n v="0"/>
    <n v="4"/>
    <n v="0"/>
    <n v="26.203499999999998"/>
    <n v="7.0658899999999996"/>
  </r>
  <r>
    <x v="106"/>
    <n v="166444688"/>
    <s v="C_0"/>
    <n v="0.35843399999999997"/>
    <n v="1.91351"/>
    <n v="-1.5415700000000001"/>
    <n v="0"/>
    <n v="1.9"/>
    <n v="-0.69452899999999995"/>
    <n v="2"/>
    <n v="2"/>
    <n v="0"/>
    <n v="5"/>
    <n v="6.8429799999999999E-2"/>
    <n v="0"/>
    <n v="0.99990000000000001"/>
    <s v="[{&quot;amount&quot;: 1.9, &quot;rate&quot;: 0.6842976231763521}]"/>
    <s v="[&quot;W_2627&quot;, &quot;W_2783&quot;, &quot;W_176&quot;, &quot;W_895&quot;]"/>
    <n v="0"/>
    <n v="6.9457700000000004"/>
    <n v="6.0060099999999998"/>
    <n v="0"/>
    <n v="1.8311200000000001"/>
    <n v="0"/>
    <n v="4"/>
    <n v="0"/>
    <n v="26.146100000000001"/>
    <n v="7.0658899999999996"/>
  </r>
  <r>
    <x v="107"/>
    <n v="153095289"/>
    <s v="C_0"/>
    <n v="0.35793700000000001"/>
    <n v="1.91351"/>
    <n v="-1.54206"/>
    <n v="0"/>
    <n v="1.9"/>
    <n v="-0.69452899999999995"/>
    <n v="2"/>
    <n v="2"/>
    <n v="0"/>
    <n v="5"/>
    <n v="6.8454600000000004E-2"/>
    <n v="0"/>
    <n v="0.99990000000000001"/>
    <s v="[{&quot;amount&quot;: 1.9, &quot;rate&quot;: 0.6845462920213361}]"/>
    <s v="[&quot;W_2627&quot;, &quot;W_2783&quot;, &quot;W_176&quot;, &quot;W_895&quot;]"/>
    <n v="0"/>
    <n v="6.8256500000000004"/>
    <n v="6.0060099999999998"/>
    <n v="0"/>
    <n v="1.8311200000000001"/>
    <n v="0"/>
    <n v="4"/>
    <n v="0"/>
    <n v="25.8385"/>
    <n v="7.0658899999999996"/>
  </r>
  <r>
    <x v="108"/>
    <n v="501975820"/>
    <s v="C_0"/>
    <n v="0.357323"/>
    <n v="1.91351"/>
    <n v="-1.5426800000000001"/>
    <n v="0"/>
    <n v="1.9"/>
    <n v="-0.69452899999999995"/>
    <n v="2"/>
    <n v="2"/>
    <n v="0"/>
    <n v="5"/>
    <n v="6.8485299999999999E-2"/>
    <n v="0"/>
    <n v="0.99990000000000001"/>
    <s v="[{&quot;amount&quot;: 1.9, &quot;rate&quot;: 0.6848532431614021}]"/>
    <s v="[&quot;W_2627&quot;, &quot;W_2783&quot;, &quot;W_176&quot;, &quot;W_895&quot;]"/>
    <n v="0"/>
    <n v="6.7055300000000004"/>
    <n v="6.0060099999999998"/>
    <n v="0"/>
    <n v="1.8311200000000001"/>
    <n v="0"/>
    <n v="4"/>
    <n v="0"/>
    <n v="25.5123"/>
    <n v="7.0658899999999996"/>
  </r>
  <r>
    <x v="109"/>
    <n v="17106968"/>
    <s v="C_0"/>
    <n v="0.356601"/>
    <n v="1.91351"/>
    <n v="-1.5434000000000001"/>
    <n v="0"/>
    <n v="1.9"/>
    <n v="-0.69452899999999995"/>
    <n v="2"/>
    <n v="2"/>
    <n v="0"/>
    <n v="5"/>
    <n v="6.8521399999999996E-2"/>
    <n v="0"/>
    <n v="0.99990000000000001"/>
    <s v="[{&quot;amount&quot;: 1.9, &quot;rate&quot;: 0.6852141155302143}]"/>
    <s v="[&quot;W_2627&quot;, &quot;W_2783&quot;, &quot;W_176&quot;, &quot;W_895&quot;]"/>
    <n v="0"/>
    <n v="6.5854100000000004"/>
    <n v="6.0060099999999998"/>
    <n v="0"/>
    <n v="1.8311200000000001"/>
    <n v="0"/>
    <n v="4"/>
    <n v="0"/>
    <n v="25.2087"/>
    <n v="7.0658899999999996"/>
  </r>
  <r>
    <x v="110"/>
    <n v="593269862"/>
    <s v="C_0"/>
    <n v="0.355989"/>
    <n v="1.91351"/>
    <n v="-1.5440100000000001"/>
    <n v="0"/>
    <n v="1.9"/>
    <n v="-0.69452899999999995"/>
    <n v="2"/>
    <n v="2"/>
    <n v="0"/>
    <n v="5"/>
    <n v="6.8552000000000002E-2"/>
    <n v="0"/>
    <n v="0.99990000000000001"/>
    <s v="[{&quot;amount&quot;: 1.9, &quot;rate&quot;: 0.6855198856043863}]"/>
    <s v="[&quot;W_2627&quot;, &quot;W_2783&quot;, &quot;W_176&quot;, &quot;W_895&quot;]"/>
    <n v="0"/>
    <n v="6.4652900000000004"/>
    <n v="6.0060099999999998"/>
    <n v="0"/>
    <n v="1.8311200000000001"/>
    <n v="0"/>
    <n v="4"/>
    <n v="0"/>
    <n v="24.909700000000001"/>
    <n v="7.0658899999999996"/>
  </r>
  <r>
    <x v="111"/>
    <n v="992393856"/>
    <s v="C_0"/>
    <n v="0.355437"/>
    <n v="1.91351"/>
    <n v="-1.5445599999999999"/>
    <n v="0"/>
    <n v="1.9"/>
    <n v="-0.69452899999999995"/>
    <n v="2"/>
    <n v="2"/>
    <n v="0"/>
    <n v="5"/>
    <n v="6.8579600000000004E-2"/>
    <n v="0"/>
    <n v="0.99990000000000001"/>
    <s v="[{&quot;amount&quot;: 1.9, &quot;rate&quot;: 0.6857960010448293}]"/>
    <s v="[&quot;W_2627&quot;, &quot;W_2783&quot;, &quot;W_176&quot;, &quot;W_895&quot;]"/>
    <n v="0"/>
    <n v="6.3451700000000004"/>
    <n v="6.0060099999999998"/>
    <n v="0"/>
    <n v="1.8311200000000001"/>
    <n v="0"/>
    <n v="4"/>
    <n v="0"/>
    <n v="24.6145"/>
    <n v="7.0658899999999996"/>
  </r>
  <r>
    <x v="112"/>
    <n v="816240382"/>
    <s v="C_0"/>
    <n v="0.35495500000000002"/>
    <n v="1.91351"/>
    <n v="-1.54505"/>
    <n v="0"/>
    <n v="1.9"/>
    <n v="-0.69452899999999995"/>
    <n v="2"/>
    <n v="2"/>
    <n v="0"/>
    <n v="5"/>
    <n v="6.8603700000000004E-2"/>
    <n v="0"/>
    <n v="0.99990000000000001"/>
    <s v="[{&quot;amount&quot;: 1.9, &quot;rate&quot;: 0.6860372081913882}]"/>
    <s v="[&quot;W_2627&quot;, &quot;W_2783&quot;, &quot;W_176&quot;, &quot;W_895&quot;]"/>
    <n v="0"/>
    <n v="6.2250500000000004"/>
    <n v="6.0060099999999998"/>
    <n v="0"/>
    <n v="1.8311200000000001"/>
    <n v="0"/>
    <n v="4"/>
    <n v="0"/>
    <n v="24.285799999999998"/>
    <n v="7.0658899999999996"/>
  </r>
  <r>
    <x v="113"/>
    <n v="91888968"/>
    <s v="C_0"/>
    <n v="0.35427399999999998"/>
    <n v="1.91351"/>
    <n v="-1.54573"/>
    <n v="0"/>
    <n v="1.9"/>
    <n v="-0.69452899999999995"/>
    <n v="2"/>
    <n v="2"/>
    <n v="0"/>
    <n v="5"/>
    <n v="6.8637699999999996E-2"/>
    <n v="0"/>
    <n v="0.99990000000000001"/>
    <s v="[{&quot;amount&quot;: 1.9, &quot;rate&quot;: 0.6863774511735877}]"/>
    <s v="[&quot;W_2627&quot;, &quot;W_2783&quot;, &quot;W_176&quot;, &quot;W_895&quot;]"/>
    <n v="0"/>
    <n v="6.1049300000000004"/>
    <n v="6.0060099999999998"/>
    <n v="0"/>
    <n v="1.8311200000000001"/>
    <n v="0"/>
    <n v="4"/>
    <n v="0"/>
    <n v="24.0778"/>
    <n v="7.0658899999999996"/>
  </r>
  <r>
    <x v="114"/>
    <n v="471092618"/>
    <s v="C_0"/>
    <n v="0.354273"/>
    <n v="1.91351"/>
    <n v="-1.54573"/>
    <n v="0"/>
    <n v="1.9"/>
    <n v="-0.69452899999999995"/>
    <n v="2"/>
    <n v="2"/>
    <n v="0"/>
    <n v="5"/>
    <n v="6.8637799999999999E-2"/>
    <n v="0"/>
    <n v="0.99990000000000001"/>
    <s v="[{&quot;amount&quot;: 1.9, &quot;rate&quot;: 0.6863780103365242}]"/>
    <s v="[&quot;W_2627&quot;, &quot;W_2783&quot;, &quot;W_176&quot;, &quot;W_895&quot;]"/>
    <n v="0"/>
    <n v="5.9848100000000004"/>
    <n v="6.0060099999999998"/>
    <n v="0"/>
    <n v="1.8311200000000001"/>
    <n v="0"/>
    <n v="4"/>
    <n v="0"/>
    <n v="23.8705"/>
    <n v="7.0658899999999996"/>
  </r>
  <r>
    <x v="115"/>
    <n v="317043351"/>
    <s v="C_0"/>
    <n v="0.34037200000000001"/>
    <n v="1.91351"/>
    <n v="-1.5596300000000001"/>
    <n v="0"/>
    <n v="1.9"/>
    <n v="-0.69452899999999995"/>
    <n v="1.9929399999999999"/>
    <n v="1.9929399999999999"/>
    <n v="0"/>
    <n v="5"/>
    <n v="6.8657499999999996E-2"/>
    <n v="0"/>
    <n v="0.99990000000000001"/>
    <s v="[{&quot;amount&quot;: 1.9, &quot;rate&quot;: 0.68657524685534}]"/>
    <s v="[&quot;W_2627&quot;, &quot;W_2783&quot;, &quot;W_176&quot;, &quot;W_895&quot;]"/>
    <n v="0"/>
    <n v="5.8651099999999996"/>
    <n v="6.0060099999999998"/>
    <n v="0"/>
    <n v="1.8311200000000001"/>
    <n v="0"/>
    <n v="4"/>
    <n v="0"/>
    <n v="23.558"/>
    <n v="7.0658899999999996"/>
  </r>
  <r>
    <x v="116"/>
    <n v="805962990"/>
    <s v="C_0"/>
    <n v="0.259465"/>
    <n v="1.91351"/>
    <n v="-1.6230599999999999"/>
    <n v="0"/>
    <n v="1.88252"/>
    <n v="-0.69452899999999995"/>
    <n v="1.9530799999999999"/>
    <n v="1.9530799999999999"/>
    <n v="0"/>
    <n v="5"/>
    <n v="6.8015400000000004E-2"/>
    <n v="0"/>
    <n v="0.99990000000000001"/>
    <s v="[{&quot;amount&quot;: 1.882520448170919, &quot;rate&quot;: 0.6864691064105276}]"/>
    <s v="[&quot;W_2627&quot;, &quot;W_2783&quot;, &quot;W_176&quot;, &quot;W_895&quot;]"/>
    <n v="0"/>
    <n v="5.7478100000000003"/>
    <n v="5.9954099999999997"/>
    <n v="0"/>
    <n v="1.8311200000000001"/>
    <n v="0"/>
    <n v="4"/>
    <n v="0"/>
    <n v="23.3367"/>
    <n v="7.0658899999999996"/>
  </r>
  <r>
    <x v="117"/>
    <n v="920954217"/>
    <s v="C_0"/>
    <n v="-4.0768500000000003"/>
    <n v="1.91351"/>
    <n v="-5.8890099999999999"/>
    <n v="0"/>
    <n v="1.81216"/>
    <n v="-0.69452899999999995"/>
    <n v="1.9140200000000001"/>
    <n v="1.9140200000000001"/>
    <n v="0"/>
    <n v="5"/>
    <n v="6.5446900000000002E-2"/>
    <n v="0"/>
    <n v="0.99990000000000001"/>
    <s v="[{&quot;amount&quot;: 1.8121646488393983, &quot;rate&quot;: 0.6861911838704414}]"/>
    <s v="[&quot;W_2627&quot;, &quot;W_2783&quot;, &quot;W_176&quot;, &quot;W_895&quot;]"/>
    <n v="0"/>
    <n v="6.6328500000000004"/>
    <n v="5.9302599999999996"/>
    <n v="4.2425800000000002"/>
    <n v="1.8311200000000001"/>
    <n v="1.70339"/>
    <n v="4"/>
    <n v="6.9656900000000004"/>
    <n v="27.123799999999999"/>
    <n v="6.9767799999999998"/>
  </r>
  <r>
    <x v="118"/>
    <n v="856769218"/>
    <s v="C_0"/>
    <n v="0.28948000000000002"/>
    <n v="1.91351"/>
    <n v="-1.37436"/>
    <n v="0"/>
    <n v="1.66384"/>
    <n v="-0.69452899999999995"/>
    <n v="2"/>
    <n v="2"/>
    <n v="0"/>
    <n v="5"/>
    <n v="6.0069299999999999E-2"/>
    <n v="0"/>
    <n v="0.99990000000000001"/>
    <s v="[{&quot;amount&quot;: 1.6638371510139272, &quot;rate&quot;: 0.6859546455850319}]"/>
    <s v="[&quot;W_2627&quot;, &quot;W_2783&quot;, &quot;W_176&quot;, &quot;W_895&quot;]"/>
    <n v="0"/>
    <n v="6.5127300000000004"/>
    <n v="5.8390399999999998"/>
    <n v="0"/>
    <n v="1.8311200000000001"/>
    <n v="0"/>
    <n v="4"/>
    <n v="0"/>
    <n v="26.700600000000001"/>
    <n v="6.9767799999999998"/>
  </r>
  <r>
    <x v="119"/>
    <n v="796631172"/>
    <s v="C_0"/>
    <n v="0.25878499999999999"/>
    <n v="1.91351"/>
    <n v="-1.29444"/>
    <n v="0"/>
    <n v="1.55322"/>
    <n v="-0.69452899999999995"/>
    <n v="2"/>
    <n v="2"/>
    <n v="0"/>
    <n v="5"/>
    <n v="5.6073400000000002E-2"/>
    <n v="0"/>
    <n v="0.99990000000000001"/>
    <s v="[{&quot;amount&quot;: 1.5532238410435164, &quot;rate&quot;: 0.6859250324544705}]"/>
    <s v="[&quot;W_2627&quot;, &quot;W_2783&quot;, &quot;W_176&quot;, &quot;W_895&quot;]"/>
    <n v="0"/>
    <n v="6.3926100000000003"/>
    <n v="5.9225199999999996"/>
    <n v="0"/>
    <n v="1.8311200000000001"/>
    <n v="0"/>
    <n v="4"/>
    <n v="0"/>
    <n v="26.374700000000001"/>
    <n v="6.9767799999999998"/>
  </r>
  <r>
    <x v="120"/>
    <n v="714076111"/>
    <s v="C_0"/>
    <n v="0.22969999999999999"/>
    <n v="1.91351"/>
    <n v="-1.2187300000000001"/>
    <n v="0"/>
    <n v="1.4484300000000001"/>
    <n v="-0.69452899999999995"/>
    <n v="2"/>
    <n v="2"/>
    <n v="0"/>
    <n v="5"/>
    <n v="5.2288000000000001E-2"/>
    <n v="0"/>
    <n v="0.99990000000000001"/>
    <s v="[{&quot;amount&quot;: 1.4484303879887226, &quot;rate&quot;: 0.6858955476080599}]"/>
    <s v="[&quot;W_2627&quot;, &quot;W_2783&quot;, &quot;W_176&quot;, &quot;W_895&quot;]"/>
    <n v="0"/>
    <n v="6.2724900000000003"/>
    <n v="5.9642600000000003"/>
    <n v="0"/>
    <n v="1.8311200000000001"/>
    <n v="0"/>
    <n v="4"/>
    <n v="0"/>
    <n v="25.9727"/>
    <n v="6.9767799999999998"/>
  </r>
  <r>
    <x v="121"/>
    <n v="97631309"/>
    <s v="C_0"/>
    <n v="0.2009"/>
    <n v="1.91351"/>
    <n v="-1.1439999999999999"/>
    <n v="0"/>
    <n v="1.3449"/>
    <n v="-0.69452899999999995"/>
    <n v="2"/>
    <n v="2"/>
    <n v="0"/>
    <n v="5"/>
    <n v="4.8551200000000003E-2"/>
    <n v="0"/>
    <n v="0.99990000000000001"/>
    <s v="[{&quot;amount&quot;: 1.3448956625384278, &quot;rate&quot;: 0.6859072264532367}]"/>
    <s v="[&quot;W_2627&quot;, &quot;W_2783&quot;, &quot;W_176&quot;, &quot;W_895&quot;]"/>
    <n v="0"/>
    <n v="6.1523700000000003"/>
    <n v="5.9851299999999998"/>
    <n v="0"/>
    <n v="1.8311200000000001"/>
    <n v="0"/>
    <n v="4"/>
    <n v="0"/>
    <n v="25.569199999999999"/>
    <n v="6.9767799999999998"/>
  </r>
  <r>
    <x v="122"/>
    <n v="450675632"/>
    <s v="C_0"/>
    <n v="0.17435200000000001"/>
    <n v="1.91351"/>
    <n v="-1.07501"/>
    <n v="0"/>
    <n v="1.24936"/>
    <n v="-0.69452899999999995"/>
    <n v="2"/>
    <n v="2"/>
    <n v="0"/>
    <n v="5"/>
    <n v="4.51019E-2"/>
    <n v="0"/>
    <n v="0.99990000000000001"/>
    <s v="[{&quot;amount&quot;: 1.2493605375932955, &quot;rate&quot;: 0.6858994921253245}]"/>
    <s v="[&quot;W_2627&quot;, &quot;W_2783&quot;, &quot;W_176&quot;, &quot;W_895&quot;]"/>
    <n v="0"/>
    <n v="6.0322500000000003"/>
    <n v="5.9955699999999998"/>
    <n v="0"/>
    <n v="1.8311200000000001"/>
    <n v="0"/>
    <n v="4"/>
    <n v="0"/>
    <n v="25.1431"/>
    <n v="6.9767799999999998"/>
  </r>
  <r>
    <x v="123"/>
    <n v="200322327"/>
    <s v="C_0"/>
    <n v="0.14665700000000001"/>
    <n v="1.91351"/>
    <n v="-1.0037400000000001"/>
    <n v="0"/>
    <n v="1.1504000000000001"/>
    <n v="-0.69452899999999995"/>
    <n v="2"/>
    <n v="2"/>
    <n v="0"/>
    <n v="5"/>
    <n v="4.1538600000000002E-2"/>
    <n v="0"/>
    <n v="0.99990000000000001"/>
    <s v="[{&quot;amount&quot;: 1.1504004252687194, &quot;rate&quot;: 0.6860512870714122}]"/>
    <s v="[&quot;W_2627&quot;, &quot;W_2783&quot;, &quot;W_176&quot;, &quot;W_895&quot;]"/>
    <n v="0"/>
    <n v="5.9121300000000003"/>
    <n v="6.0007900000000003"/>
    <n v="0"/>
    <n v="1.8311200000000001"/>
    <n v="0"/>
    <n v="4"/>
    <n v="0"/>
    <n v="24.703499999999998"/>
    <n v="6.9767799999999998"/>
  </r>
  <r>
    <x v="124"/>
    <n v="139257017"/>
    <s v="C_0"/>
    <n v="6.02631E-2"/>
    <n v="1.91351"/>
    <n v="-0.99471100000000001"/>
    <n v="0"/>
    <n v="1.05497"/>
    <n v="-0.69452899999999995"/>
    <n v="1.9687399999999999"/>
    <n v="1.9687399999999999"/>
    <n v="0"/>
    <n v="5"/>
    <n v="3.8096199999999997E-2"/>
    <n v="0"/>
    <n v="0.99990000000000001"/>
    <s v="[{&quot;amount&quot;: 1.0549741068540675, &quot;rate&quot;: 0.6861097984470138}]"/>
    <s v="[&quot;W_2627&quot;, &quot;W_2783&quot;, &quot;W_176&quot;, &quot;W_895&quot;]"/>
    <n v="0"/>
    <n v="5.7938900000000002"/>
    <n v="6.0034000000000001"/>
    <n v="0"/>
    <n v="1.8311200000000001"/>
    <n v="0"/>
    <n v="4"/>
    <n v="0"/>
    <n v="24.480899999999998"/>
    <n v="6.9767799999999998"/>
  </r>
  <r>
    <x v="125"/>
    <n v="707597789"/>
    <s v="C_0"/>
    <n v="-3.4225699999999998E-2"/>
    <n v="1.91351"/>
    <n v="-1.02037"/>
    <n v="0"/>
    <n v="0.98614299999999999"/>
    <n v="-0.69452899999999995"/>
    <n v="1.92937"/>
    <n v="1.92937"/>
    <n v="0"/>
    <n v="5"/>
    <n v="3.5611900000000002E-2"/>
    <n v="0"/>
    <n v="0.99990000000000001"/>
    <s v="[{&quot;amount&quot;: 0.9861425066048402, &quot;rate&quot;: 0.686133533385239}]"/>
    <s v="[&quot;W_2627&quot;, &quot;W_2783&quot;, &quot;W_176&quot;, &quot;W_895&quot;]"/>
    <n v="0"/>
    <n v="5.6780099999999996"/>
    <n v="5.95777"/>
    <n v="0"/>
    <n v="1.8311200000000001"/>
    <n v="0"/>
    <n v="4"/>
    <n v="0"/>
    <n v="24.348800000000001"/>
    <n v="6.9767799999999998"/>
  </r>
  <r>
    <x v="126"/>
    <n v="698675811"/>
    <s v="C_0"/>
    <n v="-5.0864000000000003"/>
    <n v="1.91351"/>
    <n v="-5.9868499999999996"/>
    <n v="0"/>
    <n v="0.90044500000000005"/>
    <n v="-0.69452899999999995"/>
    <n v="1.8907799999999999"/>
    <n v="1.8907799999999999"/>
    <n v="0"/>
    <n v="5"/>
    <n v="3.2508700000000001E-2"/>
    <n v="0"/>
    <n v="0.99990000000000001"/>
    <s v="[{&quot;amount&quot;: 0.9004448523857238, &quot;rate&quot;: 0.6859562396870039}]"/>
    <s v="[&quot;W_2627&quot;, &quot;W_2783&quot;, &quot;W_176&quot;, &quot;W_895&quot;]"/>
    <n v="0"/>
    <n v="6.7204300000000003"/>
    <n v="5.8758299999999997"/>
    <n v="4.9546999999999999"/>
    <n v="1.8311200000000001"/>
    <n v="1.70479"/>
    <n v="4"/>
    <n v="7.4207299999999998"/>
    <n v="29.2531"/>
    <n v="6.9127400000000003"/>
  </r>
  <r>
    <x v="127"/>
    <n v="889808781"/>
    <s v="C_0"/>
    <n v="6.39068E-2"/>
    <n v="1.91351"/>
    <n v="-0.78518900000000003"/>
    <n v="0"/>
    <n v="0.84909599999999996"/>
    <n v="-0.69452899999999995"/>
    <n v="2"/>
    <n v="2"/>
    <n v="0"/>
    <n v="5"/>
    <n v="3.06109E-2"/>
    <n v="0"/>
    <n v="0.99990000000000001"/>
    <s v="[{&quot;amount&quot;: 0.8490958793539687, &quot;rate&quot;: 0.6849725283525471}]"/>
    <s v="[&quot;W_2627&quot;, &quot;W_2783&quot;, &quot;W_176&quot;, &quot;W_895&quot;]"/>
    <n v="0"/>
    <n v="6.6003100000000003"/>
    <n v="5.7769199999999996"/>
    <n v="0"/>
    <n v="1.8311200000000001"/>
    <n v="0"/>
    <n v="4"/>
    <n v="0"/>
    <n v="28.796500000000002"/>
    <n v="6.9127400000000003"/>
  </r>
  <r>
    <x v="128"/>
    <n v="166225787"/>
    <s v="C_0"/>
    <n v="3.2465899999999999E-2"/>
    <n v="1.91351"/>
    <n v="-0.69834700000000005"/>
    <n v="0"/>
    <n v="0.73081300000000005"/>
    <n v="-0.69452899999999995"/>
    <n v="2"/>
    <n v="2"/>
    <n v="0"/>
    <n v="5"/>
    <n v="2.6268799999999998E-2"/>
    <n v="0"/>
    <n v="0.99990000000000001"/>
    <s v="[{&quot;amount&quot;: 0.7308125837290513, &quot;rate&quot;: 0.6829481575839641}]"/>
    <s v="[&quot;W_2627&quot;, &quot;W_2783&quot;, &quot;W_176&quot;, &quot;W_895&quot;]"/>
    <n v="0"/>
    <n v="6.4801900000000003"/>
    <n v="5.8914600000000004"/>
    <n v="0"/>
    <n v="1.8311200000000001"/>
    <n v="0"/>
    <n v="4"/>
    <n v="0"/>
    <n v="28.232099999999999"/>
    <n v="6.9127400000000003"/>
  </r>
  <r>
    <x v="129"/>
    <n v="79692009"/>
    <s v="C_0"/>
    <n v="1.8704999999999999E-2"/>
    <n v="1.91351"/>
    <n v="-0.64594200000000002"/>
    <n v="0"/>
    <n v="0.66464699999999999"/>
    <n v="-0.69452899999999995"/>
    <n v="2"/>
    <n v="2"/>
    <n v="0"/>
    <n v="5"/>
    <n v="2.3648599999999999E-2"/>
    <n v="0"/>
    <n v="0.99990000000000001"/>
    <s v="[{&quot;amount&quot;: 0.6646473654665057, &quot;rate&quot;: 0.6760322511248721}]"/>
    <s v="[&quot;W_2627&quot;, &quot;W_2783&quot;, &quot;W_176&quot;, &quot;W_895&quot;]"/>
    <n v="0"/>
    <n v="6.3600700000000003"/>
    <n v="5.9487300000000003"/>
    <n v="0"/>
    <n v="1.8311200000000001"/>
    <n v="0"/>
    <n v="4"/>
    <n v="0"/>
    <n v="28.0061"/>
    <n v="6.9127400000000003"/>
  </r>
  <r>
    <x v="130"/>
    <n v="700289104"/>
    <s v="C_0"/>
    <n v="-2.4549099999999998E-3"/>
    <n v="1.91351"/>
    <n v="-0.57328199999999996"/>
    <n v="0"/>
    <n v="0.57082699999999997"/>
    <n v="-0.69452899999999995"/>
    <n v="2"/>
    <n v="2"/>
    <n v="0"/>
    <n v="5"/>
    <n v="2.0015600000000001E-2"/>
    <n v="0"/>
    <n v="0.99990000000000001"/>
    <s v="[{&quot;amount&quot;: 0.5708270305845122, &quot;rate&quot;: 0.6662186498450585}]"/>
    <s v="[&quot;W_2627&quot;, &quot;W_2783&quot;, &quot;W_176&quot;, &quot;W_895&quot;]"/>
    <n v="0"/>
    <n v="6.2399500000000003"/>
    <n v="5.9773699999999996"/>
    <n v="0"/>
    <n v="1.8311200000000001"/>
    <n v="0"/>
    <n v="4"/>
    <n v="0"/>
    <n v="27.756699999999999"/>
    <n v="6.9127400000000003"/>
  </r>
  <r>
    <x v="131"/>
    <n v="786519094"/>
    <s v="C_0"/>
    <n v="-2.0943099999999999E-2"/>
    <n v="1.91351"/>
    <n v="-0.50758599999999998"/>
    <n v="0"/>
    <n v="0.48664299999999999"/>
    <n v="-0.69452899999999995"/>
    <n v="2"/>
    <n v="2"/>
    <n v="0"/>
    <n v="5"/>
    <n v="1.6730800000000001E-2"/>
    <n v="0"/>
    <n v="0.99990000000000001"/>
    <s v="[{&quot;amount&quot;: 0.4866429727838132, &quot;rate&quot;: 0.6532192819392738}]"/>
    <s v="[&quot;W_2627&quot;, &quot;W_2783&quot;, &quot;W_176&quot;, &quot;W_895&quot;]"/>
    <n v="0"/>
    <n v="6.1198300000000003"/>
    <n v="5.9916900000000002"/>
    <n v="0"/>
    <n v="1.8311200000000001"/>
    <n v="0"/>
    <n v="4"/>
    <n v="0"/>
    <n v="27.613399999999999"/>
    <n v="6.9127400000000003"/>
  </r>
  <r>
    <x v="132"/>
    <n v="817579004"/>
    <s v="C_0"/>
    <n v="-3.7276499999999997E-2"/>
    <n v="1.91351"/>
    <n v="-0.44439099999999998"/>
    <n v="0"/>
    <n v="0.40711399999999998"/>
    <n v="-0.69452899999999995"/>
    <n v="2"/>
    <n v="2"/>
    <n v="0"/>
    <n v="5"/>
    <n v="1.3571E-2"/>
    <n v="0"/>
    <n v="0.99990000000000001"/>
    <s v="[{&quot;amount&quot;: 0.40711425034215737, &quot;rate&quot;: 0.6333577691634464}]"/>
    <s v="[&quot;W_2627&quot;, &quot;W_2783&quot;, &quot;W_176&quot;, &quot;W_895&quot;]"/>
    <n v="0"/>
    <n v="5.9997100000000003"/>
    <n v="5.99885"/>
    <n v="0"/>
    <n v="1.8311200000000001"/>
    <n v="0"/>
    <n v="4"/>
    <n v="0"/>
    <n v="27.358499999999999"/>
    <n v="6.9127400000000003"/>
  </r>
  <r>
    <x v="133"/>
    <n v="862707412"/>
    <s v="C_0"/>
    <n v="-6.7265599999999995E-2"/>
    <n v="1.91351"/>
    <n v="-0.37533300000000003"/>
    <n v="0"/>
    <n v="0.30806699999999998"/>
    <n v="-0.69452899999999995"/>
    <n v="1.9979"/>
    <n v="1.9979"/>
    <n v="0"/>
    <n v="5"/>
    <n v="9.9174199999999997E-3"/>
    <n v="0"/>
    <n v="0.99990000000000001"/>
    <s v="[{&quot;amount&quot;: 0.3080670202041486, &quot;rate&quot;: 0.6116561180732135}]"/>
    <s v="[&quot;W_2627&quot;, &quot;W_2783&quot;, &quot;W_176&quot;, &quot;W_895&quot;]"/>
    <n v="0"/>
    <n v="5.8797100000000002"/>
    <n v="6.0024300000000004"/>
    <n v="0"/>
    <n v="1.8311200000000001"/>
    <n v="0"/>
    <n v="4"/>
    <n v="0"/>
    <n v="27.081199999999999"/>
    <n v="6.9127400000000003"/>
  </r>
  <r>
    <x v="134"/>
    <n v="608022599"/>
    <s v="C_0"/>
    <n v="-0.18868799999999999"/>
    <n v="1.91351"/>
    <n v="-0.35954000000000003"/>
    <n v="0"/>
    <n v="0.170853"/>
    <n v="-0.69452899999999995"/>
    <n v="1.95794"/>
    <n v="1.95794"/>
    <n v="0"/>
    <n v="5"/>
    <n v="5.3047900000000002E-3"/>
    <n v="0"/>
    <n v="0.99990000000000001"/>
    <s v="[{&quot;amount&quot;: 0.17085258503307774, &quot;rate&quot;: 0.5899291775297039}]"/>
    <s v="[&quot;W_2627&quot;, &quot;W_2783&quot;, &quot;W_176&quot;, &quot;W_895&quot;]"/>
    <n v="0"/>
    <n v="5.7621200000000004"/>
    <n v="6.0010700000000003"/>
    <n v="0"/>
    <n v="1.8311200000000001"/>
    <n v="0"/>
    <n v="4"/>
    <n v="0"/>
    <n v="26.571999999999999"/>
    <n v="6.9127400000000003"/>
  </r>
  <r>
    <x v="135"/>
    <n v="183592588"/>
    <s v="C_0"/>
    <n v="-0.304369"/>
    <n v="1.91351"/>
    <n v="-0.36432799999999999"/>
    <n v="0"/>
    <n v="5.9958999999999998E-2"/>
    <n v="-0.69452899999999995"/>
    <n v="1.91879"/>
    <n v="1.91879"/>
    <n v="0"/>
    <n v="5"/>
    <n v="1.79761E-3"/>
    <n v="0"/>
    <n v="0.99990000000000001"/>
    <s v="[{&quot;amount&quot;: 0.059959007291502955, &quot;rate&quot;: 0.5696327441899535}]"/>
    <s v="[&quot;W_2627&quot;, &quot;W_2783&quot;, &quot;W_176&quot;, &quot;W_895&quot;]"/>
    <n v="0"/>
    <n v="5.6468800000000003"/>
    <n v="5.9403899999999998"/>
    <n v="0"/>
    <n v="1.8311200000000001"/>
    <n v="0"/>
    <n v="4"/>
    <n v="0"/>
    <n v="26.276599999999998"/>
    <n v="6.9127400000000003"/>
  </r>
  <r>
    <x v="136"/>
    <n v="624743927"/>
    <s v="C_0"/>
    <n v="-0.401808"/>
    <n v="1.91351"/>
    <n v="-0.401808"/>
    <n v="0"/>
    <n v="0"/>
    <n v="-0.69452899999999995"/>
    <n v="1.8804099999999999"/>
    <n v="1.8804099999999999"/>
    <n v="0"/>
    <n v="5"/>
    <n v="0"/>
    <n v="0"/>
    <n v="0.99990000000000001"/>
    <s v="[]"/>
    <s v="[&quot;W_2627&quot;, &quot;W_2783&quot;, &quot;W_176&quot;, &quot;W_895&quot;]"/>
    <n v="0"/>
    <n v="5.5339400000000003"/>
    <n v="5.8512500000000003"/>
    <n v="0"/>
    <n v="1.8311200000000001"/>
    <n v="0"/>
    <n v="4"/>
    <n v="0"/>
    <n v="25.7362"/>
    <n v="6.9127400000000003"/>
  </r>
  <r>
    <x v="137"/>
    <n v="290088913"/>
    <s v="C_0"/>
    <n v="-0.47377200000000003"/>
    <n v="1.91351"/>
    <n v="-0.47377200000000003"/>
    <n v="0"/>
    <n v="0"/>
    <n v="-0.69452899999999995"/>
    <n v="1.8428"/>
    <n v="1.8428"/>
    <n v="0"/>
    <n v="5"/>
    <n v="0"/>
    <n v="0"/>
    <n v="0.99990000000000001"/>
    <s v="[]"/>
    <s v="[&quot;W_2627&quot;, &quot;W_2783&quot;, &quot;W_176&quot;, &quot;W_895&quot;]"/>
    <n v="0"/>
    <n v="5.42326"/>
    <n v="5.7490699999999997"/>
    <n v="0"/>
    <n v="1.8311200000000001"/>
    <n v="0"/>
    <n v="4"/>
    <n v="0"/>
    <n v="25.31"/>
    <n v="6.9127400000000003"/>
  </r>
  <r>
    <x v="138"/>
    <n v="130908304"/>
    <s v="C_0"/>
    <n v="-0.544296"/>
    <n v="1.91351"/>
    <n v="-0.544296"/>
    <n v="0"/>
    <n v="0"/>
    <n v="-0.69452899999999995"/>
    <n v="1.8059499999999999"/>
    <n v="1.8059499999999999"/>
    <n v="0"/>
    <n v="5"/>
    <n v="0"/>
    <n v="0"/>
    <n v="0.99990000000000001"/>
    <s v="[]"/>
    <s v="[&quot;W_2627&quot;, &quot;W_2783&quot;, &quot;W_176&quot;, &quot;W_895&quot;]"/>
    <n v="0"/>
    <n v="5.3148"/>
    <n v="5.6414999999999997"/>
    <n v="0"/>
    <n v="1.8311200000000001"/>
    <n v="0"/>
    <n v="4"/>
    <n v="0"/>
    <n v="24.941400000000002"/>
    <n v="6.9127400000000003"/>
  </r>
  <r>
    <x v="139"/>
    <n v="196763317"/>
    <s v="C_0"/>
    <n v="-0.61341100000000004"/>
    <n v="1.91351"/>
    <n v="-0.61341100000000004"/>
    <n v="0"/>
    <n v="0"/>
    <n v="-0.69452899999999995"/>
    <n v="1.76983"/>
    <n v="1.76983"/>
    <n v="0"/>
    <n v="5"/>
    <n v="0"/>
    <n v="0"/>
    <n v="0.99990000000000001"/>
    <s v="[]"/>
    <s v="[&quot;W_2627&quot;, &quot;W_2783&quot;, &quot;W_176&quot;, &quot;W_895&quot;]"/>
    <n v="0"/>
    <n v="5.2084999999999999"/>
    <n v="5.5323799999999999"/>
    <n v="0"/>
    <n v="1.8311200000000001"/>
    <n v="0"/>
    <n v="4"/>
    <n v="0"/>
    <n v="24.528500000000001"/>
    <n v="6.9127400000000003"/>
  </r>
  <r>
    <x v="140"/>
    <n v="384506102"/>
    <s v="C_0"/>
    <n v="-0.68114200000000003"/>
    <n v="1.91351"/>
    <n v="-0.68114200000000003"/>
    <n v="0"/>
    <n v="0"/>
    <n v="-0.69452899999999995"/>
    <n v="1.7344299999999999"/>
    <n v="1.7344299999999999"/>
    <n v="0"/>
    <n v="5"/>
    <n v="0"/>
    <n v="0"/>
    <n v="0.99990000000000001"/>
    <s v="[]"/>
    <s v="[&quot;W_2627&quot;, &quot;W_2783&quot;, &quot;W_176&quot;, &quot;W_895&quot;]"/>
    <n v="0"/>
    <n v="5.10433"/>
    <n v="5.4235899999999999"/>
    <n v="0"/>
    <n v="1.8311200000000001"/>
    <n v="0"/>
    <n v="4"/>
    <n v="0"/>
    <n v="24.452200000000001"/>
    <n v="6.9127400000000003"/>
  </r>
  <r>
    <x v="141"/>
    <n v="249204111"/>
    <s v="C_0"/>
    <n v="-0.74751900000000004"/>
    <n v="1.91351"/>
    <n v="-0.74751900000000004"/>
    <n v="0"/>
    <n v="0"/>
    <n v="-0.69452899999999995"/>
    <n v="1.69974"/>
    <n v="1.69974"/>
    <n v="0"/>
    <n v="5"/>
    <n v="0"/>
    <n v="0"/>
    <n v="0.99990000000000001"/>
    <s v="[]"/>
    <s v="[&quot;W_2627&quot;, &quot;W_2783&quot;, &quot;W_176&quot;, &quot;W_895&quot;]"/>
    <n v="0"/>
    <n v="5.0022399999999996"/>
    <n v="5.3160400000000001"/>
    <n v="0"/>
    <n v="1.8311200000000001"/>
    <n v="0"/>
    <n v="4"/>
    <n v="0"/>
    <n v="24.125800000000002"/>
    <n v="6.9127400000000003"/>
  </r>
  <r>
    <x v="142"/>
    <n v="382602851"/>
    <s v="C_0"/>
    <n v="-0.81256899999999999"/>
    <n v="1.91351"/>
    <n v="-0.81256899999999999"/>
    <n v="0"/>
    <n v="0"/>
    <n v="-0.69452899999999995"/>
    <n v="1.6657500000000001"/>
    <n v="1.6657500000000001"/>
    <n v="0"/>
    <n v="5"/>
    <n v="0"/>
    <n v="0"/>
    <n v="0.99990000000000001"/>
    <s v="[]"/>
    <s v="[&quot;W_2627&quot;, &quot;W_2783&quot;, &quot;W_176&quot;, &quot;W_895&quot;]"/>
    <n v="0"/>
    <n v="4.9021999999999997"/>
    <n v="5.2101899999999999"/>
    <n v="0"/>
    <n v="1.8311200000000001"/>
    <n v="0"/>
    <n v="4"/>
    <n v="0"/>
    <n v="23.697099999999999"/>
    <n v="6.9127400000000003"/>
  </r>
  <r>
    <x v="143"/>
    <n v="216083730"/>
    <s v="C_0"/>
    <n v="-0.87631800000000004"/>
    <n v="1.91351"/>
    <n v="-0.87631800000000004"/>
    <n v="0"/>
    <n v="0"/>
    <n v="-0.69452899999999995"/>
    <n v="1.63243"/>
    <n v="1.63243"/>
    <n v="0"/>
    <n v="5"/>
    <n v="0"/>
    <n v="0"/>
    <n v="0.99990000000000001"/>
    <s v="[]"/>
    <s v="[&quot;W_2627&quot;, &quot;W_2783&quot;, &quot;W_176&quot;, &quot;W_895&quot;]"/>
    <n v="0"/>
    <n v="4.8041499999999999"/>
    <n v="5.1062099999999999"/>
    <n v="0"/>
    <n v="1.8311200000000001"/>
    <n v="0"/>
    <n v="4"/>
    <n v="0"/>
    <n v="23.494599999999998"/>
    <n v="6.9127400000000003"/>
  </r>
  <r>
    <x v="144"/>
    <n v="968375681"/>
    <s v="C_0"/>
    <n v="-0.93879100000000004"/>
    <n v="1.91351"/>
    <n v="-0.93879100000000004"/>
    <n v="0"/>
    <n v="0"/>
    <n v="-0.69452899999999995"/>
    <n v="1.59978"/>
    <n v="1.59978"/>
    <n v="0"/>
    <n v="5"/>
    <n v="0"/>
    <n v="0"/>
    <n v="0.99990000000000001"/>
    <s v="[]"/>
    <s v="[&quot;W_2627&quot;, &quot;W_2783&quot;, &quot;W_176&quot;, &quot;W_895&quot;]"/>
    <n v="0"/>
    <n v="4.7080700000000002"/>
    <n v="5.0042099999999996"/>
    <n v="0"/>
    <n v="1.8311200000000001"/>
    <n v="0"/>
    <n v="4"/>
    <n v="0"/>
    <n v="23.216100000000001"/>
    <n v="6.9127400000000003"/>
  </r>
  <r>
    <x v="145"/>
    <n v="459662802"/>
    <s v="C_0"/>
    <n v="-1.0000199999999999"/>
    <n v="1.91351"/>
    <n v="-1.0000199999999999"/>
    <n v="0"/>
    <n v="0"/>
    <n v="-0.69452899999999995"/>
    <n v="1.56779"/>
    <n v="1.56779"/>
    <n v="0"/>
    <n v="5"/>
    <n v="0"/>
    <n v="0"/>
    <n v="0.99990000000000001"/>
    <s v="[]"/>
    <s v="[&quot;W_2627&quot;, &quot;W_2783&quot;, &quot;W_176&quot;, &quot;W_895&quot;]"/>
    <n v="0"/>
    <n v="4.6139099999999997"/>
    <n v="4.9041800000000002"/>
    <n v="0"/>
    <n v="1.8311200000000001"/>
    <n v="0"/>
    <n v="4"/>
    <n v="0"/>
    <n v="22.823799999999999"/>
    <n v="6.9127400000000003"/>
  </r>
  <r>
    <x v="146"/>
    <n v="223676795"/>
    <s v="C_0"/>
    <n v="-1.06002"/>
    <n v="1.91351"/>
    <n v="-1.06002"/>
    <n v="0"/>
    <n v="0"/>
    <n v="-0.69452899999999995"/>
    <n v="1.53643"/>
    <n v="1.53643"/>
    <n v="0"/>
    <n v="5"/>
    <n v="0"/>
    <n v="0"/>
    <n v="0.99990000000000001"/>
    <s v="[]"/>
    <s v="[&quot;W_2627&quot;, &quot;W_2783&quot;, &quot;W_176&quot;, &quot;W_895&quot;]"/>
    <n v="0"/>
    <n v="4.52163"/>
    <n v="4.8061299999999996"/>
    <n v="0"/>
    <n v="1.8311200000000001"/>
    <n v="0"/>
    <n v="4"/>
    <n v="0"/>
    <n v="22.615400000000001"/>
    <n v="6.9127400000000003"/>
  </r>
  <r>
    <x v="147"/>
    <n v="460567039"/>
    <s v="C_0"/>
    <n v="-8.3758099999999995"/>
    <n v="1.91351"/>
    <n v="-8.3758099999999995"/>
    <n v="0"/>
    <n v="0"/>
    <n v="-0.69452899999999995"/>
    <n v="1.5057"/>
    <n v="1.5057"/>
    <n v="0"/>
    <n v="5"/>
    <n v="0"/>
    <n v="0"/>
    <n v="0.99990000000000001"/>
    <s v="[]"/>
    <s v="[&quot;W_2627&quot;, &quot;W_2783&quot;, &quot;W_176&quot;, &quot;W_895&quot;]"/>
    <n v="0"/>
    <n v="5.8275699999999997"/>
    <n v="4.7100200000000001"/>
    <n v="7.2569900000000001"/>
    <n v="1.8311200000000001"/>
    <n v="1.3963699999999999"/>
    <n v="4"/>
    <n v="7.0423600000000004"/>
    <n v="29.3904"/>
    <n v="5.5411999999999999"/>
  </r>
  <r>
    <x v="148"/>
    <n v="536723214"/>
    <s v="C_0"/>
    <n v="-0.28667300000000001"/>
    <n v="1.91351"/>
    <n v="-0.28667300000000001"/>
    <n v="0"/>
    <n v="0"/>
    <n v="-0.69452899999999995"/>
    <n v="1.94058"/>
    <n v="1.94058"/>
    <n v="0"/>
    <n v="5"/>
    <n v="0"/>
    <n v="0"/>
    <n v="0.99990000000000001"/>
    <s v="[]"/>
    <s v="[&quot;W_2627&quot;, &quot;W_2783&quot;, &quot;W_176&quot;, &quot;W_895&quot;]"/>
    <n v="0"/>
    <n v="5.7110099999999999"/>
    <n v="4.6158200000000003"/>
    <n v="0"/>
    <n v="1.8311200000000001"/>
    <n v="0"/>
    <n v="4"/>
    <n v="0"/>
    <n v="29.2608"/>
    <n v="5.5411999999999999"/>
  </r>
  <r>
    <x v="149"/>
    <n v="175172006"/>
    <s v="C_0"/>
    <n v="-4.7892900000000003"/>
    <n v="1.91351"/>
    <n v="-4.7892900000000003"/>
    <n v="0"/>
    <n v="0"/>
    <n v="-0.69452899999999995"/>
    <n v="1.90177"/>
    <n v="1.90177"/>
    <n v="0"/>
    <n v="5"/>
    <n v="0"/>
    <n v="0"/>
    <n v="0.99990000000000001"/>
    <s v="[]"/>
    <s v="[&quot;W_2627&quot;, &quot;W_2783&quot;, &quot;W_176&quot;, &quot;W_895&quot;]"/>
    <n v="0"/>
    <n v="6.4466900000000003"/>
    <n v="5.2216899999999997"/>
    <n v="4.42835"/>
    <n v="1.8311200000000001"/>
    <n v="0.84989199999999998"/>
    <n v="4"/>
    <n v="4.4364600000000003"/>
    <n v="33.651899999999998"/>
    <n v="6.1431699999999996"/>
  </r>
  <r>
    <x v="150"/>
    <n v="56237949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265700000000002"/>
    <n v="5.4663500000000003"/>
    <n v="0"/>
    <n v="1.8311200000000001"/>
    <n v="0"/>
    <n v="4"/>
    <n v="0"/>
    <n v="33.173200000000001"/>
    <n v="6.1431699999999996"/>
  </r>
  <r>
    <x v="151"/>
    <n v="614657114"/>
    <s v="C_0"/>
    <n v="-4.8893899999999997"/>
    <n v="1.91351"/>
    <n v="-4.889389999999999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872200000000003"/>
    <n v="5.7361800000000001"/>
    <n v="4.7164200000000003"/>
    <n v="1.8311200000000001"/>
    <n v="0.880776"/>
    <n v="4"/>
    <n v="4.6044600000000004"/>
    <n v="37.0501"/>
    <n v="6.7484500000000001"/>
  </r>
  <r>
    <x v="152"/>
    <n v="50077739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671000000000003"/>
    <n v="5.8710899999999997"/>
    <n v="0"/>
    <n v="1.8311200000000001"/>
    <n v="0"/>
    <n v="4"/>
    <n v="0"/>
    <n v="36.878599999999999"/>
    <n v="6.7484500000000001"/>
  </r>
  <r>
    <x v="153"/>
    <n v="918325665"/>
    <s v="C_0"/>
    <n v="-2.8976099999999998"/>
    <n v="1.91351"/>
    <n v="-2.89760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414900000000003"/>
    <n v="5.9385500000000002"/>
    <n v="2.7246299999999999"/>
    <n v="1.8311200000000001"/>
    <n v="0.49451099999999998"/>
    <n v="4"/>
    <n v="2.6395300000000002"/>
    <n v="39.186300000000003"/>
    <n v="6.9865300000000001"/>
  </r>
  <r>
    <x v="154"/>
    <n v="97645407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213700000000003"/>
    <n v="5.9722799999999996"/>
    <n v="0"/>
    <n v="1.8311200000000001"/>
    <n v="0"/>
    <n v="4"/>
    <n v="0"/>
    <n v="38.942799999999998"/>
    <n v="6.9865300000000001"/>
  </r>
  <r>
    <x v="155"/>
    <n v="33960678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012500000000003"/>
    <n v="5.9891399999999999"/>
    <n v="0"/>
    <n v="1.8311200000000001"/>
    <n v="0"/>
    <n v="4"/>
    <n v="0"/>
    <n v="38.510599999999997"/>
    <n v="6.9865300000000001"/>
  </r>
  <r>
    <x v="156"/>
    <n v="62313209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811300000000003"/>
    <n v="5.9975699999999996"/>
    <n v="0"/>
    <n v="1.8311200000000001"/>
    <n v="0"/>
    <n v="4"/>
    <n v="0"/>
    <n v="38.2425"/>
    <n v="6.9865300000000001"/>
  </r>
  <r>
    <x v="157"/>
    <n v="698350577"/>
    <s v="C_0"/>
    <n v="-3.1509200000000002"/>
    <n v="1.91351"/>
    <n v="-3.15092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09500000000004"/>
    <n v="6.0017899999999997"/>
    <n v="2.9779499999999999"/>
    <n v="1.8311200000000001"/>
    <n v="0.55993999999999999"/>
    <n v="4"/>
    <n v="3.0862400000000001"/>
    <n v="40.902299999999997"/>
    <n v="7.0609299999999999"/>
  </r>
  <r>
    <x v="158"/>
    <n v="71647845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08300000000004"/>
    <n v="6.0038999999999998"/>
    <n v="0"/>
    <n v="1.8311200000000001"/>
    <n v="0"/>
    <n v="4"/>
    <n v="0"/>
    <n v="40.450000000000003"/>
    <n v="7.0609299999999999"/>
  </r>
  <r>
    <x v="159"/>
    <n v="44881235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07100000000004"/>
    <n v="6.00495"/>
    <n v="0"/>
    <n v="1.8311200000000001"/>
    <n v="0"/>
    <n v="4"/>
    <n v="0"/>
    <n v="40.235599999999998"/>
    <n v="7.0609299999999999"/>
  </r>
  <r>
    <x v="160"/>
    <n v="73887083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05900000000004"/>
    <n v="6.0054800000000004"/>
    <n v="0"/>
    <n v="1.8311200000000001"/>
    <n v="0"/>
    <n v="4"/>
    <n v="0"/>
    <n v="39.748600000000003"/>
    <n v="7.0609299999999999"/>
  </r>
  <r>
    <x v="161"/>
    <n v="26536427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04700000000004"/>
    <n v="6.0057400000000003"/>
    <n v="0"/>
    <n v="1.8311200000000001"/>
    <n v="0"/>
    <n v="4"/>
    <n v="0"/>
    <n v="39.383299999999998"/>
    <n v="7.0609299999999999"/>
  </r>
  <r>
    <x v="162"/>
    <n v="21022628"/>
    <s v="C_0"/>
    <n v="-3.3533499999999998"/>
    <n v="1.91351"/>
    <n v="-3.35334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0799999999998"/>
    <n v="6.0058699999999998"/>
    <n v="3.18038"/>
    <n v="1.8311200000000001"/>
    <n v="0.60573200000000005"/>
    <n v="4"/>
    <n v="3.4800300000000002"/>
    <n v="42.664000000000001"/>
    <n v="7.0657300000000003"/>
  </r>
  <r>
    <x v="163"/>
    <n v="52656593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59599999999998"/>
    <n v="6.0059399999999998"/>
    <n v="0"/>
    <n v="1.8311200000000001"/>
    <n v="0"/>
    <n v="4"/>
    <n v="0"/>
    <n v="42.320599999999999"/>
    <n v="7.0657300000000003"/>
  </r>
  <r>
    <x v="164"/>
    <n v="44655752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58399999999998"/>
    <n v="6.0059699999999996"/>
    <n v="0"/>
    <n v="1.8311200000000001"/>
    <n v="0"/>
    <n v="4"/>
    <n v="0"/>
    <n v="42.0854"/>
    <n v="7.0657300000000003"/>
  </r>
  <r>
    <x v="165"/>
    <n v="29609662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7199999999998"/>
    <n v="6.0059899999999997"/>
    <n v="0"/>
    <n v="1.8311200000000001"/>
    <n v="0"/>
    <n v="4"/>
    <n v="0"/>
    <n v="41.558900000000001"/>
    <n v="7.0657300000000003"/>
  </r>
  <r>
    <x v="166"/>
    <n v="90843066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5999999999998"/>
    <n v="6.0060000000000002"/>
    <n v="0"/>
    <n v="1.8311200000000001"/>
    <n v="0"/>
    <n v="4"/>
    <n v="0"/>
    <n v="41.398699999999998"/>
    <n v="7.0657300000000003"/>
  </r>
  <r>
    <x v="167"/>
    <n v="1491206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4799999999998"/>
    <n v="6.0060000000000002"/>
    <n v="0"/>
    <n v="1.8311200000000001"/>
    <n v="0"/>
    <n v="4"/>
    <n v="0"/>
    <n v="41.093899999999998"/>
    <n v="7.0657300000000003"/>
  </r>
  <r>
    <x v="168"/>
    <n v="5469985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3599999999998"/>
    <n v="6.0060000000000002"/>
    <n v="0"/>
    <n v="1.8311200000000001"/>
    <n v="0"/>
    <n v="4"/>
    <n v="0"/>
    <n v="40.949800000000003"/>
    <n v="7.0657300000000003"/>
  </r>
  <r>
    <x v="169"/>
    <n v="52572516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2399999999998"/>
    <n v="6.0060000000000002"/>
    <n v="0"/>
    <n v="1.8311200000000001"/>
    <n v="0"/>
    <n v="4"/>
    <n v="0"/>
    <n v="40.401400000000002"/>
    <n v="7.0657300000000003"/>
  </r>
  <r>
    <x v="170"/>
    <n v="68388133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1199999999998"/>
    <n v="6.0060099999999998"/>
    <n v="0"/>
    <n v="1.8311200000000001"/>
    <n v="0"/>
    <n v="4"/>
    <n v="0"/>
    <n v="39.953899999999997"/>
    <n v="7.0657300000000003"/>
  </r>
  <r>
    <x v="171"/>
    <n v="639354202"/>
    <s v="C_0"/>
    <n v="-3.2820999999999998"/>
    <n v="1.91351"/>
    <n v="-3.28209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449999999999998"/>
    <n v="6.0060099999999998"/>
    <n v="3.1091299999999999"/>
    <n v="1.8311200000000001"/>
    <n v="1.08125"/>
    <n v="4"/>
    <n v="6.6992700000000003"/>
    <n v="42.410800000000002"/>
    <n v="7.0658899999999996"/>
  </r>
  <r>
    <x v="172"/>
    <n v="99347652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248799999999997"/>
    <n v="6.0060099999999998"/>
    <n v="0"/>
    <n v="1.8311200000000001"/>
    <n v="0"/>
    <n v="4"/>
    <n v="0"/>
    <n v="41.768999999999998"/>
    <n v="7.0658899999999996"/>
  </r>
  <r>
    <x v="173"/>
    <n v="90408902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047599999999997"/>
    <n v="6.0060099999999998"/>
    <n v="0"/>
    <n v="1.8311200000000001"/>
    <n v="0"/>
    <n v="4"/>
    <n v="0"/>
    <n v="41.259599999999999"/>
    <n v="7.0658899999999996"/>
  </r>
  <r>
    <x v="174"/>
    <n v="86787881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846399999999997"/>
    <n v="6.0060099999999998"/>
    <n v="0"/>
    <n v="1.8311200000000001"/>
    <n v="0"/>
    <n v="4"/>
    <n v="0"/>
    <n v="41.009"/>
    <n v="7.0658899999999996"/>
  </r>
  <r>
    <x v="175"/>
    <n v="37222643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645199999999997"/>
    <n v="6.0060099999999998"/>
    <n v="0"/>
    <n v="1.8311200000000001"/>
    <n v="0"/>
    <n v="4"/>
    <n v="0"/>
    <n v="40.606299999999997"/>
    <n v="7.0658899999999996"/>
  </r>
  <r>
    <x v="176"/>
    <n v="30275205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443999999999997"/>
    <n v="6.0060099999999998"/>
    <n v="0"/>
    <n v="1.8311200000000001"/>
    <n v="0"/>
    <n v="4"/>
    <n v="0"/>
    <n v="39.936100000000003"/>
    <n v="7.0658899999999996"/>
  </r>
  <r>
    <x v="177"/>
    <n v="896792023"/>
    <s v="C_0"/>
    <n v="-8.5503599999999995"/>
    <n v="1.91351"/>
    <n v="-8.5503599999999995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8.3773900000000001"/>
    <n v="1.8311200000000001"/>
    <n v="1.3019700000000001"/>
    <n v="4"/>
    <n v="8.3691999999999993"/>
    <n v="47.736800000000002"/>
    <n v="7.0658899999999996"/>
  </r>
  <r>
    <x v="178"/>
    <n v="37065905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47.398400000000002"/>
    <n v="7.0658899999999996"/>
  </r>
  <r>
    <x v="179"/>
    <n v="639266381"/>
    <s v="C_0"/>
    <n v="-1.6989700000000001"/>
    <n v="1.91351"/>
    <n v="-1.69897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.526"/>
    <n v="1.8311200000000001"/>
    <n v="0.24024000000000001"/>
    <n v="4"/>
    <n v="1.5711599999999999"/>
    <n v="48.567300000000003"/>
    <n v="7.0658899999999996"/>
  </r>
  <r>
    <x v="180"/>
    <n v="23633106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48.456400000000002"/>
    <n v="7.0658899999999996"/>
  </r>
  <r>
    <x v="181"/>
    <n v="305170747"/>
    <s v="C_0"/>
    <n v="-1.71201"/>
    <n v="1.91351"/>
    <n v="-1.712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.53904"/>
    <n v="1.8311200000000001"/>
    <n v="0.24024000000000001"/>
    <n v="4"/>
    <n v="1.61493"/>
    <n v="49.920299999999997"/>
    <n v="7.0658899999999996"/>
  </r>
  <r>
    <x v="182"/>
    <n v="866824477"/>
    <s v="C_0"/>
    <n v="-0.99662300000000004"/>
    <n v="1.91351"/>
    <n v="-0.9966230000000000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0.82365200000000005"/>
    <n v="1.8311200000000001"/>
    <n v="0.12012"/>
    <n v="4"/>
    <n v="0.81610000000000005"/>
    <n v="50.4542"/>
    <n v="7.0658899999999996"/>
  </r>
  <r>
    <x v="183"/>
    <n v="10806270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0.067999999999998"/>
    <n v="7.0658899999999996"/>
  </r>
  <r>
    <x v="184"/>
    <n v="45385224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49.613199999999999"/>
    <n v="7.0658899999999996"/>
  </r>
  <r>
    <x v="185"/>
    <n v="141432107"/>
    <s v="C_0"/>
    <n v="-2.5718100000000002"/>
    <n v="1.91351"/>
    <n v="-2.57181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.3988399999999999"/>
    <n v="1.8311200000000001"/>
    <n v="0.36036000000000001"/>
    <n v="4"/>
    <n v="2.5056400000000001"/>
    <n v="51.635800000000003"/>
    <n v="7.0658899999999996"/>
  </r>
  <r>
    <x v="186"/>
    <n v="239885474"/>
    <s v="C_0"/>
    <n v="-0.974638"/>
    <n v="1.91351"/>
    <n v="-0.97463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0.80166800000000005"/>
    <n v="1.8311200000000001"/>
    <n v="0.12012"/>
    <n v="4"/>
    <n v="0.84104800000000002"/>
    <n v="51.996600000000001"/>
    <n v="7.0658899999999996"/>
  </r>
  <r>
    <x v="187"/>
    <n v="21909376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1.024099999999997"/>
    <n v="7.0658899999999996"/>
  </r>
  <r>
    <x v="188"/>
    <n v="2214865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50.483600000000003"/>
    <n v="7.0658899999999996"/>
  </r>
  <r>
    <x v="189"/>
    <n v="66858076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50.324100000000001"/>
    <n v="7.0658899999999996"/>
  </r>
  <r>
    <x v="190"/>
    <n v="484498776"/>
    <s v="C_0"/>
    <n v="-3.6944300000000001"/>
    <n v="1.91351"/>
    <n v="-3.69443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.5214599999999998"/>
    <n v="1.8311200000000001"/>
    <n v="0.48048000000000002"/>
    <n v="4"/>
    <n v="3.4815900000000002"/>
    <n v="53.811"/>
    <n v="7.0658899999999996"/>
  </r>
  <r>
    <x v="191"/>
    <n v="10618603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4.063299999999998"/>
    <n v="7.0658899999999996"/>
  </r>
  <r>
    <x v="192"/>
    <n v="1213805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54.342100000000002"/>
    <n v="7.0658899999999996"/>
  </r>
  <r>
    <x v="193"/>
    <n v="10960691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.36036000000000001"/>
    <n v="4"/>
    <n v="2.7564500000000001"/>
    <n v="54.048000000000002"/>
    <n v="7.0658899999999996"/>
  </r>
  <r>
    <x v="194"/>
    <n v="499275632"/>
    <s v="C_0"/>
    <n v="-4.0319900000000004"/>
    <n v="1.91351"/>
    <n v="-4.031990000000000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.8590200000000001"/>
    <n v="1.8311200000000001"/>
    <n v="0.48048000000000002"/>
    <n v="4"/>
    <n v="3.7086700000000001"/>
    <n v="57.320799999999998"/>
    <n v="7.0658899999999996"/>
  </r>
  <r>
    <x v="195"/>
    <n v="86791319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7.305199999999999"/>
    <n v="7.0658899999999996"/>
  </r>
  <r>
    <x v="196"/>
    <n v="38908220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57.095100000000002"/>
    <n v="7.0658899999999996"/>
  </r>
  <r>
    <x v="197"/>
    <n v="70087903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56.978900000000003"/>
    <n v="7.0658899999999996"/>
  </r>
  <r>
    <x v="198"/>
    <n v="1066900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56.666899999999998"/>
    <n v="7.0658899999999996"/>
  </r>
  <r>
    <x v="199"/>
    <n v="283859287"/>
    <s v="C_0"/>
    <n v="-5.0360100000000001"/>
    <n v="1.91351"/>
    <n v="-5.0360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.8630399999999998"/>
    <n v="1.8311200000000001"/>
    <n v="0.60060100000000005"/>
    <n v="4"/>
    <n v="4.8787200000000004"/>
    <n v="60.323900000000002"/>
    <n v="7.0658899999999996"/>
  </r>
  <r>
    <x v="200"/>
    <n v="60269505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9.470799999999997"/>
    <n v="7.0658899999999996"/>
  </r>
  <r>
    <x v="201"/>
    <n v="70580478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58.746099999999998"/>
    <n v="7.0658899999999996"/>
  </r>
  <r>
    <x v="202"/>
    <n v="16689432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58.177999999999997"/>
    <n v="7.0658899999999996"/>
  </r>
  <r>
    <x v="203"/>
    <n v="20286296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57.670499999999997"/>
    <n v="7.0658899999999996"/>
  </r>
  <r>
    <x v="204"/>
    <n v="23394758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56.859299999999998"/>
    <n v="7.0658899999999996"/>
  </r>
  <r>
    <x v="205"/>
    <n v="18805923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55.414099999999998"/>
    <n v="7.0658899999999996"/>
  </r>
  <r>
    <x v="206"/>
    <n v="30087687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54.872500000000002"/>
    <n v="7.0658899999999996"/>
  </r>
  <r>
    <x v="207"/>
    <n v="265809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54.0745"/>
    <n v="7.0658899999999996"/>
  </r>
  <r>
    <x v="208"/>
    <n v="29838760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451700000000004"/>
    <n v="6.0060099999999998"/>
    <n v="0"/>
    <n v="1.8311200000000001"/>
    <n v="1.08108"/>
    <n v="4"/>
    <n v="9.1524300000000007"/>
    <n v="53.718200000000003"/>
    <n v="7.0658899999999996"/>
  </r>
  <r>
    <x v="209"/>
    <n v="60794731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250500000000004"/>
    <n v="6.0060099999999998"/>
    <n v="0"/>
    <n v="1.8311200000000001"/>
    <n v="0"/>
    <n v="4"/>
    <n v="0"/>
    <n v="52.914999999999999"/>
    <n v="7.0658899999999996"/>
  </r>
  <r>
    <x v="210"/>
    <n v="88936453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049300000000004"/>
    <n v="6.0060099999999998"/>
    <n v="0"/>
    <n v="1.8311200000000001"/>
    <n v="0"/>
    <n v="4"/>
    <n v="0"/>
    <n v="51.947299999999998"/>
    <n v="7.0658899999999996"/>
  </r>
  <r>
    <x v="211"/>
    <n v="87577496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5.9848100000000004"/>
    <n v="6.0060099999999998"/>
    <n v="0"/>
    <n v="1.8311200000000001"/>
    <n v="0"/>
    <n v="4"/>
    <n v="0"/>
    <n v="51.1492"/>
    <n v="7.0658899999999996"/>
  </r>
  <r>
    <x v="212"/>
    <n v="990735240"/>
    <s v="C_0"/>
    <n v="-0.186478"/>
    <n v="1.91351"/>
    <n v="-0.186478"/>
    <n v="0"/>
    <n v="0"/>
    <n v="-0.69452899999999995"/>
    <n v="1.9929399999999999"/>
    <n v="1.9929399999999999"/>
    <n v="0"/>
    <n v="5"/>
    <n v="0"/>
    <n v="0"/>
    <n v="0.99990000000000001"/>
    <s v="[]"/>
    <s v="[&quot;W_2627&quot;, &quot;W_2783&quot;, &quot;W_176&quot;, &quot;W_895&quot;]"/>
    <n v="0"/>
    <n v="5.8651099999999996"/>
    <n v="6.0060099999999998"/>
    <n v="0"/>
    <n v="1.8311200000000001"/>
    <n v="0"/>
    <n v="4"/>
    <n v="0"/>
    <n v="50.249400000000001"/>
    <n v="7.0658899999999996"/>
  </r>
  <r>
    <x v="213"/>
    <n v="607216559"/>
    <s v="C_0"/>
    <n v="-8.9857399999999998"/>
    <n v="1.91351"/>
    <n v="-8.9857399999999998"/>
    <n v="0"/>
    <n v="0"/>
    <n v="-0.69452899999999995"/>
    <n v="1.9530799999999999"/>
    <n v="1.9530799999999999"/>
    <n v="0"/>
    <n v="5"/>
    <n v="0"/>
    <n v="0"/>
    <n v="0.99990000000000001"/>
    <s v="[]"/>
    <s v="[&quot;W_2627&quot;, &quot;W_2783&quot;, &quot;W_176&quot;, &quot;W_895&quot;]"/>
    <n v="0"/>
    <n v="6.7478100000000003"/>
    <n v="5.9954099999999997"/>
    <n v="8.7229899999999994"/>
    <n v="1.8311200000000001"/>
    <n v="1.66794"/>
    <n v="4"/>
    <n v="14.423400000000001"/>
    <n v="58.351300000000002"/>
    <n v="7.05342"/>
  </r>
  <r>
    <x v="214"/>
    <n v="55124748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276900000000003"/>
    <n v="5.9302599999999996"/>
    <n v="0"/>
    <n v="1.8311200000000001"/>
    <n v="0"/>
    <n v="4"/>
    <n v="0"/>
    <n v="57.846699999999998"/>
    <n v="7.05342"/>
  </r>
  <r>
    <x v="215"/>
    <n v="21750199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075700000000003"/>
    <n v="5.9681300000000004"/>
    <n v="0"/>
    <n v="1.8311200000000001"/>
    <n v="0"/>
    <n v="4"/>
    <n v="0"/>
    <n v="57.42"/>
    <n v="7.05342"/>
  </r>
  <r>
    <x v="216"/>
    <n v="741572992"/>
    <s v="C_0"/>
    <n v="-4.6523700000000003"/>
    <n v="1.91351"/>
    <n v="-4.6523700000000003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874500000000003"/>
    <n v="5.9870700000000001"/>
    <n v="4.4794"/>
    <n v="1.8311200000000001"/>
    <n v="1.01501"/>
    <n v="4"/>
    <n v="8.9575300000000002"/>
    <n v="60.782400000000003"/>
    <n v="7.0436100000000001"/>
  </r>
  <r>
    <x v="217"/>
    <n v="206514133"/>
    <s v="C_0"/>
    <n v="-4.6582800000000004"/>
    <n v="1.91351"/>
    <n v="-4.658280000000000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864599999999999"/>
    <n v="5.9965400000000004"/>
    <n v="4.4853100000000001"/>
    <n v="1.8311200000000001"/>
    <n v="0.64702400000000004"/>
    <n v="4"/>
    <n v="5.7295199999999999"/>
    <n v="64.522900000000007"/>
    <n v="7.0547500000000003"/>
  </r>
  <r>
    <x v="218"/>
    <n v="1517824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663399999999999"/>
    <n v="6.0012699999999999"/>
    <n v="0"/>
    <n v="1.8311200000000001"/>
    <n v="0"/>
    <n v="4"/>
    <n v="0"/>
    <n v="63.959899999999998"/>
    <n v="7.0547500000000003"/>
  </r>
  <r>
    <x v="219"/>
    <n v="153054463"/>
    <s v="C_0"/>
    <n v="-3.5038200000000002"/>
    <n v="1.91351"/>
    <n v="-3.50382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32800000000001"/>
    <n v="6.0036399999999999"/>
    <n v="3.3308499999999999"/>
    <n v="1.8311200000000001"/>
    <n v="0.37705699999999998"/>
    <n v="4"/>
    <n v="3.4046599999999998"/>
    <n v="67.028899999999993"/>
    <n v="7.0631000000000004"/>
  </r>
  <r>
    <x v="220"/>
    <n v="46729730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31600000000001"/>
    <n v="6.0048199999999996"/>
    <n v="0"/>
    <n v="1.8311200000000001"/>
    <n v="0"/>
    <n v="4"/>
    <n v="0"/>
    <n v="66.954599999999999"/>
    <n v="7.0631000000000004"/>
  </r>
  <r>
    <x v="221"/>
    <n v="34148004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30400000000001"/>
    <n v="6.0054100000000004"/>
    <n v="0"/>
    <n v="1.8311200000000001"/>
    <n v="0"/>
    <n v="4"/>
    <n v="0"/>
    <n v="66.153999999999996"/>
    <n v="7.0631000000000004"/>
  </r>
  <r>
    <x v="222"/>
    <n v="35421705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29200000000001"/>
    <n v="6.0057099999999997"/>
    <n v="0"/>
    <n v="1.8311200000000001"/>
    <n v="0"/>
    <n v="4"/>
    <n v="0"/>
    <n v="65.447199999999995"/>
    <n v="7.0631000000000004"/>
  </r>
  <r>
    <x v="223"/>
    <n v="61786127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28000000000001"/>
    <n v="6.0058600000000002"/>
    <n v="0"/>
    <n v="1.8311200000000001"/>
    <n v="0"/>
    <n v="4"/>
    <n v="0"/>
    <n v="64.449399999999997"/>
    <n v="7.0631000000000004"/>
  </r>
  <r>
    <x v="224"/>
    <n v="984952402"/>
    <s v="C_0"/>
    <n v="-5.4271200000000004"/>
    <n v="1.91351"/>
    <n v="-5.427120000000000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1600000000003"/>
    <n v="6.0059300000000002"/>
    <n v="5.2541500000000001"/>
    <n v="1.8311200000000001"/>
    <n v="0.60348199999999996"/>
    <n v="4"/>
    <n v="5.5884499999999999"/>
    <n v="68.768799999999999"/>
    <n v="7.0658000000000003"/>
  </r>
  <r>
    <x v="225"/>
    <n v="99703573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0400000000003"/>
    <n v="6.0059699999999996"/>
    <n v="0"/>
    <n v="1.8311200000000001"/>
    <n v="0"/>
    <n v="4"/>
    <n v="0"/>
    <n v="68.056600000000003"/>
    <n v="7.0658000000000003"/>
  </r>
  <r>
    <x v="226"/>
    <n v="54560330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59200000000003"/>
    <n v="6.0059899999999997"/>
    <n v="0"/>
    <n v="1.8311200000000001"/>
    <n v="0"/>
    <n v="4"/>
    <n v="0"/>
    <n v="67.226600000000005"/>
    <n v="7.0658000000000003"/>
  </r>
  <r>
    <x v="227"/>
    <n v="690221441"/>
    <s v="C_0"/>
    <n v="-3.5486900000000001"/>
    <n v="1.91351"/>
    <n v="-3.54869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"/>
    <n v="6.0060000000000002"/>
    <n v="3.3757199999999998"/>
    <n v="1.8311200000000001"/>
    <n v="0.36044199999999998"/>
    <n v="4"/>
    <n v="3.4121199999999998"/>
    <n v="70.3005"/>
    <n v="7.0658799999999999"/>
  </r>
  <r>
    <x v="228"/>
    <n v="379039057"/>
    <s v="C_0"/>
    <n v="-1.2157"/>
    <n v="1.91351"/>
    <n v="-1.215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"/>
    <n v="6.0060000000000002"/>
    <n v="1.0427299999999999"/>
    <n v="1.8311200000000001"/>
    <n v="0.120126"/>
    <n v="4"/>
    <n v="1.1441699999999999"/>
    <n v="70.733099999999993"/>
    <n v="7.0658799999999999"/>
  </r>
  <r>
    <x v="229"/>
    <n v="60019548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199999999999"/>
    <n v="6.0060000000000002"/>
    <n v="0"/>
    <n v="1.8311200000000001"/>
    <n v="0"/>
    <n v="4"/>
    <n v="0"/>
    <n v="69.651300000000006"/>
    <n v="7.0658799999999999"/>
  </r>
  <r>
    <x v="230"/>
    <n v="8537939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59999999999999"/>
    <n v="6.0060000000000002"/>
    <n v="0"/>
    <n v="1.8311200000000001"/>
    <n v="0"/>
    <n v="4"/>
    <n v="0"/>
    <n v="69.151399999999995"/>
    <n v="7.0658799999999999"/>
  </r>
  <r>
    <x v="231"/>
    <n v="66871555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799999999999"/>
    <n v="6.0060099999999998"/>
    <n v="0"/>
    <n v="1.8311200000000001"/>
    <n v="0"/>
    <n v="4"/>
    <n v="0"/>
    <n v="68.694999999999993"/>
    <n v="7.0658799999999999"/>
  </r>
  <r>
    <x v="232"/>
    <n v="10169966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599999999999"/>
    <n v="6.0060099999999998"/>
    <n v="0"/>
    <n v="1.8311200000000001"/>
    <n v="0"/>
    <n v="4"/>
    <n v="0"/>
    <n v="67.771299999999997"/>
    <n v="7.0658799999999999"/>
  </r>
  <r>
    <x v="233"/>
    <n v="564160796"/>
    <s v="C_0"/>
    <n v="-5.75732"/>
    <n v="1.91351"/>
    <n v="-5.7573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5.5843499999999997"/>
    <n v="1.8311200000000001"/>
    <n v="0.60060599999999997"/>
    <n v="4"/>
    <n v="5.9253999999999998"/>
    <n v="73.265199999999993"/>
    <n v="7.0658899999999996"/>
  </r>
  <r>
    <x v="234"/>
    <n v="54378188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72.792900000000003"/>
    <n v="7.0658899999999996"/>
  </r>
  <r>
    <x v="235"/>
    <n v="36647111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72.053100000000001"/>
    <n v="7.0658899999999996"/>
  </r>
  <r>
    <x v="236"/>
    <n v="500825286"/>
    <s v="C_0"/>
    <n v="-3.4784799999999998"/>
    <n v="1.91351"/>
    <n v="-3.47847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.3055099999999999"/>
    <n v="1.8311200000000001"/>
    <n v="0.36036099999999999"/>
    <n v="4"/>
    <n v="3.6556999999999999"/>
    <n v="75.336100000000002"/>
    <n v="7.0658899999999996"/>
  </r>
  <r>
    <x v="237"/>
    <n v="84029558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73.636499999999998"/>
    <n v="7.0658899999999996"/>
  </r>
  <r>
    <x v="238"/>
    <n v="44619167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73.368499999999997"/>
    <n v="7.0658899999999996"/>
  </r>
  <r>
    <x v="239"/>
    <n v="24051131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73.147099999999995"/>
    <n v="7.0658899999999996"/>
  </r>
  <r>
    <x v="240"/>
    <n v="77388075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72.902000000000001"/>
    <n v="7.0658899999999996"/>
  </r>
  <r>
    <x v="241"/>
    <n v="968142369"/>
    <s v="C_0"/>
    <n v="-6.4143499999999998"/>
    <n v="1.91351"/>
    <n v="-6.41434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6.2413800000000004"/>
    <n v="1.8311200000000001"/>
    <n v="0.60060100000000005"/>
    <n v="4"/>
    <n v="6.2790699999999999"/>
    <n v="77.638800000000003"/>
    <n v="7.0658899999999996"/>
  </r>
  <r>
    <x v="242"/>
    <n v="207368622"/>
    <s v="C_0"/>
    <n v="-1.4274100000000001"/>
    <n v="1.91351"/>
    <n v="-1.4274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.25444"/>
    <n v="1.8311200000000001"/>
    <n v="0.12012"/>
    <n v="4"/>
    <n v="1.26603"/>
    <n v="78.270499999999998"/>
    <n v="7.0658899999999996"/>
  </r>
  <r>
    <x v="243"/>
    <n v="41228373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76.930199999999999"/>
    <n v="7.0658899999999996"/>
  </r>
  <r>
    <x v="244"/>
    <n v="95616848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75.920599999999993"/>
    <n v="7.0658899999999996"/>
  </r>
  <r>
    <x v="245"/>
    <n v="68669849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75.008099999999999"/>
    <n v="7.0658899999999996"/>
  </r>
  <r>
    <x v="246"/>
    <n v="25433755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74.597800000000007"/>
    <n v="7.0658899999999996"/>
  </r>
  <r>
    <x v="247"/>
    <n v="72378943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74.214100000000002"/>
    <n v="7.0658899999999996"/>
  </r>
  <r>
    <x v="248"/>
    <n v="25700453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73.808499999999995"/>
    <n v="7.0658899999999996"/>
  </r>
  <r>
    <x v="249"/>
    <n v="2201953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73.336699999999993"/>
    <n v="7.0658899999999996"/>
  </r>
  <r>
    <x v="250"/>
    <n v="5572714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72.811800000000005"/>
    <n v="7.0658899999999996"/>
  </r>
  <r>
    <x v="251"/>
    <n v="460029646"/>
    <s v="C_0"/>
    <n v="-12.403499999999999"/>
    <n v="1.91351"/>
    <n v="-12.4034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451700000000004"/>
    <n v="6.0060099999999998"/>
    <n v="12.230499999999999"/>
    <n v="1.8311200000000001"/>
    <n v="1.08108"/>
    <n v="4"/>
    <n v="12.242599999999999"/>
    <n v="83.179299999999998"/>
    <n v="7.0658899999999996"/>
  </r>
  <r>
    <x v="252"/>
    <n v="859940727"/>
    <s v="C_0"/>
    <n v="-2.3649"/>
    <n v="1.91351"/>
    <n v="-2.364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.1919300000000002"/>
    <n v="1.8311200000000001"/>
    <n v="0.20120099999999999"/>
    <n v="4"/>
    <n v="2.3154499999999998"/>
    <n v="85.462100000000007"/>
    <n v="7.0658899999999996"/>
  </r>
  <r>
    <x v="253"/>
    <n v="32791594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84.998900000000006"/>
    <n v="7.0658899999999996"/>
  </r>
  <r>
    <x v="254"/>
    <n v="80286731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84.802000000000007"/>
    <n v="7.0658899999999996"/>
  </r>
  <r>
    <x v="255"/>
    <n v="40665707"/>
    <s v="C_0"/>
    <n v="-4.4219799999999996"/>
    <n v="1.91351"/>
    <n v="-4.421979999999999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.2490100000000002"/>
    <n v="1.8311200000000001"/>
    <n v="0.36036000000000001"/>
    <n v="4"/>
    <n v="4.30342"/>
    <n v="88.684200000000004"/>
    <n v="7.0658899999999996"/>
  </r>
  <r>
    <x v="256"/>
    <n v="69280637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87.992400000000004"/>
    <n v="7.0658899999999996"/>
  </r>
  <r>
    <x v="257"/>
    <n v="12224750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87.134200000000007"/>
    <n v="7.0658899999999996"/>
  </r>
  <r>
    <x v="258"/>
    <n v="47816734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86.378500000000003"/>
    <n v="7.0658899999999996"/>
  </r>
  <r>
    <x v="259"/>
    <n v="13457683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84.820700000000002"/>
    <n v="7.0658899999999996"/>
  </r>
  <r>
    <x v="260"/>
    <n v="6080788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84.053399999999996"/>
    <n v="7.0658899999999996"/>
  </r>
  <r>
    <x v="261"/>
    <n v="89885945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82.368499999999997"/>
    <n v="7.0658899999999996"/>
  </r>
  <r>
    <x v="262"/>
    <n v="81935412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81.114000000000004"/>
    <n v="7.0658899999999996"/>
  </r>
  <r>
    <x v="263"/>
    <n v="68213335"/>
    <s v="C_0"/>
    <n v="-12.097099999999999"/>
    <n v="1.91351"/>
    <n v="-12.0970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1.924099999999999"/>
    <n v="1.8311200000000001"/>
    <n v="0.96096099999999995"/>
    <n v="4"/>
    <n v="11.8523"/>
    <n v="91.593699999999998"/>
    <n v="7.0658899999999996"/>
  </r>
  <r>
    <x v="264"/>
    <n v="64271190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90.218299999999999"/>
    <n v="7.0658899999999996"/>
  </r>
  <r>
    <x v="265"/>
    <n v="24250035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88.506100000000004"/>
    <n v="7.0658899999999996"/>
  </r>
  <r>
    <x v="266"/>
    <n v="30599845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87.530100000000004"/>
    <n v="7.0658899999999996"/>
  </r>
  <r>
    <x v="267"/>
    <n v="16426418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87.249700000000004"/>
    <n v="7.0658899999999996"/>
  </r>
  <r>
    <x v="268"/>
    <n v="39391441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86.8506"/>
    <n v="7.0658899999999996"/>
  </r>
  <r>
    <x v="269"/>
    <n v="95727763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85.739400000000003"/>
    <n v="7.0658899999999996"/>
  </r>
  <r>
    <x v="270"/>
    <n v="13655455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84.8202"/>
    <n v="7.0658899999999996"/>
  </r>
  <r>
    <x v="271"/>
    <n v="67101124"/>
    <s v="C_0"/>
    <n v="-12.5396"/>
    <n v="1.91351"/>
    <n v="-12.539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2.3666"/>
    <n v="1.8311200000000001"/>
    <n v="0.96096099999999995"/>
    <n v="4"/>
    <n v="12.4183"/>
    <n v="95.967600000000004"/>
    <n v="7.0658899999999996"/>
  </r>
  <r>
    <x v="272"/>
    <n v="94158876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94.671199999999999"/>
    <n v="7.0658899999999996"/>
  </r>
  <r>
    <x v="273"/>
    <n v="853037710"/>
    <s v="C_0"/>
    <n v="-3.3323900000000002"/>
    <n v="1.91351"/>
    <n v="-3.33239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.1594199999999999"/>
    <n v="1.8311200000000001"/>
    <n v="0.24024000000000001"/>
    <n v="4"/>
    <n v="3.15143"/>
    <n v="97.4161"/>
    <n v="7.0658899999999996"/>
  </r>
  <r>
    <x v="274"/>
    <n v="85532000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96.567999999999998"/>
    <n v="7.0658899999999996"/>
  </r>
  <r>
    <x v="275"/>
    <n v="37343821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95.398700000000005"/>
    <n v="7.0658899999999996"/>
  </r>
  <r>
    <x v="276"/>
    <n v="703776264"/>
    <s v="C_0"/>
    <n v="-4.6548400000000001"/>
    <n v="1.91351"/>
    <n v="-4.65484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.4818699999999998"/>
    <n v="1.8311200000000001"/>
    <n v="0.36036000000000001"/>
    <n v="4"/>
    <n v="4.77773"/>
    <n v="98.458699999999993"/>
    <n v="7.0658899999999996"/>
  </r>
  <r>
    <x v="277"/>
    <n v="22841286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97.035799999999995"/>
    <n v="7.0658899999999996"/>
  </r>
  <r>
    <x v="278"/>
    <n v="10770138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94.472300000000004"/>
    <n v="7.0658899999999996"/>
  </r>
  <r>
    <x v="279"/>
    <n v="41390527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93.534700000000001"/>
    <n v="7.0658899999999996"/>
  </r>
  <r>
    <x v="280"/>
    <n v="11346521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91.728899999999996"/>
    <n v="7.0658899999999996"/>
  </r>
  <r>
    <x v="281"/>
    <n v="85260057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90.7804"/>
    <n v="7.0658899999999996"/>
  </r>
  <r>
    <x v="282"/>
    <n v="73961220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90.031300000000002"/>
    <n v="7.0658899999999996"/>
  </r>
  <r>
    <x v="283"/>
    <n v="747501755"/>
    <s v="C_0"/>
    <n v="-11.480499999999999"/>
    <n v="1.91351"/>
    <n v="-11.4804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1.307499999999999"/>
    <n v="1.8311200000000001"/>
    <n v="0.84084099999999995"/>
    <n v="4"/>
    <n v="11.3733"/>
    <n v="100.44799999999999"/>
    <n v="7.0658899999999996"/>
  </r>
  <r>
    <x v="284"/>
    <n v="973567785"/>
    <s v="C_0"/>
    <n v="-1.6613199999999999"/>
    <n v="1.91351"/>
    <n v="-1.66131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.4883500000000001"/>
    <n v="1.8311200000000001"/>
    <n v="0.12012"/>
    <n v="4"/>
    <n v="1.63408"/>
    <n v="101.02500000000001"/>
    <n v="7.0658899999999996"/>
  </r>
  <r>
    <x v="285"/>
    <n v="11120782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99.2744"/>
    <n v="7.0658899999999996"/>
  </r>
  <r>
    <x v="286"/>
    <n v="85775532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97.624700000000004"/>
    <n v="7.0658899999999996"/>
  </r>
  <r>
    <x v="287"/>
    <n v="13090183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97.260499999999993"/>
    <n v="7.0658899999999996"/>
  </r>
  <r>
    <x v="288"/>
    <n v="59075010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96.979200000000006"/>
    <n v="7.0658899999999996"/>
  </r>
  <r>
    <x v="289"/>
    <n v="5887968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96.795699999999997"/>
    <n v="7.0658899999999996"/>
  </r>
  <r>
    <x v="290"/>
    <n v="82021421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95.639499999999998"/>
    <n v="7.0658899999999996"/>
  </r>
  <r>
    <x v="291"/>
    <n v="49668076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94.456199999999995"/>
    <n v="7.0658899999999996"/>
  </r>
  <r>
    <x v="292"/>
    <n v="519724447"/>
    <s v="C_0"/>
    <n v="-11.266999999999999"/>
    <n v="1.91351"/>
    <n v="-11.2669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198500000000001"/>
    <n v="6.0060099999999998"/>
    <n v="11.093999999999999"/>
    <n v="1.8311200000000001"/>
    <n v="0.96096099999999995"/>
    <n v="4"/>
    <n v="13.959899999999999"/>
    <n v="104.883"/>
    <n v="7.0658899999999996"/>
  </r>
  <r>
    <x v="293"/>
    <n v="776334048"/>
    <s v="C_0"/>
    <n v="-4.9263599999999999"/>
    <n v="1.91351"/>
    <n v="-4.92635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.7533899999999996"/>
    <n v="1.8311200000000001"/>
    <n v="0.326517"/>
    <n v="4"/>
    <n v="4.7834399999999997"/>
    <n v="108.794"/>
    <n v="7.0658899999999996"/>
  </r>
  <r>
    <x v="294"/>
    <n v="2796941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08.741"/>
    <n v="7.0658899999999996"/>
  </r>
  <r>
    <x v="295"/>
    <n v="82605503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08.10599999999999"/>
    <n v="7.0658899999999996"/>
  </r>
  <r>
    <x v="296"/>
    <n v="57599235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107.52"/>
    <n v="7.0658899999999996"/>
  </r>
  <r>
    <x v="297"/>
    <n v="18195142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106.568"/>
    <n v="7.0658899999999996"/>
  </r>
  <r>
    <x v="298"/>
    <n v="28721290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105.709"/>
    <n v="7.0658899999999996"/>
  </r>
  <r>
    <x v="299"/>
    <n v="45329617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104.533"/>
    <n v="7.0658899999999996"/>
  </r>
  <r>
    <x v="300"/>
    <n v="63132198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103.946"/>
    <n v="7.0658899999999996"/>
  </r>
  <r>
    <x v="301"/>
    <n v="114267695"/>
    <s v="C_0"/>
    <n v="-11.167"/>
    <n v="1.91351"/>
    <n v="-11.16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575800000000003"/>
    <n v="6.0060099999999998"/>
    <n v="10.994"/>
    <n v="1.8311200000000001"/>
    <n v="0.96096099999999995"/>
    <n v="4"/>
    <n v="15.3246"/>
    <n v="114.143"/>
    <n v="7.0658899999999996"/>
  </r>
  <r>
    <x v="302"/>
    <n v="879777812"/>
    <s v="C_0"/>
    <n v="-6.4229500000000002"/>
    <n v="1.91351"/>
    <n v="-6.42295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6.2499799999999999"/>
    <n v="1.8311200000000001"/>
    <n v="0.388793"/>
    <n v="4"/>
    <n v="6.2595599999999996"/>
    <n v="119.562"/>
    <n v="7.0658899999999996"/>
  </r>
  <r>
    <x v="303"/>
    <n v="35338019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18.637"/>
    <n v="7.0658899999999996"/>
  </r>
  <r>
    <x v="304"/>
    <n v="66860309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18.452"/>
    <n v="7.0658899999999996"/>
  </r>
  <r>
    <x v="305"/>
    <n v="16965750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117.261"/>
    <n v="7.0658899999999996"/>
  </r>
  <r>
    <x v="306"/>
    <n v="53000721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115.354"/>
    <n v="7.0658899999999996"/>
  </r>
  <r>
    <x v="307"/>
    <n v="4317869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115.28700000000001"/>
    <n v="7.0658899999999996"/>
  </r>
  <r>
    <x v="308"/>
    <n v="8922178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115.13"/>
    <n v="7.0658899999999996"/>
  </r>
  <r>
    <x v="309"/>
    <n v="36157069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113.764"/>
    <n v="7.0658899999999996"/>
  </r>
  <r>
    <x v="310"/>
    <n v="33419325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112.90300000000001"/>
    <n v="7.0658899999999996"/>
  </r>
  <r>
    <x v="311"/>
    <n v="58009995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451700000000004"/>
    <n v="6.0060099999999998"/>
    <n v="0"/>
    <n v="1.8311200000000001"/>
    <n v="0"/>
    <n v="4"/>
    <n v="0"/>
    <n v="112.124"/>
    <n v="7.0658899999999996"/>
  </r>
  <r>
    <x v="312"/>
    <n v="7899151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250500000000004"/>
    <n v="6.0060099999999998"/>
    <n v="0"/>
    <n v="1.8311200000000001"/>
    <n v="0"/>
    <n v="4"/>
    <n v="0"/>
    <n v="110.92700000000001"/>
    <n v="7.0658899999999996"/>
  </r>
  <r>
    <x v="313"/>
    <n v="586953022"/>
    <s v="C_0"/>
    <n v="-25.002300000000002"/>
    <n v="1.91351"/>
    <n v="-25.0023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4.8293"/>
    <n v="1.8311200000000001"/>
    <n v="1.3213200000000001"/>
    <n v="4"/>
    <n v="23.5837"/>
    <n v="132.548"/>
    <n v="7.0658899999999996"/>
  </r>
  <r>
    <x v="314"/>
    <n v="82951270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31.489"/>
    <n v="7.0658899999999996"/>
  </r>
  <r>
    <x v="315"/>
    <n v="61381555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29.57499999999999"/>
    <n v="7.0658899999999996"/>
  </r>
  <r>
    <x v="316"/>
    <n v="91440550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.36036000000000001"/>
    <n v="4"/>
    <n v="6.5495400000000004"/>
    <n v="128.422"/>
    <n v="7.0658899999999996"/>
  </r>
  <r>
    <x v="317"/>
    <n v="29303596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126.724"/>
    <n v="7.0658899999999996"/>
  </r>
  <r>
    <x v="318"/>
    <n v="94799493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125.08499999999999"/>
    <n v="7.0658899999999996"/>
  </r>
  <r>
    <x v="319"/>
    <n v="201694033"/>
    <s v="C_0"/>
    <n v="-3.45804"/>
    <n v="1.91351"/>
    <n v="-3.4580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934100000000003"/>
    <n v="6.0060099999999998"/>
    <n v="3.2850700000000002"/>
    <n v="1.8311200000000001"/>
    <n v="0.72072099999999995"/>
    <n v="4"/>
    <n v="13.2448"/>
    <n v="126.681"/>
    <n v="7.0658899999999996"/>
  </r>
  <r>
    <x v="320"/>
    <n v="28982420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732900000000003"/>
    <n v="6.0060099999999998"/>
    <n v="0"/>
    <n v="1.8311200000000001"/>
    <n v="0"/>
    <n v="4"/>
    <n v="0"/>
    <n v="124.922"/>
    <n v="7.0658899999999996"/>
  </r>
  <r>
    <x v="321"/>
    <n v="138552628"/>
    <s v="C_0"/>
    <n v="-9.5359999999999996"/>
    <n v="1.91351"/>
    <n v="-9.535999999999999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531700000000003"/>
    <n v="6.0060099999999998"/>
    <n v="9.3630300000000002"/>
    <n v="1.8311200000000001"/>
    <n v="0.77307700000000001"/>
    <n v="4"/>
    <n v="14.351000000000001"/>
    <n v="132.78800000000001"/>
    <n v="7.0658899999999996"/>
  </r>
  <r>
    <x v="322"/>
    <n v="2649304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330500000000002"/>
    <n v="6.0060099999999998"/>
    <n v="0"/>
    <n v="1.8311200000000001"/>
    <n v="0"/>
    <n v="4"/>
    <n v="0"/>
    <n v="131.10900000000001"/>
    <n v="7.0658899999999996"/>
  </r>
  <r>
    <x v="323"/>
    <n v="552523840"/>
    <s v="C_0"/>
    <n v="-9.5656700000000008"/>
    <n v="1.91351"/>
    <n v="-9.565670000000000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9.3926999999999996"/>
    <n v="1.8311200000000001"/>
    <n v="0.51331800000000005"/>
    <n v="4"/>
    <n v="9.6328899999999997"/>
    <n v="139.36099999999999"/>
    <n v="7.0658899999999996"/>
  </r>
  <r>
    <x v="324"/>
    <n v="77202057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38.453"/>
    <n v="7.0658899999999996"/>
  </r>
  <r>
    <x v="325"/>
    <n v="32380375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36.65600000000001"/>
    <n v="7.0658899999999996"/>
  </r>
  <r>
    <x v="326"/>
    <n v="76421951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134.542"/>
    <n v="7.0658899999999996"/>
  </r>
  <r>
    <x v="327"/>
    <n v="54416638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133.52099999999999"/>
    <n v="7.0658899999999996"/>
  </r>
  <r>
    <x v="328"/>
    <n v="84862339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132.99"/>
    <n v="7.0658899999999996"/>
  </r>
  <r>
    <x v="329"/>
    <n v="1713063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132.49199999999999"/>
    <n v="7.0658899999999996"/>
  </r>
  <r>
    <x v="330"/>
    <n v="13462309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131.374"/>
    <n v="7.0658899999999996"/>
  </r>
  <r>
    <x v="331"/>
    <n v="31454834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128.81800000000001"/>
    <n v="7.0658899999999996"/>
  </r>
  <r>
    <x v="332"/>
    <n v="15368516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451700000000004"/>
    <n v="6.0060099999999998"/>
    <n v="0"/>
    <n v="1.8311200000000001"/>
    <n v="0"/>
    <n v="4"/>
    <n v="0"/>
    <n v="127.432"/>
    <n v="7.0658899999999996"/>
  </r>
  <r>
    <x v="333"/>
    <n v="68810525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250500000000004"/>
    <n v="6.0060099999999998"/>
    <n v="0"/>
    <n v="1.8311200000000001"/>
    <n v="0"/>
    <n v="4"/>
    <n v="0"/>
    <n v="126.833"/>
    <n v="7.0658899999999996"/>
  </r>
  <r>
    <x v="334"/>
    <n v="78550194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049300000000004"/>
    <n v="6.0060099999999998"/>
    <n v="0"/>
    <n v="1.8311200000000001"/>
    <n v="0"/>
    <n v="4"/>
    <n v="0"/>
    <n v="125.964"/>
    <n v="7.0658899999999996"/>
  </r>
  <r>
    <x v="335"/>
    <n v="82157323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5.9848100000000004"/>
    <n v="6.0060099999999998"/>
    <n v="0"/>
    <n v="1.8311200000000001"/>
    <n v="0"/>
    <n v="4"/>
    <n v="0"/>
    <n v="124.33199999999999"/>
    <n v="7.0658899999999996"/>
  </r>
  <r>
    <x v="336"/>
    <n v="954212337"/>
    <s v="C_0"/>
    <n v="-30.616299999999999"/>
    <n v="1.91351"/>
    <n v="-30.616299999999999"/>
    <n v="0"/>
    <n v="0"/>
    <n v="-0.69452899999999995"/>
    <n v="1.9929399999999999"/>
    <n v="1.9929399999999999"/>
    <n v="0"/>
    <n v="5"/>
    <n v="0"/>
    <n v="0"/>
    <n v="0.99990000000000001"/>
    <s v="[]"/>
    <s v="[&quot;W_2627&quot;, &quot;W_2783&quot;, &quot;W_176&quot;, &quot;W_895&quot;]"/>
    <n v="0"/>
    <n v="7.3444500000000001"/>
    <n v="6.0060099999999998"/>
    <n v="30.4299"/>
    <n v="1.8311200000000001"/>
    <n v="1.5615600000000001"/>
    <n v="4"/>
    <n v="32.416600000000003"/>
    <n v="152.464"/>
    <n v="7.0658899999999996"/>
  </r>
  <r>
    <x v="337"/>
    <n v="58667047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243300000000001"/>
    <n v="5.9954099999999997"/>
    <n v="0"/>
    <n v="1.8311200000000001"/>
    <n v="0"/>
    <n v="4"/>
    <n v="0"/>
    <n v="150.65799999999999"/>
    <n v="7.0658899999999996"/>
  </r>
  <r>
    <x v="338"/>
    <n v="89298551"/>
    <s v="C_0"/>
    <n v="-6.6579800000000002"/>
    <n v="1.91351"/>
    <n v="-6.65798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195900000000004"/>
    <n v="6.0007099999999998"/>
    <n v="6.4850099999999999"/>
    <n v="1.8311200000000001"/>
    <n v="0.31537700000000002"/>
    <n v="4"/>
    <n v="6.6292900000000001"/>
    <n v="155.96100000000001"/>
    <n v="7.0596500000000004"/>
  </r>
  <r>
    <x v="339"/>
    <n v="534840130"/>
    <s v="C_0"/>
    <n v="-2.8635999999999999"/>
    <n v="1.91351"/>
    <n v="-2.86359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29200000000004"/>
    <n v="6.0033599999999998"/>
    <n v="2.6906300000000001"/>
    <n v="1.8311200000000001"/>
    <n v="0.123449"/>
    <n v="4"/>
    <n v="2.6049199999999999"/>
    <n v="156.63200000000001"/>
    <n v="7.0627700000000004"/>
  </r>
  <r>
    <x v="340"/>
    <n v="24137748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28000000000004"/>
    <n v="6.0046799999999996"/>
    <n v="0"/>
    <n v="1.8311200000000001"/>
    <n v="0"/>
    <n v="4"/>
    <n v="0"/>
    <n v="154.703"/>
    <n v="7.0627700000000004"/>
  </r>
  <r>
    <x v="341"/>
    <n v="167270613"/>
    <s v="C_0"/>
    <n v="-5.8106799999999996"/>
    <n v="1.91351"/>
    <n v="-5.810679999999999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54199999999999"/>
    <n v="6.0053400000000003"/>
    <n v="5.6377100000000002"/>
    <n v="1.8311200000000001"/>
    <n v="0.24273700000000001"/>
    <n v="4"/>
    <n v="5.15923"/>
    <n v="157.82300000000001"/>
    <n v="7.0651099999999998"/>
  </r>
  <r>
    <x v="342"/>
    <n v="573489589"/>
    <s v="C_0"/>
    <n v="-2.72235"/>
    <n v="1.91351"/>
    <n v="-2.72235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58300000000004"/>
    <n v="6.0056700000000003"/>
    <n v="2.5493700000000001"/>
    <n v="1.8311200000000001"/>
    <n v="0.120536"/>
    <n v="4"/>
    <n v="2.5806900000000002"/>
    <n v="158.98699999999999"/>
    <n v="7.0655000000000001"/>
  </r>
  <r>
    <x v="343"/>
    <n v="14537231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57100000000004"/>
    <n v="6.0058400000000001"/>
    <n v="0"/>
    <n v="1.8311200000000001"/>
    <n v="0"/>
    <n v="4"/>
    <n v="0"/>
    <n v="158.96100000000001"/>
    <n v="7.0655000000000001"/>
  </r>
  <r>
    <x v="344"/>
    <n v="14849478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55900000000004"/>
    <n v="6.0059199999999997"/>
    <n v="0"/>
    <n v="1.8311200000000001"/>
    <n v="0"/>
    <n v="4"/>
    <n v="0"/>
    <n v="159.57400000000001"/>
    <n v="7.0655000000000001"/>
  </r>
  <r>
    <x v="345"/>
    <n v="242648219"/>
    <s v="C_0"/>
    <n v="-8.2484199999999994"/>
    <n v="1.91351"/>
    <n v="-8.248419999999999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1999999999997"/>
    <n v="6.00596"/>
    <n v="8.07545"/>
    <n v="1.8311200000000001"/>
    <n v="0.36072500000000002"/>
    <n v="4"/>
    <n v="8.1324299999999994"/>
    <n v="167.422"/>
    <n v="7.0658399999999997"/>
  </r>
  <r>
    <x v="346"/>
    <n v="78742027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0799999999997"/>
    <n v="6.0059899999999997"/>
    <n v="0"/>
    <n v="1.8311200000000001"/>
    <n v="0"/>
    <n v="4"/>
    <n v="0"/>
    <n v="163.45400000000001"/>
    <n v="7.0658399999999997"/>
  </r>
  <r>
    <x v="347"/>
    <n v="93189369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59599999999997"/>
    <n v="6.0060000000000002"/>
    <n v="0"/>
    <n v="1.8311200000000001"/>
    <n v="0"/>
    <n v="4"/>
    <n v="0"/>
    <n v="162.48699999999999"/>
    <n v="7.0658399999999997"/>
  </r>
  <r>
    <x v="348"/>
    <n v="37416414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399999999997"/>
    <n v="6.0060000000000002"/>
    <n v="0"/>
    <n v="1.8311200000000001"/>
    <n v="0"/>
    <n v="4"/>
    <n v="0"/>
    <n v="161.125"/>
    <n v="7.0658399999999997"/>
  </r>
  <r>
    <x v="349"/>
    <n v="92800080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199999999997"/>
    <n v="6.0060000000000002"/>
    <n v="0"/>
    <n v="1.8311200000000001"/>
    <n v="0"/>
    <n v="4"/>
    <n v="0"/>
    <n v="160.732"/>
    <n v="7.0658399999999997"/>
  </r>
  <r>
    <x v="350"/>
    <n v="26492621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5999999999997"/>
    <n v="6.0060000000000002"/>
    <n v="0"/>
    <n v="1.8311200000000001"/>
    <n v="0"/>
    <n v="4"/>
    <n v="0"/>
    <n v="160.185"/>
    <n v="7.0658399999999997"/>
  </r>
  <r>
    <x v="351"/>
    <n v="21971084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4799999999997"/>
    <n v="6.0060099999999998"/>
    <n v="0"/>
    <n v="1.8311200000000001"/>
    <n v="0"/>
    <n v="4"/>
    <n v="0"/>
    <n v="158.227"/>
    <n v="7.0658399999999997"/>
  </r>
  <r>
    <x v="352"/>
    <n v="64860405"/>
    <s v="C_0"/>
    <n v="-20.354399999999998"/>
    <n v="1.91351"/>
    <n v="-20.3543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0.1814"/>
    <n v="1.8311200000000001"/>
    <n v="0.84089199999999997"/>
    <n v="4"/>
    <n v="19.833200000000001"/>
    <n v="175.155"/>
    <n v="7.0658899999999996"/>
  </r>
  <r>
    <x v="353"/>
    <n v="913204943"/>
    <s v="C_0"/>
    <n v="-3.0161500000000001"/>
    <n v="1.91351"/>
    <n v="-3.01615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.8431799999999998"/>
    <n v="1.8311200000000001"/>
    <n v="0.12012"/>
    <n v="4"/>
    <n v="2.8486099999999999"/>
    <n v="176.11099999999999"/>
    <n v="7.0658899999999996"/>
  </r>
  <r>
    <x v="354"/>
    <n v="91843120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74.36199999999999"/>
    <n v="7.0658899999999996"/>
  </r>
  <r>
    <x v="355"/>
    <n v="38294041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71.46199999999999"/>
    <n v="7.0658899999999996"/>
  </r>
  <r>
    <x v="356"/>
    <n v="496851344"/>
    <s v="C_0"/>
    <n v="-8.3042899999999999"/>
    <n v="1.91351"/>
    <n v="-8.30428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8.1313200000000005"/>
    <n v="1.8311200000000001"/>
    <n v="0.36036099999999999"/>
    <n v="4"/>
    <n v="8.6716200000000008"/>
    <n v="178.703"/>
    <n v="7.0658899999999996"/>
  </r>
  <r>
    <x v="357"/>
    <n v="189440161"/>
    <s v="C_0"/>
    <n v="-3.11286"/>
    <n v="1.91351"/>
    <n v="-3.1128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.93988"/>
    <n v="1.8311200000000001"/>
    <n v="0.12012"/>
    <n v="4"/>
    <n v="2.91974"/>
    <n v="180.50899999999999"/>
    <n v="7.0658899999999996"/>
  </r>
  <r>
    <x v="358"/>
    <n v="81700808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78.26"/>
    <n v="7.0658899999999996"/>
  </r>
  <r>
    <x v="359"/>
    <n v="709883471"/>
    <s v="C_0"/>
    <n v="-6.0788399999999996"/>
    <n v="1.91351"/>
    <n v="-6.078839999999999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5.9058599999999997"/>
    <n v="1.8311200000000001"/>
    <n v="0.24024000000000001"/>
    <n v="4"/>
    <n v="5.8570599999999997"/>
    <n v="181.05199999999999"/>
    <n v="7.0658899999999996"/>
  </r>
  <r>
    <x v="360"/>
    <n v="921828041"/>
    <s v="C_0"/>
    <n v="-3.1857700000000002"/>
    <n v="1.91351"/>
    <n v="-3.18577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.0127999999999999"/>
    <n v="1.8311200000000001"/>
    <n v="0.12012"/>
    <n v="4"/>
    <n v="2.95465"/>
    <n v="182.667"/>
    <n v="7.0658899999999996"/>
  </r>
  <r>
    <x v="361"/>
    <n v="58285324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82.04900000000001"/>
    <n v="7.0658899999999996"/>
  </r>
  <r>
    <x v="362"/>
    <n v="195169261"/>
    <s v="C_0"/>
    <n v="-6.0049299999999999"/>
    <n v="1.91351"/>
    <n v="-6.00492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5.8319599999999996"/>
    <n v="1.8311200000000001"/>
    <n v="0.24024000000000001"/>
    <n v="4"/>
    <n v="6.0289200000000003"/>
    <n v="186.36500000000001"/>
    <n v="7.0658899999999996"/>
  </r>
  <r>
    <x v="363"/>
    <n v="86325640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84.65700000000001"/>
    <n v="7.0658899999999996"/>
  </r>
  <r>
    <x v="364"/>
    <n v="96311310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84.26599999999999"/>
    <n v="7.0658899999999996"/>
  </r>
  <r>
    <x v="365"/>
    <n v="431757026"/>
    <s v="C_0"/>
    <n v="-8.79983"/>
    <n v="1.91351"/>
    <n v="-8.79983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8.6268600000000006"/>
    <n v="1.8311200000000001"/>
    <n v="0.36036000000000001"/>
    <n v="4"/>
    <n v="9.3063400000000005"/>
    <n v="191.78399999999999"/>
    <n v="7.0658899999999996"/>
  </r>
  <r>
    <x v="366"/>
    <n v="29657591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88.75"/>
    <n v="7.0658899999999996"/>
  </r>
  <r>
    <x v="367"/>
    <n v="34615579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86.995"/>
    <n v="7.0658899999999996"/>
  </r>
  <r>
    <x v="368"/>
    <n v="105543828"/>
    <s v="C_0"/>
    <n v="-9.1708700000000007"/>
    <n v="1.91351"/>
    <n v="-9.170870000000000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8.9978999999999996"/>
    <n v="1.8311200000000001"/>
    <n v="0.36036000000000001"/>
    <n v="4"/>
    <n v="9.40123"/>
    <n v="193.739"/>
    <n v="7.0658899999999996"/>
  </r>
  <r>
    <x v="369"/>
    <n v="20545079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92.16900000000001"/>
    <n v="7.0658899999999996"/>
  </r>
  <r>
    <x v="370"/>
    <n v="42978397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91.46"/>
    <n v="7.0658899999999996"/>
  </r>
  <r>
    <x v="371"/>
    <n v="12083217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189.3"/>
    <n v="7.0658899999999996"/>
  </r>
  <r>
    <x v="372"/>
    <n v="71212741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188.566"/>
    <n v="7.0658899999999996"/>
  </r>
  <r>
    <x v="373"/>
    <n v="34747791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187.61500000000001"/>
    <n v="7.0658899999999996"/>
  </r>
  <r>
    <x v="374"/>
    <n v="24664846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187.90600000000001"/>
    <n v="7.0658899999999996"/>
  </r>
  <r>
    <x v="375"/>
    <n v="51705996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186.452"/>
    <n v="7.0658899999999996"/>
  </r>
  <r>
    <x v="376"/>
    <n v="99747053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186.20400000000001"/>
    <n v="7.0658899999999996"/>
  </r>
  <r>
    <x v="377"/>
    <n v="707032715"/>
    <s v="C_0"/>
    <n v="-15.3462"/>
    <n v="1.91351"/>
    <n v="-15.346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451700000000004"/>
    <n v="6.0060099999999998"/>
    <n v="15.1732"/>
    <n v="1.8311200000000001"/>
    <n v="1.08108"/>
    <n v="4"/>
    <n v="31.297999999999998"/>
    <n v="198.172"/>
    <n v="7.0658899999999996"/>
  </r>
  <r>
    <x v="378"/>
    <n v="28619273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250500000000004"/>
    <n v="6.0060099999999998"/>
    <n v="0"/>
    <n v="1.8311200000000001"/>
    <n v="0"/>
    <n v="4"/>
    <n v="0"/>
    <n v="196.87700000000001"/>
    <n v="7.0658899999999996"/>
  </r>
  <r>
    <x v="379"/>
    <n v="64264250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049300000000004"/>
    <n v="6.0060099999999998"/>
    <n v="0"/>
    <n v="1.8311200000000001"/>
    <n v="0"/>
    <n v="4"/>
    <n v="0"/>
    <n v="195.565"/>
    <n v="7.0658899999999996"/>
  </r>
  <r>
    <x v="380"/>
    <n v="252541533"/>
    <s v="C_0"/>
    <n v="-21.323499999999999"/>
    <n v="1.91351"/>
    <n v="-21.3234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094800000000001"/>
    <n v="6.0060099999999998"/>
    <n v="21.150500000000001"/>
    <n v="1.8311200000000001"/>
    <n v="0.94144099999999997"/>
    <n v="4"/>
    <n v="28.170200000000001"/>
    <n v="215.72499999999999"/>
    <n v="7.0658899999999996"/>
  </r>
  <r>
    <x v="381"/>
    <n v="33957467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893600000000001"/>
    <n v="6.0060099999999998"/>
    <n v="0"/>
    <n v="1.8311200000000001"/>
    <n v="0"/>
    <n v="4"/>
    <n v="0"/>
    <n v="212.63399999999999"/>
    <n v="7.0658899999999996"/>
  </r>
  <r>
    <x v="382"/>
    <n v="10921019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692400000000001"/>
    <n v="6.0060099999999998"/>
    <n v="0"/>
    <n v="1.8311200000000001"/>
    <n v="0"/>
    <n v="4"/>
    <n v="0"/>
    <n v="211.83600000000001"/>
    <n v="7.0658899999999996"/>
  </r>
  <r>
    <x v="383"/>
    <n v="77811549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491200000000001"/>
    <n v="6.0060099999999998"/>
    <n v="0"/>
    <n v="1.8311200000000001"/>
    <n v="0"/>
    <n v="4"/>
    <n v="0"/>
    <n v="209.465"/>
    <n v="7.0658899999999996"/>
  </r>
  <r>
    <x v="384"/>
    <n v="4093484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290000000000001"/>
    <n v="6.0060099999999998"/>
    <n v="0"/>
    <n v="1.8311200000000001"/>
    <n v="0"/>
    <n v="4"/>
    <n v="0"/>
    <n v="207.63300000000001"/>
    <n v="7.0658899999999996"/>
  </r>
  <r>
    <x v="385"/>
    <n v="40921606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088800000000001"/>
    <n v="6.0060099999999998"/>
    <n v="0"/>
    <n v="1.8311200000000001"/>
    <n v="0"/>
    <n v="4"/>
    <n v="0"/>
    <n v="205.18100000000001"/>
    <n v="7.0658899999999996"/>
  </r>
  <r>
    <x v="386"/>
    <n v="99975616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887600000000001"/>
    <n v="6.0060099999999998"/>
    <n v="0"/>
    <n v="1.8311200000000001"/>
    <n v="0"/>
    <n v="4"/>
    <n v="0"/>
    <n v="202.029"/>
    <n v="7.0658899999999996"/>
  </r>
  <r>
    <x v="387"/>
    <n v="55269401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686400000000001"/>
    <n v="6.0060099999999998"/>
    <n v="0"/>
    <n v="1.8311200000000001"/>
    <n v="0"/>
    <n v="4"/>
    <n v="0"/>
    <n v="200.239"/>
    <n v="7.0658899999999996"/>
  </r>
  <r>
    <x v="388"/>
    <n v="541287964"/>
    <s v="C_0"/>
    <n v="-32.1083"/>
    <n v="1.91351"/>
    <n v="-32.1083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485200000000001"/>
    <n v="6.0060099999999998"/>
    <n v="31.935300000000002"/>
    <n v="1.8311200000000001"/>
    <n v="1.1777299999999999"/>
    <n v="4"/>
    <n v="36.999699999999997"/>
    <n v="227.72"/>
    <n v="7.0658899999999996"/>
  </r>
  <r>
    <x v="389"/>
    <n v="45336430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284000000000001"/>
    <n v="6.0060099999999998"/>
    <n v="0"/>
    <n v="1.8311200000000001"/>
    <n v="0"/>
    <n v="4"/>
    <n v="0"/>
    <n v="226.34399999999999"/>
    <n v="7.0658899999999996"/>
  </r>
  <r>
    <x v="390"/>
    <n v="77922703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082800000000001"/>
    <n v="6.0060099999999998"/>
    <n v="0"/>
    <n v="1.8311200000000001"/>
    <n v="0"/>
    <n v="4"/>
    <n v="0"/>
    <n v="223.946"/>
    <n v="7.0658899999999996"/>
  </r>
  <r>
    <x v="391"/>
    <n v="148017212"/>
    <s v="C_0"/>
    <n v="-17.388000000000002"/>
    <n v="1.91351"/>
    <n v="-17.3880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7.215"/>
    <n v="1.8311200000000001"/>
    <n v="0.53809099999999999"/>
    <n v="4"/>
    <n v="17.234300000000001"/>
    <n v="237.85300000000001"/>
    <n v="7.0658899999999996"/>
  </r>
  <r>
    <x v="392"/>
    <n v="98717913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.12012"/>
    <n v="4"/>
    <n v="3.8755899999999999"/>
    <n v="235.727"/>
    <n v="7.0658899999999996"/>
  </r>
  <r>
    <x v="393"/>
    <n v="18043497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233.49700000000001"/>
    <n v="7.0658899999999996"/>
  </r>
  <r>
    <x v="394"/>
    <n v="7425872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230.911"/>
    <n v="7.0658899999999996"/>
  </r>
  <r>
    <x v="395"/>
    <n v="46433326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227.25200000000001"/>
    <n v="7.0658899999999996"/>
  </r>
  <r>
    <x v="396"/>
    <n v="10118117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222.876"/>
    <n v="7.0658899999999996"/>
  </r>
  <r>
    <x v="397"/>
    <n v="181233041"/>
    <s v="C_0"/>
    <n v="-16.952300000000001"/>
    <n v="1.91351"/>
    <n v="-16.9523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055300000000004"/>
    <n v="6.0060099999999998"/>
    <n v="16.779399999999999"/>
    <n v="1.8311200000000001"/>
    <n v="0.72072099999999995"/>
    <n v="4"/>
    <n v="23.656400000000001"/>
    <n v="236.50899999999999"/>
    <n v="7.0658899999999996"/>
  </r>
  <r>
    <x v="398"/>
    <n v="75758358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854100000000004"/>
    <n v="6.0060099999999998"/>
    <n v="0"/>
    <n v="1.8311200000000001"/>
    <n v="0"/>
    <n v="4"/>
    <n v="0"/>
    <n v="235.39599999999999"/>
    <n v="7.0658899999999996"/>
  </r>
  <r>
    <x v="399"/>
    <n v="388104017"/>
    <s v="C_0"/>
    <n v="-15.5185"/>
    <n v="1.91351"/>
    <n v="-15.5185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5.345499999999999"/>
    <n v="1.8311200000000001"/>
    <n v="0.46096100000000001"/>
    <n v="4"/>
    <n v="15.329000000000001"/>
    <n v="246.95500000000001"/>
    <n v="7.0658899999999996"/>
  </r>
  <r>
    <x v="400"/>
    <n v="61504871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245.678"/>
    <n v="7.0658899999999996"/>
  </r>
  <r>
    <x v="401"/>
    <n v="68196256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240.97900000000001"/>
    <n v="7.0658899999999996"/>
  </r>
  <r>
    <x v="402"/>
    <n v="53386329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237.417"/>
    <n v="7.0658899999999996"/>
  </r>
  <r>
    <x v="403"/>
    <n v="96784341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234.76499999999999"/>
    <n v="7.0658899999999996"/>
  </r>
  <r>
    <x v="404"/>
    <n v="341320993"/>
    <s v="C_0"/>
    <n v="-17.307099999999998"/>
    <n v="1.91351"/>
    <n v="-17.3070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256500000000004"/>
    <n v="6.0060099999999998"/>
    <n v="17.1341"/>
    <n v="1.8311200000000001"/>
    <n v="0.60060100000000005"/>
    <n v="4"/>
    <n v="20.357500000000002"/>
    <n v="248.304"/>
    <n v="7.0658899999999996"/>
  </r>
  <r>
    <x v="405"/>
    <n v="803839102"/>
    <s v="C_0"/>
    <n v="-7.6171899999999999"/>
    <n v="1.91351"/>
    <n v="-7.61718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7.4442199999999996"/>
    <n v="1.8311200000000001"/>
    <n v="0.220721"/>
    <n v="4"/>
    <n v="7.6378899999999996"/>
    <n v="256.98"/>
    <n v="7.0658899999999996"/>
  </r>
  <r>
    <x v="406"/>
    <n v="34336034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254.398"/>
    <n v="7.0658899999999996"/>
  </r>
  <r>
    <x v="407"/>
    <n v="672092285"/>
    <s v="C_0"/>
    <n v="-8.2706599999999995"/>
    <n v="1.91351"/>
    <n v="-8.2706599999999995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8.0976900000000001"/>
    <n v="1.8311200000000001"/>
    <n v="0.24024000000000001"/>
    <n v="4"/>
    <n v="8.4214599999999997"/>
    <n v="260.322"/>
    <n v="7.0658899999999996"/>
  </r>
  <r>
    <x v="408"/>
    <n v="50558537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257.815"/>
    <n v="7.0658899999999996"/>
  </r>
  <r>
    <x v="409"/>
    <n v="9792236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252.749"/>
    <n v="7.0658899999999996"/>
  </r>
  <r>
    <x v="410"/>
    <n v="96013607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249.625"/>
    <n v="7.0658899999999996"/>
  </r>
  <r>
    <x v="411"/>
    <n v="41741166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.48048000000000002"/>
    <n v="4"/>
    <n v="17.045000000000002"/>
    <n v="246.40100000000001"/>
    <n v="7.0658899999999996"/>
  </r>
  <r>
    <x v="412"/>
    <n v="10048566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243.41300000000001"/>
    <n v="7.0658899999999996"/>
  </r>
  <r>
    <x v="413"/>
    <n v="55450672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240.37299999999999"/>
    <n v="7.0658899999999996"/>
  </r>
  <r>
    <x v="414"/>
    <n v="4029113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239.97499999999999"/>
    <n v="7.0658899999999996"/>
  </r>
  <r>
    <x v="415"/>
    <n v="75395035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237.62899999999999"/>
    <n v="7.0658899999999996"/>
  </r>
  <r>
    <x v="416"/>
    <n v="87456542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451700000000004"/>
    <n v="6.0060099999999998"/>
    <n v="0"/>
    <n v="1.8311200000000001"/>
    <n v="0"/>
    <n v="4"/>
    <n v="0"/>
    <n v="237.61199999999999"/>
    <n v="7.0658899999999996"/>
  </r>
  <r>
    <x v="417"/>
    <n v="97252494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250500000000004"/>
    <n v="6.0060099999999998"/>
    <n v="0"/>
    <n v="1.8311200000000001"/>
    <n v="0"/>
    <n v="4"/>
    <n v="0"/>
    <n v="236.41300000000001"/>
    <n v="7.0658899999999996"/>
  </r>
  <r>
    <x v="418"/>
    <n v="49590209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049300000000004"/>
    <n v="6.0060099999999998"/>
    <n v="0"/>
    <n v="1.8311200000000001"/>
    <n v="0"/>
    <n v="4"/>
    <n v="0"/>
    <n v="233.99799999999999"/>
    <n v="7.0658899999999996"/>
  </r>
  <r>
    <x v="419"/>
    <n v="33313146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5.9848100000000004"/>
    <n v="6.0060099999999998"/>
    <n v="0"/>
    <n v="1.8311200000000001"/>
    <n v="0"/>
    <n v="4"/>
    <n v="0"/>
    <n v="228.709"/>
    <n v="7.0658899999999996"/>
  </r>
  <r>
    <x v="420"/>
    <n v="653026098"/>
    <s v="C_0"/>
    <n v="-0.186478"/>
    <n v="1.91351"/>
    <n v="-0.186478"/>
    <n v="0"/>
    <n v="0"/>
    <n v="-0.69452899999999995"/>
    <n v="1.9929399999999999"/>
    <n v="1.9929399999999999"/>
    <n v="0"/>
    <n v="5"/>
    <n v="0"/>
    <n v="0"/>
    <n v="0.99990000000000001"/>
    <s v="[]"/>
    <s v="[&quot;W_2627&quot;, &quot;W_2783&quot;, &quot;W_176&quot;, &quot;W_895&quot;]"/>
    <n v="0"/>
    <n v="5.8651099999999996"/>
    <n v="6.0060099999999998"/>
    <n v="0"/>
    <n v="1.8311200000000001"/>
    <n v="0"/>
    <n v="4"/>
    <n v="0"/>
    <n v="225.73599999999999"/>
    <n v="7.0658899999999996"/>
  </r>
  <r>
    <x v="421"/>
    <n v="505412516"/>
    <s v="C_0"/>
    <n v="-60.809399999999997"/>
    <n v="1.91351"/>
    <n v="-60.809399999999997"/>
    <n v="0"/>
    <n v="0"/>
    <n v="-0.69452899999999995"/>
    <n v="1.9530799999999999"/>
    <n v="1.9530799999999999"/>
    <n v="0"/>
    <n v="5"/>
    <n v="0"/>
    <n v="0"/>
    <n v="0.99990000000000001"/>
    <s v="[]"/>
    <s v="[&quot;W_2627&quot;, &quot;W_2783&quot;, &quot;W_176&quot;, &quot;W_895&quot;]"/>
    <n v="0"/>
    <n v="7.2478100000000003"/>
    <n v="5.9954099999999997"/>
    <n v="60.546700000000001"/>
    <n v="1.8311200000000001"/>
    <n v="1.66794"/>
    <n v="4"/>
    <n v="64.565200000000004"/>
    <n v="280.55900000000003"/>
    <n v="7.05342"/>
  </r>
  <r>
    <x v="422"/>
    <n v="81618602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276900000000003"/>
    <n v="5.9302599999999996"/>
    <n v="0"/>
    <n v="1.8311200000000001"/>
    <n v="0"/>
    <n v="4"/>
    <n v="0"/>
    <n v="277.70299999999997"/>
    <n v="7.05342"/>
  </r>
  <r>
    <x v="423"/>
    <n v="37195242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075700000000003"/>
    <n v="5.9681300000000004"/>
    <n v="0"/>
    <n v="1.8311200000000001"/>
    <n v="0"/>
    <n v="4"/>
    <n v="0"/>
    <n v="277.27699999999999"/>
    <n v="7.05342"/>
  </r>
  <r>
    <x v="424"/>
    <n v="50924703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874500000000003"/>
    <n v="5.9870700000000001"/>
    <n v="0"/>
    <n v="1.8311200000000001"/>
    <n v="0"/>
    <n v="4"/>
    <n v="0"/>
    <n v="276.721"/>
    <n v="7.05342"/>
  </r>
  <r>
    <x v="425"/>
    <n v="68490964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673300000000003"/>
    <n v="5.9965400000000004"/>
    <n v="0"/>
    <n v="1.8311200000000001"/>
    <n v="0"/>
    <n v="4"/>
    <n v="0"/>
    <n v="275.76100000000002"/>
    <n v="7.05342"/>
  </r>
  <r>
    <x v="426"/>
    <n v="26624477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472100000000003"/>
    <n v="6.0012699999999999"/>
    <n v="0"/>
    <n v="1.8311200000000001"/>
    <n v="0"/>
    <n v="4"/>
    <n v="0"/>
    <n v="274.06099999999998"/>
    <n v="7.05342"/>
  </r>
  <r>
    <x v="427"/>
    <n v="47243054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270900000000003"/>
    <n v="6.0036399999999999"/>
    <n v="0"/>
    <n v="1.8311200000000001"/>
    <n v="0"/>
    <n v="4"/>
    <n v="0"/>
    <n v="271.47199999999998"/>
    <n v="7.05342"/>
  </r>
  <r>
    <x v="428"/>
    <n v="7533933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069700000000003"/>
    <n v="6.0048199999999996"/>
    <n v="0"/>
    <n v="1.8311200000000001"/>
    <n v="0"/>
    <n v="4"/>
    <n v="0"/>
    <n v="268.22399999999999"/>
    <n v="7.05342"/>
  </r>
  <r>
    <x v="429"/>
    <n v="60658083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868500000000003"/>
    <n v="6.0054100000000004"/>
    <n v="0"/>
    <n v="1.8311200000000001"/>
    <n v="0"/>
    <n v="4"/>
    <n v="0"/>
    <n v="265.39800000000002"/>
    <n v="7.05342"/>
  </r>
  <r>
    <x v="430"/>
    <n v="40911037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667300000000003"/>
    <n v="6.0057099999999997"/>
    <n v="0"/>
    <n v="1.8311200000000001"/>
    <n v="0"/>
    <n v="4"/>
    <n v="0"/>
    <n v="263.26600000000002"/>
    <n v="7.05342"/>
  </r>
  <r>
    <x v="431"/>
    <n v="75599275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0466100000000003"/>
    <n v="6.0058600000000002"/>
    <n v="0"/>
    <n v="1.8311200000000001"/>
    <n v="0"/>
    <n v="4"/>
    <n v="0"/>
    <n v="262.048"/>
    <n v="7.05342"/>
  </r>
  <r>
    <x v="432"/>
    <n v="55424732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5.9264900000000003"/>
    <n v="6.0059300000000002"/>
    <n v="0"/>
    <n v="1.8311200000000001"/>
    <n v="0"/>
    <n v="4"/>
    <n v="0"/>
    <n v="258.76"/>
    <n v="7.05342"/>
  </r>
  <r>
    <x v="433"/>
    <n v="754713312"/>
    <s v="C_0"/>
    <n v="-0.223639"/>
    <n v="1.91351"/>
    <n v="-0.223639"/>
    <n v="0"/>
    <n v="0"/>
    <n v="-0.69452899999999995"/>
    <n v="1.9735199999999999"/>
    <n v="1.9735199999999999"/>
    <n v="0"/>
    <n v="5"/>
    <n v="0"/>
    <n v="0"/>
    <n v="0.99990000000000001"/>
    <s v="[]"/>
    <s v="[&quot;W_2627&quot;, &quot;W_2783&quot;, &quot;W_176&quot;, &quot;W_895&quot;]"/>
    <n v="0"/>
    <n v="5.8079599999999996"/>
    <n v="6.0059699999999996"/>
    <n v="0"/>
    <n v="1.8311200000000001"/>
    <n v="0"/>
    <n v="4"/>
    <n v="0"/>
    <n v="254.83600000000001"/>
    <n v="7.05342"/>
  </r>
  <r>
    <x v="434"/>
    <n v="763846463"/>
    <s v="C_0"/>
    <n v="-22.887"/>
    <n v="1.91351"/>
    <n v="-22.887"/>
    <n v="0"/>
    <n v="0"/>
    <n v="-0.69452899999999995"/>
    <n v="1.93405"/>
    <n v="1.93405"/>
    <n v="0"/>
    <n v="5"/>
    <n v="0"/>
    <n v="0"/>
    <n v="0.99990000000000001"/>
    <s v="[]"/>
    <s v="[&quot;W_2627&quot;, &quot;W_2783&quot;, &quot;W_176&quot;, &quot;W_895&quot;]"/>
    <n v="0"/>
    <n v="6.1917999999999997"/>
    <n v="5.9662300000000004"/>
    <n v="22.587800000000001"/>
    <n v="1.8311200000000001"/>
    <n v="1.6884300000000001"/>
    <n v="4"/>
    <n v="74.361199999999997"/>
    <n v="272.697"/>
    <n v="7.0190900000000003"/>
  </r>
  <r>
    <x v="435"/>
    <n v="21935687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0716799999999997"/>
    <n v="5.8870899999999997"/>
    <n v="0"/>
    <n v="1.8311200000000001"/>
    <n v="0"/>
    <n v="4"/>
    <n v="0"/>
    <n v="266.72899999999998"/>
    <n v="7.0190900000000003"/>
  </r>
  <r>
    <x v="436"/>
    <n v="410799490"/>
    <s v="C_0"/>
    <n v="-20.565999999999999"/>
    <n v="1.91351"/>
    <n v="-20.5659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515599999999997"/>
    <n v="5.9465500000000002"/>
    <n v="20.393000000000001"/>
    <n v="1.8311200000000001"/>
    <n v="1.3999900000000001"/>
    <n v="4"/>
    <n v="61.874000000000002"/>
    <n v="285.13400000000001"/>
    <n v="6.99594"/>
  </r>
  <r>
    <x v="437"/>
    <n v="9787384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314399999999997"/>
    <n v="5.97628"/>
    <n v="0"/>
    <n v="1.8311200000000001"/>
    <n v="0"/>
    <n v="4"/>
    <n v="0"/>
    <n v="282.16399999999999"/>
    <n v="6.99594"/>
  </r>
  <r>
    <x v="438"/>
    <n v="12211408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113199999999997"/>
    <n v="5.9911399999999997"/>
    <n v="0"/>
    <n v="1.8311200000000001"/>
    <n v="0"/>
    <n v="4"/>
    <n v="0"/>
    <n v="278.02699999999999"/>
    <n v="6.99594"/>
  </r>
  <r>
    <x v="439"/>
    <n v="87826271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0911999999999997"/>
    <n v="5.99857"/>
    <n v="0"/>
    <n v="1.8311200000000001"/>
    <n v="0"/>
    <n v="4"/>
    <n v="0"/>
    <n v="274.08300000000003"/>
    <n v="6.99594"/>
  </r>
  <r>
    <x v="440"/>
    <n v="68038553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5.9710799999999997"/>
    <n v="6.0022900000000003"/>
    <n v="0"/>
    <n v="1.8311200000000001"/>
    <n v="0"/>
    <n v="4"/>
    <n v="0"/>
    <n v="270.45400000000001"/>
    <n v="6.99594"/>
  </r>
  <r>
    <x v="441"/>
    <n v="614636719"/>
    <s v="C_0"/>
    <n v="-0.19522600000000001"/>
    <n v="1.91351"/>
    <n v="-0.19522600000000001"/>
    <n v="0"/>
    <n v="0"/>
    <n v="-0.69452899999999995"/>
    <n v="1.98837"/>
    <n v="1.98837"/>
    <n v="0"/>
    <n v="5"/>
    <n v="0"/>
    <n v="0"/>
    <n v="0.99990000000000001"/>
    <s v="[]"/>
    <s v="[&quot;W_2627&quot;, &quot;W_2783&quot;, &quot;W_176&quot;, &quot;W_895&quot;]"/>
    <n v="0"/>
    <n v="5.8516599999999999"/>
    <n v="6.0041500000000001"/>
    <n v="0"/>
    <n v="1.8311200000000001"/>
    <n v="0"/>
    <n v="4"/>
    <n v="0"/>
    <n v="267.39"/>
    <n v="6.99594"/>
  </r>
  <r>
    <x v="442"/>
    <n v="667089082"/>
    <s v="C_0"/>
    <n v="-0.27132200000000001"/>
    <n v="1.91351"/>
    <n v="-0.27132200000000001"/>
    <n v="0"/>
    <n v="0"/>
    <n v="-0.69452899999999995"/>
    <n v="1.9486000000000001"/>
    <n v="1.9486000000000001"/>
    <n v="0"/>
    <n v="5"/>
    <n v="0"/>
    <n v="0"/>
    <n v="0.99990000000000001"/>
    <s v="[]"/>
    <s v="[&quot;W_2627&quot;, &quot;W_2783&quot;, &quot;W_176&quot;, &quot;W_895&quot;]"/>
    <n v="0"/>
    <n v="5.7346199999999996"/>
    <n v="5.9876100000000001"/>
    <n v="0"/>
    <n v="1.8311200000000001"/>
    <n v="0"/>
    <n v="4"/>
    <n v="0"/>
    <n v="263.48399999999998"/>
    <n v="6.99594"/>
  </r>
  <r>
    <x v="443"/>
    <n v="754475882"/>
    <s v="C_0"/>
    <n v="-0.34589500000000001"/>
    <n v="1.91351"/>
    <n v="-0.34589500000000001"/>
    <n v="0"/>
    <n v="0"/>
    <n v="-0.69452899999999995"/>
    <n v="1.9096299999999999"/>
    <n v="1.9096299999999999"/>
    <n v="0"/>
    <n v="5"/>
    <n v="0"/>
    <n v="0"/>
    <n v="0.99990000000000001"/>
    <s v="[]"/>
    <s v="[&quot;W_2627&quot;, &quot;W_2783&quot;, &quot;W_176&quot;, &quot;W_895&quot;]"/>
    <n v="0"/>
    <n v="5.6199300000000001"/>
    <n v="5.9196400000000002"/>
    <n v="0"/>
    <n v="1.8311200000000001"/>
    <n v="0"/>
    <n v="4"/>
    <n v="0"/>
    <n v="259.45499999999998"/>
    <n v="6.99594"/>
  </r>
  <r>
    <x v="444"/>
    <n v="664340012"/>
    <s v="C_0"/>
    <n v="-0.41897699999999999"/>
    <n v="1.91351"/>
    <n v="-0.41897699999999999"/>
    <n v="0"/>
    <n v="0"/>
    <n v="-0.69452899999999995"/>
    <n v="1.87144"/>
    <n v="1.87144"/>
    <n v="0"/>
    <n v="5"/>
    <n v="0"/>
    <n v="0"/>
    <n v="0.99990000000000001"/>
    <s v="[]"/>
    <s v="[&quot;W_2627&quot;, &quot;W_2783&quot;, &quot;W_176&quot;, &quot;W_895&quot;]"/>
    <n v="0"/>
    <n v="5.50753"/>
    <n v="5.8271300000000004"/>
    <n v="0"/>
    <n v="1.8311200000000001"/>
    <n v="0"/>
    <n v="4"/>
    <n v="0"/>
    <n v="259.32"/>
    <n v="6.99594"/>
  </r>
  <r>
    <x v="445"/>
    <n v="662731058"/>
    <s v="C_0"/>
    <n v="-0.49059799999999998"/>
    <n v="1.91351"/>
    <n v="-0.49059799999999998"/>
    <n v="0"/>
    <n v="0"/>
    <n v="-0.69452899999999995"/>
    <n v="1.8340099999999999"/>
    <n v="1.8340099999999999"/>
    <n v="0"/>
    <n v="5"/>
    <n v="0"/>
    <n v="0"/>
    <n v="0.99990000000000001"/>
    <s v="[]"/>
    <s v="[&quot;W_2627&quot;, &quot;W_2783&quot;, &quot;W_176&quot;, &quot;W_895&quot;]"/>
    <n v="0"/>
    <n v="5.3973800000000001"/>
    <n v="5.7235300000000002"/>
    <n v="0"/>
    <n v="1.8311200000000001"/>
    <n v="0"/>
    <n v="4"/>
    <n v="0"/>
    <n v="257.964"/>
    <n v="6.99594"/>
  </r>
  <r>
    <x v="446"/>
    <n v="608743063"/>
    <s v="C_0"/>
    <n v="-48.052300000000002"/>
    <n v="1.91351"/>
    <n v="-48.052300000000002"/>
    <n v="0"/>
    <n v="0"/>
    <n v="-0.69452899999999995"/>
    <n v="1.7973300000000001"/>
    <n v="1.7973300000000001"/>
    <n v="0"/>
    <n v="5"/>
    <n v="0"/>
    <n v="0"/>
    <n v="0.99990000000000001"/>
    <s v="[]"/>
    <s v="[&quot;W_2627&quot;, &quot;W_2783&quot;, &quot;W_176&quot;, &quot;W_895&quot;]"/>
    <n v="0"/>
    <n v="6.2894300000000003"/>
    <n v="5.6155299999999997"/>
    <n v="47.491500000000002"/>
    <n v="1.8311200000000001"/>
    <n v="1.6583699999999999"/>
    <n v="4"/>
    <n v="79.504599999999996"/>
    <n v="301.52499999999998"/>
    <n v="6.6065100000000001"/>
  </r>
  <r>
    <x v="447"/>
    <n v="319927294"/>
    <s v="C_0"/>
    <n v="-30.305800000000001"/>
    <n v="1.91351"/>
    <n v="-30.3058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985800000000003"/>
    <n v="5.5064599999999997"/>
    <n v="30.132899999999999"/>
    <n v="1.8311200000000001"/>
    <n v="0.62926700000000002"/>
    <n v="4"/>
    <n v="30.396599999999999"/>
    <n v="328.404"/>
    <n v="6.47818"/>
  </r>
  <r>
    <x v="448"/>
    <n v="39947644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784600000000003"/>
    <n v="5.7562300000000004"/>
    <n v="0"/>
    <n v="1.8311200000000001"/>
    <n v="0"/>
    <n v="4"/>
    <n v="0"/>
    <n v="324.88400000000001"/>
    <n v="6.47818"/>
  </r>
  <r>
    <x v="449"/>
    <n v="82390206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583400000000003"/>
    <n v="5.8811200000000001"/>
    <n v="0"/>
    <n v="1.8311200000000001"/>
    <n v="0"/>
    <n v="4"/>
    <n v="0"/>
    <n v="320.68099999999998"/>
    <n v="6.47818"/>
  </r>
  <r>
    <x v="450"/>
    <n v="503335271"/>
    <s v="C_0"/>
    <n v="-43.927599999999998"/>
    <n v="1.91351"/>
    <n v="-43.9275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477899999999998"/>
    <n v="5.9435599999999997"/>
    <n v="43.7547"/>
    <n v="1.8311200000000001"/>
    <n v="0.90956999999999999"/>
    <n v="4"/>
    <n v="44.955300000000001"/>
    <n v="363.16300000000001"/>
    <n v="6.9924299999999997"/>
  </r>
  <r>
    <x v="451"/>
    <n v="499421395"/>
    <s v="C_0"/>
    <n v="-7.6146200000000004"/>
    <n v="1.91351"/>
    <n v="-7.614620000000000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870199999999997"/>
    <n v="5.97478"/>
    <n v="7.4416500000000001"/>
    <n v="1.8311200000000001"/>
    <n v="0.15934899999999999"/>
    <n v="4"/>
    <n v="7.9458000000000002"/>
    <n v="368.34699999999998"/>
    <n v="7.0291600000000001"/>
  </r>
  <r>
    <x v="452"/>
    <n v="11243742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668999999999997"/>
    <n v="5.9904000000000002"/>
    <n v="0"/>
    <n v="1.8311200000000001"/>
    <n v="0"/>
    <n v="4"/>
    <n v="0"/>
    <n v="366.846"/>
    <n v="7.0291600000000001"/>
  </r>
  <r>
    <x v="453"/>
    <n v="69050570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467799999999997"/>
    <n v="5.9981999999999998"/>
    <n v="0"/>
    <n v="1.8311200000000001"/>
    <n v="0"/>
    <n v="4"/>
    <n v="0"/>
    <n v="361.87599999999998"/>
    <n v="7.0291600000000001"/>
  </r>
  <r>
    <x v="454"/>
    <n v="217190435"/>
    <s v="C_0"/>
    <n v="-18.697800000000001"/>
    <n v="1.91351"/>
    <n v="-18.6978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13500000000003"/>
    <n v="6.0021000000000004"/>
    <n v="18.524899999999999"/>
    <n v="1.8311200000000001"/>
    <n v="0.39468599999999998"/>
    <n v="4"/>
    <n v="20.104399999999998"/>
    <n v="378.02699999999999"/>
    <n v="7.0613000000000001"/>
  </r>
  <r>
    <x v="455"/>
    <n v="21665925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12300000000003"/>
    <n v="6.0040500000000003"/>
    <n v="0"/>
    <n v="1.8311200000000001"/>
    <n v="0"/>
    <n v="4"/>
    <n v="0"/>
    <n v="378.346"/>
    <n v="7.0613000000000001"/>
  </r>
  <r>
    <x v="456"/>
    <n v="92819335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11100000000003"/>
    <n v="6.0050299999999996"/>
    <n v="0"/>
    <n v="1.8311200000000001"/>
    <n v="0"/>
    <n v="4"/>
    <n v="0"/>
    <n v="375.3"/>
    <n v="7.0613000000000001"/>
  </r>
  <r>
    <x v="457"/>
    <n v="21403232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09900000000003"/>
    <n v="6.0055199999999997"/>
    <n v="0"/>
    <n v="1.8311200000000001"/>
    <n v="0"/>
    <n v="4"/>
    <n v="0"/>
    <n v="373.04300000000001"/>
    <n v="7.0613000000000001"/>
  </r>
  <r>
    <x v="458"/>
    <n v="54462528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08700000000003"/>
    <n v="6.0057600000000004"/>
    <n v="0"/>
    <n v="1.8311200000000001"/>
    <n v="0"/>
    <n v="4"/>
    <n v="0"/>
    <n v="369.76799999999997"/>
    <n v="7.0613000000000001"/>
  </r>
  <r>
    <x v="459"/>
    <n v="837644506"/>
    <s v="C_0"/>
    <n v="-30.744700000000002"/>
    <n v="1.91351"/>
    <n v="-30.7447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0999999999999"/>
    <n v="6.0058800000000003"/>
    <n v="30.5717"/>
    <n v="1.8311200000000001"/>
    <n v="0.60535099999999997"/>
    <n v="4"/>
    <n v="32.609299999999998"/>
    <n v="400.03199999999998"/>
    <n v="7.0657500000000004"/>
  </r>
  <r>
    <x v="460"/>
    <n v="50227997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59799999999999"/>
    <n v="6.0059500000000003"/>
    <n v="0"/>
    <n v="1.8311200000000001"/>
    <n v="0"/>
    <n v="4"/>
    <n v="0"/>
    <n v="396.87799999999999"/>
    <n v="7.0657500000000004"/>
  </r>
  <r>
    <x v="461"/>
    <n v="11942282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58599999999999"/>
    <n v="6.0059800000000001"/>
    <n v="0"/>
    <n v="1.8311200000000001"/>
    <n v="0"/>
    <n v="4"/>
    <n v="0"/>
    <n v="396.64600000000002"/>
    <n v="7.0657500000000004"/>
  </r>
  <r>
    <x v="462"/>
    <n v="36500525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7399999999999"/>
    <n v="6.0059899999999997"/>
    <n v="0"/>
    <n v="1.8311200000000001"/>
    <n v="0"/>
    <n v="4"/>
    <n v="0"/>
    <n v="396.94200000000001"/>
    <n v="7.0657500000000004"/>
  </r>
  <r>
    <x v="463"/>
    <n v="7596611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6199999999999"/>
    <n v="6.0060000000000002"/>
    <n v="0"/>
    <n v="1.8311200000000001"/>
    <n v="0"/>
    <n v="4"/>
    <n v="0"/>
    <n v="397.83499999999998"/>
    <n v="7.0657500000000004"/>
  </r>
  <r>
    <x v="464"/>
    <n v="729177729"/>
    <s v="C_0"/>
    <n v="-29.404"/>
    <n v="1.91351"/>
    <n v="-29.404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254999999999999"/>
    <n v="6.0060000000000002"/>
    <n v="29.231100000000001"/>
    <n v="1.8311200000000001"/>
    <n v="0.60074899999999998"/>
    <n v="4"/>
    <n v="34.930100000000003"/>
    <n v="425.93599999999998"/>
    <n v="7.0658899999999996"/>
  </r>
  <r>
    <x v="465"/>
    <n v="30798407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053799999999999"/>
    <n v="6.0060000000000002"/>
    <n v="0"/>
    <n v="1.8311200000000001"/>
    <n v="0"/>
    <n v="4"/>
    <n v="0"/>
    <n v="422.51400000000001"/>
    <n v="7.0658899999999996"/>
  </r>
  <r>
    <x v="466"/>
    <n v="56161693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852599999999999"/>
    <n v="6.0060099999999998"/>
    <n v="0"/>
    <n v="1.8311200000000001"/>
    <n v="0"/>
    <n v="4"/>
    <n v="0"/>
    <n v="416.029"/>
    <n v="7.0658899999999996"/>
  </r>
  <r>
    <x v="467"/>
    <n v="49973649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651399999999999"/>
    <n v="6.0060099999999998"/>
    <n v="0"/>
    <n v="1.8311200000000001"/>
    <n v="0"/>
    <n v="4"/>
    <n v="0"/>
    <n v="410.41"/>
    <n v="7.0658899999999996"/>
  </r>
  <r>
    <x v="468"/>
    <n v="24023229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450199999999999"/>
    <n v="6.0060099999999998"/>
    <n v="0"/>
    <n v="1.8311200000000001"/>
    <n v="0"/>
    <n v="4"/>
    <n v="0"/>
    <n v="402.61200000000002"/>
    <n v="7.0658899999999996"/>
  </r>
  <r>
    <x v="469"/>
    <n v="46229777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248999999999999"/>
    <n v="6.0060099999999998"/>
    <n v="0"/>
    <n v="1.8311200000000001"/>
    <n v="0"/>
    <n v="4"/>
    <n v="0"/>
    <n v="395.67399999999998"/>
    <n v="7.0658899999999996"/>
  </r>
  <r>
    <x v="470"/>
    <n v="115732100"/>
    <s v="C_0"/>
    <n v="-40.832099999999997"/>
    <n v="1.91351"/>
    <n v="-40.83209999999999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929199999999996"/>
    <n v="6.0060099999999998"/>
    <n v="40.659100000000002"/>
    <n v="1.8311200000000001"/>
    <n v="0.82147400000000004"/>
    <n v="4"/>
    <n v="48.453400000000002"/>
    <n v="430.16199999999998"/>
    <n v="7.0658899999999996"/>
  </r>
  <r>
    <x v="471"/>
    <n v="65268679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727999999999996"/>
    <n v="6.0060099999999998"/>
    <n v="0"/>
    <n v="1.8311200000000001"/>
    <n v="0"/>
    <n v="4"/>
    <n v="0"/>
    <n v="423.44099999999997"/>
    <n v="7.0658899999999996"/>
  </r>
  <r>
    <x v="472"/>
    <n v="153815200"/>
    <s v="C_0"/>
    <n v="-21.688700000000001"/>
    <n v="1.91351"/>
    <n v="-21.6887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1.515799999999999"/>
    <n v="1.8311200000000001"/>
    <n v="0.37356600000000001"/>
    <n v="4"/>
    <n v="22.178599999999999"/>
    <n v="440.89499999999998"/>
    <n v="7.0658899999999996"/>
  </r>
  <r>
    <x v="473"/>
    <n v="13981032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437.55099999999999"/>
    <n v="7.0658899999999996"/>
  </r>
  <r>
    <x v="474"/>
    <n v="24075700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436.13600000000002"/>
    <n v="7.0658899999999996"/>
  </r>
  <r>
    <x v="475"/>
    <n v="79966290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433.25799999999998"/>
    <n v="7.0658899999999996"/>
  </r>
  <r>
    <x v="476"/>
    <n v="99155772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431.892"/>
    <n v="7.0658899999999996"/>
  </r>
  <r>
    <x v="477"/>
    <n v="21748358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432.303"/>
    <n v="7.0658899999999996"/>
  </r>
  <r>
    <x v="478"/>
    <n v="96354272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429.75"/>
    <n v="7.0658899999999996"/>
  </r>
  <r>
    <x v="479"/>
    <n v="15594598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423.99700000000001"/>
    <n v="7.0658899999999996"/>
  </r>
  <r>
    <x v="480"/>
    <n v="21477510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.96096099999999995"/>
    <n v="4"/>
    <n v="62.090299999999999"/>
    <n v="417.74"/>
    <n v="7.0658899999999996"/>
  </r>
  <r>
    <x v="481"/>
    <n v="85456242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451700000000004"/>
    <n v="6.0060099999999998"/>
    <n v="0"/>
    <n v="1.8311200000000001"/>
    <n v="0"/>
    <n v="4"/>
    <n v="0"/>
    <n v="412.59300000000002"/>
    <n v="7.0658899999999996"/>
  </r>
  <r>
    <x v="482"/>
    <n v="862976925"/>
    <s v="C_0"/>
    <n v="-50.675699999999999"/>
    <n v="1.91351"/>
    <n v="-50.6756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281399999999996"/>
    <n v="6.0060099999999998"/>
    <n v="50.502699999999997"/>
    <n v="1.8311200000000001"/>
    <n v="1.2012"/>
    <n v="4"/>
    <n v="78.802800000000005"/>
    <n v="461.06900000000002"/>
    <n v="7.0658899999999996"/>
  </r>
  <r>
    <x v="483"/>
    <n v="15538054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080199999999996"/>
    <n v="6.0060099999999998"/>
    <n v="0"/>
    <n v="1.8311200000000001"/>
    <n v="0"/>
    <n v="4"/>
    <n v="0"/>
    <n v="454.17200000000003"/>
    <n v="7.0658899999999996"/>
  </r>
  <r>
    <x v="484"/>
    <n v="777922170"/>
    <s v="C_0"/>
    <n v="-41.506799999999998"/>
    <n v="1.91351"/>
    <n v="-41.5067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1.333799999999997"/>
    <n v="1.8311200000000001"/>
    <n v="0.63835299999999995"/>
    <n v="4"/>
    <n v="42.419699999999999"/>
    <n v="493.48700000000002"/>
    <n v="7.0658899999999996"/>
  </r>
  <r>
    <x v="485"/>
    <n v="57359940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494.58100000000002"/>
    <n v="7.0658899999999996"/>
  </r>
  <r>
    <x v="486"/>
    <n v="94267822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491.01"/>
    <n v="7.0658899999999996"/>
  </r>
  <r>
    <x v="487"/>
    <n v="2607047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482.13900000000001"/>
    <n v="7.0658899999999996"/>
  </r>
  <r>
    <x v="488"/>
    <n v="14326114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474.995"/>
    <n v="7.0658899999999996"/>
  </r>
  <r>
    <x v="489"/>
    <n v="77131874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469.93"/>
    <n v="7.0658899999999996"/>
  </r>
  <r>
    <x v="490"/>
    <n v="580462080"/>
    <s v="C_0"/>
    <n v="-48.3063"/>
    <n v="1.91351"/>
    <n v="-48.3063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8.133299999999998"/>
    <n v="1.8311200000000001"/>
    <n v="0.72072099999999995"/>
    <n v="4"/>
    <n v="49.657800000000002"/>
    <n v="511.67099999999999"/>
    <n v="7.0658899999999996"/>
  </r>
  <r>
    <x v="491"/>
    <n v="73275310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05.012"/>
    <n v="7.0658899999999996"/>
  </r>
  <r>
    <x v="492"/>
    <n v="306274132"/>
    <s v="C_0"/>
    <n v="-17.715199999999999"/>
    <n v="1.91351"/>
    <n v="-17.7151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7.542200000000001"/>
    <n v="1.8311200000000001"/>
    <n v="0.24024000000000001"/>
    <n v="4"/>
    <n v="16.6861"/>
    <n v="515.79700000000003"/>
    <n v="7.0658899999999996"/>
  </r>
  <r>
    <x v="493"/>
    <n v="46098676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11.81799999999998"/>
    <n v="7.0658899999999996"/>
  </r>
  <r>
    <x v="494"/>
    <n v="95758851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510.923"/>
    <n v="7.0658899999999996"/>
  </r>
  <r>
    <x v="495"/>
    <n v="67960724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506.947"/>
    <n v="7.0658899999999996"/>
  </r>
  <r>
    <x v="496"/>
    <n v="96610145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502.94799999999998"/>
    <n v="7.0658899999999996"/>
  </r>
  <r>
    <x v="497"/>
    <n v="72389793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499.23399999999998"/>
    <n v="7.0658899999999996"/>
  </r>
  <r>
    <x v="498"/>
    <n v="84949060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492.95400000000001"/>
    <n v="7.0658899999999996"/>
  </r>
  <r>
    <x v="499"/>
    <n v="28396344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489.14800000000002"/>
    <n v="7.0658899999999996"/>
  </r>
  <r>
    <x v="500"/>
    <n v="262557037"/>
    <s v="C_0"/>
    <n v="-71.696399999999997"/>
    <n v="1.91351"/>
    <n v="-71.69639999999999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71.523399999999995"/>
    <n v="1.8311200000000001"/>
    <n v="0.96096099999999995"/>
    <n v="4"/>
    <n v="72.305499999999995"/>
    <n v="558.77200000000005"/>
    <n v="7.0658899999999996"/>
  </r>
  <r>
    <x v="501"/>
    <n v="22471001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555.67499999999995"/>
    <n v="7.0658899999999996"/>
  </r>
  <r>
    <x v="502"/>
    <n v="68215583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551.43499999999995"/>
    <n v="7.0658899999999996"/>
  </r>
  <r>
    <x v="503"/>
    <n v="9470010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546.75199999999995"/>
    <n v="7.0658899999999996"/>
  </r>
  <r>
    <x v="504"/>
    <n v="45419435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540.35900000000004"/>
    <n v="7.0658899999999996"/>
  </r>
  <r>
    <x v="505"/>
    <n v="154439856"/>
    <s v="C_0"/>
    <n v="-39.268000000000001"/>
    <n v="1.91351"/>
    <n v="-39.2680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256500000000004"/>
    <n v="6.0060099999999998"/>
    <n v="39.094999999999999"/>
    <n v="1.8311200000000001"/>
    <n v="0.60060100000000005"/>
    <n v="4"/>
    <n v="46.631799999999998"/>
    <n v="568.77800000000002"/>
    <n v="7.0658899999999996"/>
  </r>
  <r>
    <x v="506"/>
    <n v="65395140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055300000000004"/>
    <n v="6.0060099999999998"/>
    <n v="0"/>
    <n v="1.8311200000000001"/>
    <n v="0"/>
    <n v="4"/>
    <n v="0"/>
    <n v="563.10900000000004"/>
    <n v="7.0658899999999996"/>
  </r>
  <r>
    <x v="507"/>
    <n v="69005149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854100000000004"/>
    <n v="6.0060099999999998"/>
    <n v="0"/>
    <n v="1.8311200000000001"/>
    <n v="0"/>
    <n v="4"/>
    <n v="0"/>
    <n v="556.06200000000001"/>
    <n v="7.0658899999999996"/>
  </r>
  <r>
    <x v="508"/>
    <n v="93697254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652900000000004"/>
    <n v="6.0060099999999998"/>
    <n v="0"/>
    <n v="1.8311200000000001"/>
    <n v="0.46096100000000001"/>
    <n v="4"/>
    <n v="36.741300000000003"/>
    <n v="555.17399999999998"/>
    <n v="7.0658899999999996"/>
  </r>
  <r>
    <x v="509"/>
    <n v="83148647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451700000000004"/>
    <n v="6.0060099999999998"/>
    <n v="0"/>
    <n v="1.8311200000000001"/>
    <n v="0"/>
    <n v="4"/>
    <n v="0"/>
    <n v="546.15599999999995"/>
    <n v="7.0658899999999996"/>
  </r>
  <r>
    <x v="510"/>
    <n v="4292072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250500000000004"/>
    <n v="6.0060099999999998"/>
    <n v="0"/>
    <n v="1.8311200000000001"/>
    <n v="0"/>
    <n v="4"/>
    <n v="0"/>
    <n v="541.43100000000004"/>
    <n v="7.0658899999999996"/>
  </r>
  <r>
    <x v="511"/>
    <n v="66633638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049300000000004"/>
    <n v="6.0060099999999998"/>
    <n v="0"/>
    <n v="1.8311200000000001"/>
    <n v="0"/>
    <n v="4"/>
    <n v="0"/>
    <n v="535.32899999999995"/>
    <n v="7.0658899999999996"/>
  </r>
  <r>
    <x v="512"/>
    <n v="172042607"/>
    <s v="C_0"/>
    <n v="-74.996200000000002"/>
    <n v="1.91351"/>
    <n v="-74.9962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74.8232"/>
    <n v="1.8311200000000001"/>
    <n v="0.94144099999999997"/>
    <n v="4"/>
    <n v="77.007999999999996"/>
    <n v="607.452"/>
    <n v="7.0658899999999996"/>
  </r>
  <r>
    <x v="513"/>
    <n v="18467949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607.822"/>
    <n v="7.0658899999999996"/>
  </r>
  <r>
    <x v="514"/>
    <n v="49424772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610.43200000000002"/>
    <n v="7.0658899999999996"/>
  </r>
  <r>
    <x v="515"/>
    <n v="23695232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609.61099999999999"/>
    <n v="7.0658899999999996"/>
  </r>
  <r>
    <x v="516"/>
    <n v="242745223"/>
    <s v="C_0"/>
    <n v="-42.047699999999999"/>
    <n v="1.91351"/>
    <n v="-42.0476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1.8748"/>
    <n v="1.8311200000000001"/>
    <n v="0.48048000000000002"/>
    <n v="4"/>
    <n v="41.689300000000003"/>
    <n v="644.34400000000005"/>
    <n v="7.0658899999999996"/>
  </r>
  <r>
    <x v="517"/>
    <n v="764888647"/>
    <s v="C_0"/>
    <n v="-10.9786"/>
    <n v="1.91351"/>
    <n v="-10.978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10.8056"/>
    <n v="1.8311200000000001"/>
    <n v="0.12012"/>
    <n v="4"/>
    <n v="10.4832"/>
    <n v="648.10699999999997"/>
    <n v="7.0658899999999996"/>
  </r>
  <r>
    <x v="518"/>
    <n v="72480703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639.61599999999999"/>
    <n v="7.0658899999999996"/>
  </r>
  <r>
    <x v="519"/>
    <n v="23055694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635.37699999999995"/>
    <n v="7.0658899999999996"/>
  </r>
  <r>
    <x v="520"/>
    <n v="732193093"/>
    <s v="C_0"/>
    <n v="-31.962"/>
    <n v="1.91351"/>
    <n v="-31.96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1.789000000000001"/>
    <n v="1.8311200000000001"/>
    <n v="0.36036000000000001"/>
    <n v="4"/>
    <n v="32.031700000000001"/>
    <n v="660.10400000000004"/>
    <n v="7.0658899999999996"/>
  </r>
  <r>
    <x v="521"/>
    <n v="85847114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650.94600000000003"/>
    <n v="7.0658899999999996"/>
  </r>
  <r>
    <x v="522"/>
    <n v="51316285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642.22"/>
    <n v="7.0658899999999996"/>
  </r>
  <r>
    <x v="523"/>
    <n v="243851301"/>
    <s v="C_0"/>
    <n v="-32.266599999999997"/>
    <n v="1.91351"/>
    <n v="-32.26659999999999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2.093600000000002"/>
    <n v="1.8311200000000001"/>
    <n v="0.36036000000000001"/>
    <n v="4"/>
    <n v="32.450699999999998"/>
    <n v="668.73900000000003"/>
    <n v="7.0658899999999996"/>
  </r>
  <r>
    <x v="524"/>
    <n v="20510492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665.58"/>
    <n v="7.0658899999999996"/>
  </r>
  <r>
    <x v="525"/>
    <n v="392499222"/>
    <s v="C_0"/>
    <n v="-20.5626"/>
    <n v="1.91351"/>
    <n v="-20.5626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0.389600000000002"/>
    <n v="1.8311200000000001"/>
    <n v="0.24024000000000001"/>
    <n v="4"/>
    <n v="22.101199999999999"/>
    <n v="683.18700000000001"/>
    <n v="7.0658899999999996"/>
  </r>
  <r>
    <x v="526"/>
    <n v="2999662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678.15599999999995"/>
    <n v="7.0658899999999996"/>
  </r>
  <r>
    <x v="527"/>
    <n v="73289958"/>
    <s v="C_0"/>
    <n v="-22.9925"/>
    <n v="1.91351"/>
    <n v="-22.9925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2.819500000000001"/>
    <n v="1.8311200000000001"/>
    <n v="0.24024000000000001"/>
    <n v="4"/>
    <n v="22.412099999999999"/>
    <n v="692.79700000000003"/>
    <n v="7.0658899999999996"/>
  </r>
  <r>
    <x v="528"/>
    <n v="89424078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688.03"/>
    <n v="7.0658899999999996"/>
  </r>
  <r>
    <x v="529"/>
    <n v="2021913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690.06500000000005"/>
    <n v="7.0658899999999996"/>
  </r>
  <r>
    <x v="530"/>
    <n v="1637300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684.48400000000004"/>
    <n v="7.0658899999999996"/>
  </r>
  <r>
    <x v="531"/>
    <n v="423895455"/>
    <s v="C_0"/>
    <n v="-44.900199999999998"/>
    <n v="1.91351"/>
    <n v="-44.90019999999999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44.7273"/>
    <n v="1.8311200000000001"/>
    <n v="0.48048000000000002"/>
    <n v="4"/>
    <n v="47.008200000000002"/>
    <n v="726.553"/>
    <n v="7.0658899999999996"/>
  </r>
  <r>
    <x v="532"/>
    <n v="83563129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727.94899999999996"/>
    <n v="7.0658899999999996"/>
  </r>
  <r>
    <x v="533"/>
    <n v="654858300"/>
    <s v="C_0"/>
    <n v="-23.271000000000001"/>
    <n v="1.91351"/>
    <n v="-23.2710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23.098099999999999"/>
    <n v="1.8311200000000001"/>
    <n v="0.24024000000000001"/>
    <n v="4"/>
    <n v="24.2546"/>
    <n v="749.75099999999998"/>
    <n v="7.0658899999999996"/>
  </r>
  <r>
    <x v="534"/>
    <n v="83307405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747.80399999999997"/>
    <n v="7.0658899999999996"/>
  </r>
  <r>
    <x v="535"/>
    <n v="70350416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736.10500000000002"/>
    <n v="7.0658899999999996"/>
  </r>
  <r>
    <x v="536"/>
    <n v="5786462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723.01800000000003"/>
    <n v="7.0658899999999996"/>
  </r>
  <r>
    <x v="537"/>
    <n v="6526016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712.84"/>
    <n v="7.0658899999999996"/>
  </r>
  <r>
    <x v="538"/>
    <n v="374604819"/>
    <s v="C_0"/>
    <n v="-60.390900000000002"/>
    <n v="1.91351"/>
    <n v="-60.390900000000002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60.2179"/>
    <n v="1.8311200000000001"/>
    <n v="0.60060100000000005"/>
    <n v="4"/>
    <n v="62.471299999999999"/>
    <n v="772.43899999999996"/>
    <n v="7.0658899999999996"/>
  </r>
  <r>
    <x v="539"/>
    <n v="69123281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767.47299999999996"/>
    <n v="7.0658899999999996"/>
  </r>
  <r>
    <x v="540"/>
    <n v="48494748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758.96799999999996"/>
    <n v="7.0658899999999996"/>
  </r>
  <r>
    <x v="541"/>
    <n v="395702996"/>
    <s v="C_0"/>
    <n v="-38.861899999999999"/>
    <n v="1.91351"/>
    <n v="-38.8618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38.689"/>
    <n v="1.8311200000000001"/>
    <n v="0.36036000000000001"/>
    <n v="4"/>
    <n v="38.500500000000002"/>
    <n v="793.41300000000001"/>
    <n v="7.0658899999999996"/>
  </r>
  <r>
    <x v="542"/>
    <n v="62542071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782.27800000000002"/>
    <n v="7.0658899999999996"/>
  </r>
  <r>
    <x v="543"/>
    <n v="70631367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776.36599999999999"/>
    <n v="7.0658899999999996"/>
  </r>
  <r>
    <x v="544"/>
    <n v="45046936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769.04"/>
    <n v="7.0658899999999996"/>
  </r>
  <r>
    <x v="545"/>
    <n v="18531055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760.23099999999999"/>
    <n v="7.0658899999999996"/>
  </r>
  <r>
    <x v="546"/>
    <n v="64226684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755.39700000000005"/>
    <n v="7.0658899999999996"/>
  </r>
  <r>
    <x v="547"/>
    <n v="10414984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746.73599999999999"/>
    <n v="7.0658899999999996"/>
  </r>
  <r>
    <x v="548"/>
    <n v="14713419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.84084099999999995"/>
    <n v="4"/>
    <n v="94.105900000000005"/>
    <n v="737.03099999999995"/>
    <n v="7.0658899999999996"/>
  </r>
  <r>
    <x v="549"/>
    <n v="84037192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731.25900000000001"/>
    <n v="7.0658899999999996"/>
  </r>
  <r>
    <x v="550"/>
    <n v="9974941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451700000000004"/>
    <n v="6.0060099999999998"/>
    <n v="0"/>
    <n v="1.8311200000000001"/>
    <n v="0"/>
    <n v="4"/>
    <n v="0"/>
    <n v="724.01"/>
    <n v="7.0658899999999996"/>
  </r>
  <r>
    <x v="551"/>
    <n v="96698722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250500000000004"/>
    <n v="6.0060099999999998"/>
    <n v="0"/>
    <n v="1.8311200000000001"/>
    <n v="0"/>
    <n v="4"/>
    <n v="0"/>
    <n v="720.93200000000002"/>
    <n v="7.0658899999999996"/>
  </r>
  <r>
    <x v="552"/>
    <n v="78214606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049300000000004"/>
    <n v="6.0060099999999998"/>
    <n v="0"/>
    <n v="1.8311200000000001"/>
    <n v="0"/>
    <n v="4"/>
    <n v="0"/>
    <n v="712.04399999999998"/>
    <n v="7.0658899999999996"/>
  </r>
  <r>
    <x v="553"/>
    <n v="4752073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5.9848100000000004"/>
    <n v="6.0060099999999998"/>
    <n v="0"/>
    <n v="1.8311200000000001"/>
    <n v="0"/>
    <n v="4"/>
    <n v="0"/>
    <n v="706.24699999999996"/>
    <n v="7.0658899999999996"/>
  </r>
  <r>
    <x v="554"/>
    <n v="304009755"/>
    <s v="C_0"/>
    <n v="-0.186478"/>
    <n v="1.91351"/>
    <n v="-0.186478"/>
    <n v="0"/>
    <n v="0"/>
    <n v="-0.69452899999999995"/>
    <n v="1.9929399999999999"/>
    <n v="1.9929399999999999"/>
    <n v="0"/>
    <n v="5"/>
    <n v="0"/>
    <n v="0"/>
    <n v="0.99990000000000001"/>
    <s v="[]"/>
    <s v="[&quot;W_2627&quot;, &quot;W_2783&quot;, &quot;W_176&quot;, &quot;W_895&quot;]"/>
    <n v="0"/>
    <n v="5.8651099999999996"/>
    <n v="6.0060099999999998"/>
    <n v="0"/>
    <n v="1.8311200000000001"/>
    <n v="0"/>
    <n v="4"/>
    <n v="0"/>
    <n v="700.35500000000002"/>
    <n v="7.0658899999999996"/>
  </r>
  <r>
    <x v="555"/>
    <n v="306670589"/>
    <s v="C_0"/>
    <n v="-0.26274799999999998"/>
    <n v="1.91351"/>
    <n v="-0.26274799999999998"/>
    <n v="0"/>
    <n v="0"/>
    <n v="-0.69452899999999995"/>
    <n v="1.9530799999999999"/>
    <n v="1.9530799999999999"/>
    <n v="0"/>
    <n v="5"/>
    <n v="0"/>
    <n v="0"/>
    <n v="0.99990000000000001"/>
    <s v="[]"/>
    <s v="[&quot;W_2627&quot;, &quot;W_2783&quot;, &quot;W_176&quot;, &quot;W_895&quot;]"/>
    <n v="0"/>
    <n v="5.7478100000000003"/>
    <n v="5.9954099999999997"/>
    <n v="0"/>
    <n v="1.8311200000000001"/>
    <n v="0"/>
    <n v="4"/>
    <n v="0"/>
    <n v="691.94"/>
    <n v="7.0658899999999996"/>
  </r>
  <r>
    <x v="556"/>
    <n v="17435906"/>
    <s v="C_0"/>
    <n v="-0.33749299999999999"/>
    <n v="1.91351"/>
    <n v="-0.33749299999999999"/>
    <n v="0"/>
    <n v="0"/>
    <n v="-0.69452899999999995"/>
    <n v="1.9140200000000001"/>
    <n v="1.9140200000000001"/>
    <n v="0"/>
    <n v="5"/>
    <n v="0"/>
    <n v="0"/>
    <n v="0.99990000000000001"/>
    <s v="[]"/>
    <s v="[&quot;W_2627&quot;, &quot;W_2783&quot;, &quot;W_176&quot;, &quot;W_895&quot;]"/>
    <n v="0"/>
    <n v="5.6328500000000004"/>
    <n v="5.9302599999999996"/>
    <n v="0"/>
    <n v="1.8311200000000001"/>
    <n v="0"/>
    <n v="4"/>
    <n v="0"/>
    <n v="682.31100000000004"/>
    <n v="7.0658899999999996"/>
  </r>
  <r>
    <x v="557"/>
    <n v="920793874"/>
    <s v="C_0"/>
    <n v="-0.410744"/>
    <n v="1.91351"/>
    <n v="-0.410744"/>
    <n v="0"/>
    <n v="0"/>
    <n v="-0.69452899999999995"/>
    <n v="1.87574"/>
    <n v="1.87574"/>
    <n v="0"/>
    <n v="5"/>
    <n v="0"/>
    <n v="0"/>
    <n v="0.99990000000000001"/>
    <s v="[]"/>
    <s v="[&quot;W_2627&quot;, &quot;W_2783&quot;, &quot;W_176&quot;, &quot;W_895&quot;]"/>
    <n v="0"/>
    <n v="5.5202"/>
    <n v="5.8390399999999998"/>
    <n v="0"/>
    <n v="1.8311200000000001"/>
    <n v="0"/>
    <n v="4"/>
    <n v="0"/>
    <n v="670.99699999999996"/>
    <n v="7.0658899999999996"/>
  </r>
  <r>
    <x v="558"/>
    <n v="250454009"/>
    <s v="C_0"/>
    <n v="-121.878"/>
    <n v="1.91351"/>
    <n v="-121.878"/>
    <n v="0"/>
    <n v="0"/>
    <n v="-0.69452899999999995"/>
    <n v="1.83823"/>
    <n v="1.83823"/>
    <n v="0"/>
    <n v="5"/>
    <n v="0"/>
    <n v="0"/>
    <n v="0.99990000000000001"/>
    <s v="[]"/>
    <s v="[&quot;W_2627&quot;, &quot;W_2783&quot;, &quot;W_176&quot;, &quot;W_895&quot;]"/>
    <n v="0"/>
    <n v="6.3997900000000003"/>
    <n v="5.7359400000000003"/>
    <n v="121.396"/>
    <n v="1.8311200000000001"/>
    <n v="1.68685"/>
    <n v="4"/>
    <n v="207.16"/>
    <n v="785.95"/>
    <n v="6.74817"/>
  </r>
  <r>
    <x v="559"/>
    <n v="68982448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796700000000003"/>
    <n v="5.6280700000000001"/>
    <n v="0"/>
    <n v="1.8311200000000001"/>
    <n v="0"/>
    <n v="4"/>
    <n v="0"/>
    <n v="779.053"/>
    <n v="6.74817"/>
  </r>
  <r>
    <x v="560"/>
    <n v="39632138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595500000000003"/>
    <n v="5.8170400000000004"/>
    <n v="0"/>
    <n v="1.8311200000000001"/>
    <n v="0"/>
    <n v="4"/>
    <n v="0"/>
    <n v="775.654"/>
    <n v="6.74817"/>
  </r>
  <r>
    <x v="561"/>
    <n v="64115691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0394300000000003"/>
    <n v="5.9115200000000003"/>
    <n v="0"/>
    <n v="1.8311200000000001"/>
    <n v="0"/>
    <n v="4"/>
    <n v="0"/>
    <n v="769.71299999999997"/>
    <n v="6.74817"/>
  </r>
  <r>
    <x v="562"/>
    <n v="15411466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5.9193100000000003"/>
    <n v="5.9587599999999998"/>
    <n v="0"/>
    <n v="1.8311200000000001"/>
    <n v="0"/>
    <n v="4"/>
    <n v="0"/>
    <n v="755.41499999999996"/>
    <n v="6.74817"/>
  </r>
  <r>
    <x v="563"/>
    <n v="139461457"/>
    <s v="C_0"/>
    <n v="-133.58500000000001"/>
    <n v="1.91351"/>
    <n v="-133.58500000000001"/>
    <n v="0"/>
    <n v="0"/>
    <n v="-0.69452899999999995"/>
    <n v="1.97113"/>
    <n v="1.97113"/>
    <n v="0"/>
    <n v="5"/>
    <n v="0"/>
    <n v="0"/>
    <n v="0.99990000000000001"/>
    <s v="[]"/>
    <s v="[&quot;W_2627&quot;, &quot;W_2783&quot;, &quot;W_176&quot;, &quot;W_895&quot;]"/>
    <n v="0"/>
    <n v="6.8882199999999996"/>
    <n v="5.9823899999999997"/>
    <n v="133.357"/>
    <n v="1.8311200000000001"/>
    <n v="1.59738"/>
    <n v="4"/>
    <n v="203.696"/>
    <n v="878.37699999999995"/>
    <n v="7.0381"/>
  </r>
  <r>
    <x v="564"/>
    <n v="682017030"/>
    <s v="C_0"/>
    <n v="-61.526499999999999"/>
    <n v="1.91351"/>
    <n v="-61.5264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680999999999996"/>
    <n v="5.95085"/>
    <n v="61.353499999999997"/>
    <n v="1.8311200000000001"/>
    <n v="0.58884999999999998"/>
    <n v="4"/>
    <n v="74.941199999999995"/>
    <n v="924.99"/>
    <n v="7.0010000000000003"/>
  </r>
  <r>
    <x v="565"/>
    <n v="413719600"/>
    <s v="C_0"/>
    <n v="-32.2331"/>
    <n v="1.91351"/>
    <n v="-32.233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916000000000004"/>
    <n v="5.9784300000000004"/>
    <n v="32.060200000000002"/>
    <n v="1.8311200000000001"/>
    <n v="0.24362200000000001"/>
    <n v="4"/>
    <n v="31.125599999999999"/>
    <n v="944.36500000000001"/>
    <n v="7.0334399999999997"/>
  </r>
  <r>
    <x v="566"/>
    <n v="427793256"/>
    <s v="C_0"/>
    <n v="-16.538"/>
    <n v="1.91351"/>
    <n v="-16.538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089200000000002"/>
    <n v="5.9922199999999997"/>
    <n v="16.364999999999998"/>
    <n v="1.8311200000000001"/>
    <n v="0.13744600000000001"/>
    <n v="4"/>
    <n v="17.7881"/>
    <n v="958.85500000000002"/>
    <n v="7.0496699999999999"/>
  </r>
  <r>
    <x v="567"/>
    <n v="85079697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2888000000000002"/>
    <n v="5.9991099999999999"/>
    <n v="0"/>
    <n v="1.8311200000000001"/>
    <n v="0"/>
    <n v="4"/>
    <n v="0"/>
    <n v="950.20699999999999"/>
    <n v="7.0496699999999999"/>
  </r>
  <r>
    <x v="568"/>
    <n v="79531892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686800000000002"/>
    <n v="6.0025599999999999"/>
    <n v="0"/>
    <n v="1.8311200000000001"/>
    <n v="0"/>
    <n v="4"/>
    <n v="0"/>
    <n v="938.90099999999995"/>
    <n v="7.0496699999999999"/>
  </r>
  <r>
    <x v="569"/>
    <n v="74158908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485600000000002"/>
    <n v="6.0042799999999996"/>
    <n v="0"/>
    <n v="1.8311200000000001"/>
    <n v="0"/>
    <n v="4"/>
    <n v="0"/>
    <n v="935.25800000000004"/>
    <n v="7.0496699999999999"/>
  </r>
  <r>
    <x v="570"/>
    <n v="5362291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284400000000002"/>
    <n v="6.0051399999999999"/>
    <n v="0"/>
    <n v="1.8311200000000001"/>
    <n v="0"/>
    <n v="4"/>
    <n v="0"/>
    <n v="931.32799999999997"/>
    <n v="7.0496699999999999"/>
  </r>
  <r>
    <x v="571"/>
    <n v="40947491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083200000000001"/>
    <n v="6.0055800000000001"/>
    <n v="0"/>
    <n v="1.8311200000000001"/>
    <n v="0"/>
    <n v="4"/>
    <n v="0"/>
    <n v="926.70100000000002"/>
    <n v="7.0496699999999999"/>
  </r>
  <r>
    <x v="572"/>
    <n v="649284530"/>
    <s v="C_0"/>
    <n v="-94.714799999999997"/>
    <n v="1.91351"/>
    <n v="-94.714799999999997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598"/>
    <n v="6.0057900000000002"/>
    <n v="94.541799999999995"/>
    <n v="1.8311200000000001"/>
    <n v="0.73777599999999999"/>
    <n v="4"/>
    <n v="101.53100000000001"/>
    <n v="1021.95"/>
    <n v="7.0656400000000001"/>
  </r>
  <r>
    <x v="573"/>
    <n v="40087492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586"/>
    <n v="6.0058999999999996"/>
    <n v="0"/>
    <n v="1.8311200000000001"/>
    <n v="0"/>
    <n v="4"/>
    <n v="0"/>
    <n v="1013.85"/>
    <n v="7.0656400000000001"/>
  </r>
  <r>
    <x v="574"/>
    <n v="794368455"/>
    <s v="C_0"/>
    <n v="-33.083300000000001"/>
    <n v="1.91351"/>
    <n v="-33.0833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1799999999996"/>
    <n v="6.0059500000000003"/>
    <n v="32.910299999999999"/>
    <n v="1.8311200000000001"/>
    <n v="0.24044299999999999"/>
    <n v="4"/>
    <n v="33.835700000000003"/>
    <n v="1045.03"/>
    <n v="7.0658300000000001"/>
  </r>
  <r>
    <x v="575"/>
    <n v="74650589"/>
    <s v="C_0"/>
    <n v="-16.6755"/>
    <n v="1.91351"/>
    <n v="-16.6755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199999999998"/>
    <n v="6.0059800000000001"/>
    <n v="16.502500000000001"/>
    <n v="1.8311200000000001"/>
    <n v="0.120154"/>
    <n v="4"/>
    <n v="16.9465"/>
    <n v="1047.3900000000001"/>
    <n v="7.0658599999999998"/>
  </r>
  <r>
    <x v="576"/>
    <n v="167736248"/>
    <s v="C_0"/>
    <n v="-17.752500000000001"/>
    <n v="1.91351"/>
    <n v="-17.7525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300000000003"/>
    <n v="6.0059899999999997"/>
    <n v="17.579499999999999"/>
    <n v="1.8311200000000001"/>
    <n v="0.12013699999999999"/>
    <n v="4"/>
    <n v="17.112100000000002"/>
    <n v="1057.78"/>
    <n v="7.0658700000000003"/>
  </r>
  <r>
    <x v="577"/>
    <n v="466144085"/>
    <s v="C_0"/>
    <n v="-17.735199999999999"/>
    <n v="1.91351"/>
    <n v="-17.7351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"/>
    <n v="6.0060000000000002"/>
    <n v="17.562200000000001"/>
    <n v="1.8311200000000001"/>
    <n v="0.120129"/>
    <n v="4"/>
    <n v="17.339300000000001"/>
    <n v="1071.9000000000001"/>
    <n v="7.0658799999999999"/>
  </r>
  <r>
    <x v="578"/>
    <n v="16310063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199999999999"/>
    <n v="6.0060000000000002"/>
    <n v="0"/>
    <n v="1.8311200000000001"/>
    <n v="0"/>
    <n v="4"/>
    <n v="0"/>
    <n v="1063.97"/>
    <n v="7.0658799999999999"/>
  </r>
  <r>
    <x v="579"/>
    <n v="5038665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59999999999999"/>
    <n v="6.0060000000000002"/>
    <n v="0"/>
    <n v="1.8311200000000001"/>
    <n v="0"/>
    <n v="4"/>
    <n v="0"/>
    <n v="1052.68"/>
    <n v="7.0658799999999999"/>
  </r>
  <r>
    <x v="580"/>
    <n v="292758604"/>
    <s v="C_0"/>
    <n v="-53.841200000000001"/>
    <n v="1.91351"/>
    <n v="-53.8412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4262499999999996"/>
    <n v="6.0060099999999998"/>
    <n v="53.668199999999999"/>
    <n v="1.8311200000000001"/>
    <n v="0.36036800000000002"/>
    <n v="4"/>
    <n v="53.520699999999998"/>
    <n v="1102.92"/>
    <n v="7.0658899999999996"/>
  </r>
  <r>
    <x v="581"/>
    <n v="744934638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3061299999999996"/>
    <n v="6.0060099999999998"/>
    <n v="0"/>
    <n v="1.8311200000000001"/>
    <n v="0"/>
    <n v="4"/>
    <n v="0"/>
    <n v="1089.5899999999999"/>
    <n v="7.0658899999999996"/>
  </r>
  <r>
    <x v="582"/>
    <n v="10782928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1860099999999996"/>
    <n v="6.0060099999999998"/>
    <n v="0"/>
    <n v="1.8311200000000001"/>
    <n v="0"/>
    <n v="4"/>
    <n v="0"/>
    <n v="1080.58"/>
    <n v="7.0658899999999996"/>
  </r>
  <r>
    <x v="583"/>
    <n v="18627617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7.0658899999999996"/>
    <n v="6.0060099999999998"/>
    <n v="0"/>
    <n v="1.8311200000000001"/>
    <n v="0"/>
    <n v="4"/>
    <n v="0"/>
    <n v="1070.4000000000001"/>
    <n v="7.0658899999999996"/>
  </r>
  <r>
    <x v="584"/>
    <n v="11559351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457700000000004"/>
    <n v="6.0060099999999998"/>
    <n v="0"/>
    <n v="1.8311200000000001"/>
    <n v="0"/>
    <n v="4"/>
    <n v="0"/>
    <n v="1065.49"/>
    <n v="7.0658899999999996"/>
  </r>
  <r>
    <x v="585"/>
    <n v="19369934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256500000000004"/>
    <n v="6.0060099999999998"/>
    <n v="0"/>
    <n v="1.8311200000000001"/>
    <n v="0"/>
    <n v="4"/>
    <n v="0"/>
    <n v="1053.83"/>
    <n v="7.0658899999999996"/>
  </r>
  <r>
    <x v="586"/>
    <n v="44602428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055300000000004"/>
    <n v="6.0060099999999998"/>
    <n v="0"/>
    <n v="1.8311200000000001"/>
    <n v="0"/>
    <n v="4"/>
    <n v="0"/>
    <n v="1043.03"/>
    <n v="7.0658899999999996"/>
  </r>
  <r>
    <x v="587"/>
    <n v="694452899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5854100000000004"/>
    <n v="6.0060099999999998"/>
    <n v="0"/>
    <n v="1.8311200000000001"/>
    <n v="0"/>
    <n v="4"/>
    <n v="0"/>
    <n v="1034.73"/>
    <n v="7.0658899999999996"/>
  </r>
  <r>
    <x v="588"/>
    <n v="50095463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652900000000004"/>
    <n v="6.0060099999999998"/>
    <n v="0"/>
    <n v="1.8311200000000001"/>
    <n v="0"/>
    <n v="4"/>
    <n v="0"/>
    <n v="1013.46"/>
    <n v="7.0658899999999996"/>
  </r>
  <r>
    <x v="589"/>
    <n v="911195647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451700000000004"/>
    <n v="6.0060099999999998"/>
    <n v="0"/>
    <n v="1.8311200000000001"/>
    <n v="0"/>
    <n v="4"/>
    <n v="0"/>
    <n v="995.90899999999999"/>
    <n v="7.0658899999999996"/>
  </r>
  <r>
    <x v="590"/>
    <n v="914136103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250500000000004"/>
    <n v="6.0060099999999998"/>
    <n v="0"/>
    <n v="1.8311200000000001"/>
    <n v="0"/>
    <n v="4"/>
    <n v="0"/>
    <n v="987.02700000000004"/>
    <n v="7.0658899999999996"/>
  </r>
  <r>
    <x v="591"/>
    <n v="23437527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049300000000004"/>
    <n v="6.0060099999999998"/>
    <n v="0"/>
    <n v="1.8311200000000001"/>
    <n v="0"/>
    <n v="4"/>
    <n v="0"/>
    <n v="979.75300000000004"/>
    <n v="7.0658899999999996"/>
  </r>
  <r>
    <x v="592"/>
    <n v="215198456"/>
    <s v="C_0"/>
    <n v="-159.27799999999999"/>
    <n v="1.91351"/>
    <n v="-159.27799999999999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9748099999999997"/>
    <n v="6.0060099999999998"/>
    <n v="159.10499999999999"/>
    <n v="1.8311200000000001"/>
    <n v="1.4414400000000001"/>
    <n v="4"/>
    <n v="233.905"/>
    <n v="1131.81"/>
    <n v="7.0658899999999996"/>
  </r>
  <r>
    <x v="593"/>
    <n v="64295982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8546899999999997"/>
    <n v="6.0060099999999998"/>
    <n v="0"/>
    <n v="1.8311200000000001"/>
    <n v="0"/>
    <n v="4"/>
    <n v="0"/>
    <n v="1122.97"/>
    <n v="7.0658899999999996"/>
  </r>
  <r>
    <x v="594"/>
    <n v="19970755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7345699999999997"/>
    <n v="6.0060099999999998"/>
    <n v="0"/>
    <n v="1.8311200000000001"/>
    <n v="0"/>
    <n v="4"/>
    <n v="0"/>
    <n v="1116.01"/>
    <n v="7.0658899999999996"/>
  </r>
  <r>
    <x v="595"/>
    <n v="723323844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6144499999999997"/>
    <n v="6.0060099999999998"/>
    <n v="0"/>
    <n v="1.8311200000000001"/>
    <n v="0"/>
    <n v="4"/>
    <n v="0"/>
    <n v="1111.95"/>
    <n v="7.0658899999999996"/>
  </r>
  <r>
    <x v="596"/>
    <n v="56770131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4943299999999997"/>
    <n v="6.0060099999999998"/>
    <n v="0"/>
    <n v="1.8311200000000001"/>
    <n v="0"/>
    <n v="4"/>
    <n v="0"/>
    <n v="1106.08"/>
    <n v="7.0658899999999996"/>
  </r>
  <r>
    <x v="597"/>
    <n v="542740875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3742099999999997"/>
    <n v="6.0060099999999998"/>
    <n v="0"/>
    <n v="1.8311200000000001"/>
    <n v="0"/>
    <n v="4"/>
    <n v="0"/>
    <n v="1078.46"/>
    <n v="7.0658899999999996"/>
  </r>
  <r>
    <x v="598"/>
    <n v="416745890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2540899999999997"/>
    <n v="6.0060099999999998"/>
    <n v="0"/>
    <n v="1.8311200000000001"/>
    <n v="0"/>
    <n v="4"/>
    <n v="0"/>
    <n v="1060.3399999999999"/>
    <n v="7.0658899999999996"/>
  </r>
  <r>
    <x v="599"/>
    <n v="657282236"/>
    <s v="C_0"/>
    <n v="-0.17297100000000001"/>
    <n v="1.91351"/>
    <n v="-0.17297100000000001"/>
    <n v="0"/>
    <n v="0"/>
    <n v="-0.69452899999999995"/>
    <n v="2"/>
    <n v="2"/>
    <n v="0"/>
    <n v="5"/>
    <n v="0"/>
    <n v="0"/>
    <n v="0.99990000000000001"/>
    <s v="[]"/>
    <s v="[&quot;W_2627&quot;, &quot;W_2783&quot;, &quot;W_176&quot;, &quot;W_895&quot;]"/>
    <n v="0"/>
    <n v="6.1339699999999997"/>
    <n v="6.0060099999999998"/>
    <n v="0"/>
    <n v="1.8311200000000001"/>
    <n v="0"/>
    <n v="4"/>
    <n v="0"/>
    <n v="1040.48"/>
    <n v="7.065889999999999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n v="568513272"/>
    <s v="B_0"/>
    <n v="0.15"/>
    <n v="1.91703"/>
    <n v="5.06811E-2"/>
    <n v="0.15"/>
  </r>
  <r>
    <x v="1"/>
    <n v="116381266"/>
    <s v="B_0"/>
    <n v="0.146532"/>
    <n v="2.0490699999999999"/>
    <n v="5.9796799999999997E-2"/>
    <n v="0.146532"/>
  </r>
  <r>
    <x v="2"/>
    <n v="561622615"/>
    <s v="B_0"/>
    <n v="0.16225000000000001"/>
    <n v="1.8868199999999999"/>
    <n v="5.7404900000000002E-2"/>
    <n v="0.16225000000000001"/>
  </r>
  <r>
    <x v="3"/>
    <n v="580265595"/>
    <s v="B_0"/>
    <n v="0.15174599999999999"/>
    <n v="1.73509"/>
    <n v="5.5109400000000003E-2"/>
    <n v="0.15174599999999999"/>
  </r>
  <r>
    <x v="4"/>
    <n v="92974295"/>
    <s v="B_0"/>
    <n v="0.14186399999999999"/>
    <n v="1.59412"/>
    <n v="5.2940800000000003E-2"/>
    <n v="0.14186399999999999"/>
  </r>
  <r>
    <x v="5"/>
    <n v="844295000"/>
    <s v="B_0"/>
    <n v="0.13264699999999999"/>
    <n v="1.5945800000000001"/>
    <n v="5.0841699999999997E-2"/>
    <n v="0"/>
  </r>
  <r>
    <x v="6"/>
    <n v="461579371"/>
    <s v="B_0"/>
    <n v="0.13057099999999999"/>
    <n v="1.46448"/>
    <n v="4.8826700000000001E-2"/>
    <n v="0.13057099999999999"/>
  </r>
  <r>
    <x v="7"/>
    <n v="924166741"/>
    <s v="B_0"/>
    <n v="0.12205100000000001"/>
    <n v="1.34291"/>
    <n v="4.6892799999999998E-2"/>
    <n v="0.12205100000000001"/>
  </r>
  <r>
    <x v="8"/>
    <n v="656175618"/>
    <s v="B_0"/>
    <n v="0.114038"/>
    <n v="2.1918099999999998"/>
    <n v="8.3534800000000006E-2"/>
    <n v="0.114038"/>
  </r>
  <r>
    <x v="9"/>
    <n v="290272111"/>
    <s v="B_0"/>
    <n v="0.19312499999999999"/>
    <n v="1.9997799999999999"/>
    <n v="8.0237299999999998E-2"/>
    <n v="0.19312499999999999"/>
  </r>
  <r>
    <x v="10"/>
    <n v="3764035"/>
    <s v="B_0"/>
    <n v="0.180226"/>
    <n v="1.8198000000000001"/>
    <n v="7.7037499999999995E-2"/>
    <n v="0.180226"/>
  </r>
  <r>
    <x v="11"/>
    <n v="121302646"/>
    <s v="B_0"/>
    <n v="0.16802800000000001"/>
    <n v="1.8200400000000001"/>
    <n v="7.3965699999999995E-2"/>
    <n v="0"/>
  </r>
  <r>
    <x v="12"/>
    <n v="238110832"/>
    <s v="B_0"/>
    <n v="0.164968"/>
    <n v="1.6553199999999999"/>
    <n v="7.1016700000000002E-2"/>
    <n v="0.164968"/>
  </r>
  <r>
    <x v="13"/>
    <n v="961221646"/>
    <s v="B_0"/>
    <n v="0.153783"/>
    <n v="1.50177"/>
    <n v="6.8185700000000002E-2"/>
    <n v="0.153783"/>
  </r>
  <r>
    <x v="14"/>
    <n v="831476582"/>
    <s v="B_0"/>
    <n v="0.14327400000000001"/>
    <n v="1.5020100000000001"/>
    <n v="6.5467800000000007E-2"/>
    <n v="0"/>
  </r>
  <r>
    <x v="15"/>
    <n v="104392272"/>
    <s v="B_0"/>
    <n v="0.140569"/>
    <n v="1.36168"/>
    <n v="6.2858700000000003E-2"/>
    <n v="0.140569"/>
  </r>
  <r>
    <x v="16"/>
    <n v="916001675"/>
    <s v="B_0"/>
    <n v="0.130943"/>
    <n v="1.23098"/>
    <n v="6.0353900000000002E-2"/>
    <n v="0.130943"/>
  </r>
  <r>
    <x v="17"/>
    <n v="936052797"/>
    <s v="B_0"/>
    <n v="0.121903"/>
    <n v="1.10931"/>
    <n v="5.7949199999999999E-2"/>
    <n v="0.121903"/>
  </r>
  <r>
    <x v="18"/>
    <n v="77616671"/>
    <s v="B_0"/>
    <n v="0.113415"/>
    <n v="1.4916"/>
    <n v="7.5459100000000001E-2"/>
    <n v="0.113415"/>
  </r>
  <r>
    <x v="19"/>
    <n v="680394204"/>
    <s v="B_0"/>
    <n v="0.15003900000000001"/>
    <n v="1.3431"/>
    <n v="7.25026E-2"/>
    <n v="0.15003900000000001"/>
  </r>
  <r>
    <x v="20"/>
    <n v="658983578"/>
    <s v="B_0"/>
    <n v="0.139658"/>
    <n v="1.2041500000000001"/>
    <n v="6.9630600000000001E-2"/>
    <n v="0.139658"/>
  </r>
  <r>
    <x v="21"/>
    <n v="211060894"/>
    <s v="B_0"/>
    <n v="0.12983800000000001"/>
    <n v="1.07467"/>
    <n v="6.6859699999999994E-2"/>
    <n v="0.12983800000000001"/>
  </r>
  <r>
    <x v="22"/>
    <n v="770567819"/>
    <s v="B_0"/>
    <n v="0.12059300000000001"/>
    <n v="0.95480600000000004"/>
    <n v="6.4214499999999994E-2"/>
    <n v="0.12059300000000001"/>
  </r>
  <r>
    <x v="23"/>
    <n v="501229029"/>
    <s v="B_0"/>
    <n v="0.111955"/>
    <n v="0.84406899999999996"/>
    <n v="6.1694699999999998E-2"/>
    <n v="0.111955"/>
  </r>
  <r>
    <x v="24"/>
    <n v="276334154"/>
    <s v="B_0"/>
    <n v="0.103898"/>
    <n v="0.74100100000000002"/>
    <n v="5.9260100000000003E-2"/>
    <n v="0.103898"/>
  </r>
  <r>
    <x v="25"/>
    <n v="502571959"/>
    <s v="B_0"/>
    <n v="9.6310199999999999E-2"/>
    <n v="0.64707999999999999"/>
    <n v="5.69852E-2"/>
    <n v="9.6310199999999999E-2"/>
  </r>
  <r>
    <x v="26"/>
    <n v="131486380"/>
    <s v="B_0"/>
    <n v="8.9339199999999994E-2"/>
    <n v="0.55774000000000001"/>
    <n v="5.4705799999999999E-2"/>
    <n v="8.9339199999999994E-2"/>
  </r>
  <r>
    <x v="27"/>
    <n v="811259257"/>
    <s v="B_0"/>
    <n v="8.2592899999999997E-2"/>
    <n v="0.47739300000000001"/>
    <n v="5.2607399999999999E-2"/>
    <n v="8.2592899999999997E-2"/>
  </r>
  <r>
    <x v="28"/>
    <n v="802722953"/>
    <s v="B_0"/>
    <n v="7.6477000000000003E-2"/>
    <n v="0.40091599999999999"/>
    <n v="5.0503100000000002E-2"/>
    <n v="7.6477000000000003E-2"/>
  </r>
  <r>
    <x v="29"/>
    <n v="61986554"/>
    <s v="B_0"/>
    <n v="7.0548899999999998E-2"/>
    <n v="0.33153700000000003"/>
    <n v="4.8529799999999998E-2"/>
    <n v="7.0548899999999998E-2"/>
  </r>
  <r>
    <x v="30"/>
    <n v="238863426"/>
    <s v="B_0"/>
    <n v="6.5106700000000003E-2"/>
    <n v="0.26949299999999998"/>
    <n v="4.6711099999999998E-2"/>
    <n v="6.5106700000000003E-2"/>
  </r>
  <r>
    <x v="31"/>
    <n v="56500805"/>
    <s v="B_0"/>
    <n v="6.0185799999999998E-2"/>
    <n v="0.50685000000000002"/>
    <n v="5.67444E-2"/>
    <n v="6.0185799999999998E-2"/>
  </r>
  <r>
    <x v="32"/>
    <n v="578502809"/>
    <s v="B_0"/>
    <n v="8.2086900000000004E-2"/>
    <n v="0.424763"/>
    <n v="5.4474599999999998E-2"/>
    <n v="8.2086900000000004E-2"/>
  </r>
  <r>
    <x v="33"/>
    <n v="798280695"/>
    <s v="B_0"/>
    <n v="7.5712699999999994E-2"/>
    <n v="0.34999000000000002"/>
    <n v="5.2333200000000003E-2"/>
    <n v="7.5712699999999994E-2"/>
  </r>
  <r>
    <x v="34"/>
    <n v="963350314"/>
    <s v="B_0"/>
    <n v="6.9832699999999998E-2"/>
    <n v="0.28471800000000003"/>
    <n v="5.0422300000000003E-2"/>
    <n v="6.9832699999999998E-2"/>
  </r>
  <r>
    <x v="35"/>
    <n v="519322908"/>
    <s v="B_0"/>
    <n v="6.4658199999999999E-2"/>
    <n v="0.22006000000000001"/>
    <n v="4.8405400000000001E-2"/>
    <n v="6.4658199999999999E-2"/>
  </r>
  <r>
    <x v="36"/>
    <n v="26405910"/>
    <s v="B_0"/>
    <n v="5.94084E-2"/>
    <n v="0.22006000000000001"/>
    <n v="4.6469200000000002E-2"/>
    <n v="0"/>
  </r>
  <r>
    <x v="37"/>
    <n v="789979588"/>
    <s v="B_0"/>
    <n v="5.7472200000000001E-2"/>
    <n v="0.164521"/>
    <n v="4.46878E-2"/>
    <n v="5.7472200000000001E-2"/>
  </r>
  <r>
    <x v="38"/>
    <n v="258068337"/>
    <s v="B_0"/>
    <n v="5.2913799999999997E-2"/>
    <n v="0.65700199999999997"/>
    <n v="6.4716099999999999E-2"/>
    <n v="5.2913799999999997E-2"/>
  </r>
  <r>
    <x v="39"/>
    <n v="882293954"/>
    <s v="B_0"/>
    <n v="9.7566200000000006E-2"/>
    <n v="0.55943600000000004"/>
    <n v="6.2127399999999999E-2"/>
    <n v="9.7566200000000006E-2"/>
  </r>
  <r>
    <x v="40"/>
    <n v="696091386"/>
    <s v="B_0"/>
    <n v="9.0099200000000004E-2"/>
    <n v="0.47360099999999999"/>
    <n v="5.9812900000000002E-2"/>
    <n v="9.0099200000000004E-2"/>
  </r>
  <r>
    <x v="41"/>
    <n v="139397762"/>
    <s v="B_0"/>
    <n v="8.3492899999999995E-2"/>
    <n v="0.396038"/>
    <n v="5.7657600000000003E-2"/>
    <n v="8.3492899999999995E-2"/>
  </r>
  <r>
    <x v="42"/>
    <n v="404803651"/>
    <s v="B_0"/>
    <n v="7.7459500000000001E-2"/>
    <n v="0.323764"/>
    <n v="5.5558700000000003E-2"/>
    <n v="7.7459500000000001E-2"/>
  </r>
  <r>
    <x v="43"/>
    <n v="711004912"/>
    <s v="B_0"/>
    <n v="7.1746900000000002E-2"/>
    <n v="0.25656400000000001"/>
    <n v="5.3518200000000002E-2"/>
    <n v="7.1746900000000002E-2"/>
  </r>
  <r>
    <x v="44"/>
    <n v="213932851"/>
    <s v="B_0"/>
    <n v="6.63464E-2"/>
    <n v="0.202013"/>
    <n v="5.1849300000000001E-2"/>
    <n v="6.63464E-2"/>
  </r>
  <r>
    <x v="45"/>
    <n v="124159291"/>
    <s v="B_0"/>
    <n v="6.1949999999999998E-2"/>
    <n v="0.1497"/>
    <n v="5.0160799999999998E-2"/>
    <n v="6.1949999999999998E-2"/>
  </r>
  <r>
    <x v="46"/>
    <n v="579575343"/>
    <s v="B_0"/>
    <n v="5.7645799999999997E-2"/>
    <n v="9.2053800000000005E-2"/>
    <n v="4.81544E-2"/>
    <n v="5.7645799999999997E-2"/>
  </r>
  <r>
    <x v="47"/>
    <n v="116845730"/>
    <s v="B_0"/>
    <n v="5.2757100000000001E-2"/>
    <n v="9.6004599999999995E-2"/>
    <n v="4.6386200000000002E-2"/>
    <n v="0"/>
  </r>
  <r>
    <x v="48"/>
    <n v="524959716"/>
    <s v="B_0"/>
    <n v="5.11864E-2"/>
    <n v="4.48181E-2"/>
    <n v="4.4530800000000002E-2"/>
    <n v="5.11864E-2"/>
  </r>
  <r>
    <x v="49"/>
    <n v="757509101"/>
    <s v="B_0"/>
    <n v="4.48181E-2"/>
    <n v="0.46976800000000002"/>
    <n v="6.1540299999999999E-2"/>
    <n v="4.48181E-2"/>
  </r>
  <r>
    <x v="50"/>
    <n v="752074527"/>
    <s v="B_0"/>
    <n v="8.5028699999999999E-2"/>
    <n v="0.39418199999999998"/>
    <n v="5.9456299999999997E-2"/>
    <n v="8.5028699999999999E-2"/>
  </r>
  <r>
    <x v="51"/>
    <n v="731272528"/>
    <s v="B_0"/>
    <n v="7.91655E-2"/>
    <n v="0.317222"/>
    <n v="5.7166300000000003E-2"/>
    <n v="7.91655E-2"/>
  </r>
  <r>
    <x v="52"/>
    <n v="936623480"/>
    <s v="B_0"/>
    <n v="7.3027499999999995E-2"/>
    <n v="0.25283699999999998"/>
    <n v="5.5225400000000001E-2"/>
    <n v="7.3027499999999995E-2"/>
  </r>
  <r>
    <x v="53"/>
    <n v="695622944"/>
    <s v="B_0"/>
    <n v="6.7867200000000003E-2"/>
    <n v="0.19242600000000001"/>
    <n v="5.3314599999999997E-2"/>
    <n v="6.7867200000000003E-2"/>
  </r>
  <r>
    <x v="54"/>
    <n v="820378914"/>
    <s v="B_0"/>
    <n v="6.2935900000000003E-2"/>
    <n v="0.12948999999999999"/>
    <n v="5.1181999999999998E-2"/>
    <n v="6.2935900000000003E-2"/>
  </r>
  <r>
    <x v="55"/>
    <n v="49883617"/>
    <s v="B_0"/>
    <n v="5.7656499999999999E-2"/>
    <n v="7.1833900000000006E-2"/>
    <n v="4.9134700000000003E-2"/>
    <n v="5.7656499999999999E-2"/>
  </r>
  <r>
    <x v="56"/>
    <n v="327204046"/>
    <s v="B_0"/>
    <n v="5.27264E-2"/>
    <n v="1.9107499999999999E-2"/>
    <n v="4.71694E-2"/>
    <n v="5.27264E-2"/>
  </r>
  <r>
    <x v="57"/>
    <n v="737990378"/>
    <s v="B_0"/>
    <n v="1.9107499999999999E-2"/>
    <n v="0"/>
    <n v="4.5282599999999999E-2"/>
    <n v="1.9107499999999999E-2"/>
  </r>
  <r>
    <x v="58"/>
    <n v="605582596"/>
    <s v="B_0"/>
    <n v="0"/>
    <n v="0"/>
    <n v="4.3471299999999997E-2"/>
    <n v="0"/>
  </r>
  <r>
    <x v="59"/>
    <n v="577084075"/>
    <s v="B_0"/>
    <n v="0"/>
    <n v="7.2414899999999997E-3"/>
    <n v="4.20221E-2"/>
    <n v="0"/>
  </r>
  <r>
    <x v="60"/>
    <n v="578649092"/>
    <s v="B_0"/>
    <n v="7.2414899999999997E-3"/>
    <n v="0"/>
    <n v="4.0341200000000001E-2"/>
    <n v="7.2414899999999997E-3"/>
  </r>
  <r>
    <x v="61"/>
    <n v="454409803"/>
    <s v="B_0"/>
    <n v="0"/>
    <n v="0"/>
    <n v="3.8727600000000001E-2"/>
    <n v="0"/>
  </r>
  <r>
    <x v="62"/>
    <n v="9834243"/>
    <s v="B_0"/>
    <n v="0"/>
    <n v="0"/>
    <n v="3.7178500000000003E-2"/>
    <n v="0"/>
  </r>
  <r>
    <x v="63"/>
    <n v="481639408"/>
    <s v="B_0"/>
    <n v="0"/>
    <n v="8.4332299999999999E-3"/>
    <n v="3.6028600000000001E-2"/>
    <n v="0"/>
  </r>
  <r>
    <x v="64"/>
    <n v="64469925"/>
    <s v="B_0"/>
    <n v="8.4332299999999999E-3"/>
    <n v="0"/>
    <n v="3.45875E-2"/>
    <n v="8.4332299999999999E-3"/>
  </r>
  <r>
    <x v="65"/>
    <n v="576255941"/>
    <s v="B_0"/>
    <n v="0"/>
    <n v="5.4109500000000001E-4"/>
    <n v="3.3225600000000001E-2"/>
    <n v="0"/>
  </r>
  <r>
    <x v="66"/>
    <n v="97464052"/>
    <s v="B_0"/>
    <n v="5.4109500000000001E-4"/>
    <n v="5.4109500000000001E-4"/>
    <n v="3.1896599999999997E-2"/>
    <n v="0"/>
  </r>
  <r>
    <x v="67"/>
    <n v="838240484"/>
    <s v="B_0"/>
    <n v="5.4109500000000001E-4"/>
    <n v="0"/>
    <n v="3.06208E-2"/>
    <n v="5.4109500000000001E-4"/>
  </r>
  <r>
    <x v="68"/>
    <n v="802090407"/>
    <s v="B_0"/>
    <n v="0"/>
    <n v="0"/>
    <n v="2.9395899999999999E-2"/>
    <n v="0"/>
  </r>
  <r>
    <x v="69"/>
    <n v="432857668"/>
    <s v="B_0"/>
    <n v="0"/>
    <n v="0"/>
    <n v="2.8220100000000001E-2"/>
    <n v="0"/>
  </r>
  <r>
    <x v="70"/>
    <n v="862982991"/>
    <s v="B_0"/>
    <n v="0"/>
    <n v="4.4302700000000003E-4"/>
    <n v="2.7109000000000001E-2"/>
    <n v="0"/>
  </r>
  <r>
    <x v="71"/>
    <n v="506005329"/>
    <s v="B_0"/>
    <n v="0"/>
    <n v="0"/>
    <n v="2.6024599999999998E-2"/>
    <n v="0"/>
  </r>
  <r>
    <x v="72"/>
    <n v="506080158"/>
    <s v="B_0"/>
    <n v="0"/>
    <n v="0"/>
    <n v="2.4983700000000001E-2"/>
    <n v="0"/>
  </r>
  <r>
    <x v="73"/>
    <n v="837796974"/>
    <s v="B_0"/>
    <n v="0"/>
    <n v="6.5406400000000003E-3"/>
    <n v="2.4245900000000001E-2"/>
    <n v="0"/>
  </r>
  <r>
    <x v="74"/>
    <n v="300223173"/>
    <s v="B_0"/>
    <n v="0"/>
    <n v="0"/>
    <n v="2.3276100000000001E-2"/>
    <n v="0"/>
  </r>
  <r>
    <x v="75"/>
    <n v="766130737"/>
    <s v="B_0"/>
    <n v="0"/>
    <n v="0"/>
    <n v="2.23451E-2"/>
    <n v="0"/>
  </r>
  <r>
    <x v="76"/>
    <n v="490787890"/>
    <s v="B_0"/>
    <n v="0"/>
    <n v="0"/>
    <n v="2.14513E-2"/>
    <n v="0"/>
  </r>
  <r>
    <x v="77"/>
    <n v="186812278"/>
    <s v="B_0"/>
    <n v="0"/>
    <n v="0"/>
    <n v="2.0593199999999999E-2"/>
    <n v="0"/>
  </r>
  <r>
    <x v="78"/>
    <n v="702691503"/>
    <s v="B_0"/>
    <n v="0"/>
    <n v="0"/>
    <n v="1.9769499999999999E-2"/>
    <n v="0"/>
  </r>
  <r>
    <x v="79"/>
    <n v="302667780"/>
    <s v="B_0"/>
    <n v="0"/>
    <n v="0"/>
    <n v="1.8978700000000001E-2"/>
    <n v="0"/>
  </r>
  <r>
    <x v="80"/>
    <n v="91319182"/>
    <s v="B_0"/>
    <n v="0"/>
    <n v="0"/>
    <n v="1.82195E-2"/>
    <n v="0"/>
  </r>
  <r>
    <x v="81"/>
    <n v="402367222"/>
    <s v="B_0"/>
    <n v="0"/>
    <n v="0"/>
    <n v="1.7490800000000001E-2"/>
    <n v="0"/>
  </r>
  <r>
    <x v="82"/>
    <n v="79197749"/>
    <s v="B_0"/>
    <n v="0"/>
    <n v="0"/>
    <n v="1.67911E-2"/>
    <n v="0"/>
  </r>
  <r>
    <x v="83"/>
    <n v="704068245"/>
    <s v="B_0"/>
    <n v="0"/>
    <n v="1.51173E-2"/>
    <n v="1.6724200000000002E-2"/>
    <n v="0"/>
  </r>
  <r>
    <x v="84"/>
    <n v="422263071"/>
    <s v="B_0"/>
    <n v="0"/>
    <n v="0"/>
    <n v="1.6055199999999999E-2"/>
    <n v="0"/>
  </r>
  <r>
    <x v="85"/>
    <n v="459418317"/>
    <s v="B_0"/>
    <n v="0"/>
    <n v="0"/>
    <n v="1.5413E-2"/>
    <n v="0"/>
  </r>
  <r>
    <x v="86"/>
    <n v="341241262"/>
    <s v="B_0"/>
    <n v="0"/>
    <n v="0"/>
    <n v="1.4796500000000001E-2"/>
    <n v="0"/>
  </r>
  <r>
    <x v="87"/>
    <n v="962936925"/>
    <s v="B_0"/>
    <n v="0"/>
    <n v="0"/>
    <n v="1.42046E-2"/>
    <n v="0"/>
  </r>
  <r>
    <x v="88"/>
    <n v="870353475"/>
    <s v="B_0"/>
    <n v="0"/>
    <n v="0"/>
    <n v="1.36364E-2"/>
    <n v="0"/>
  </r>
  <r>
    <x v="89"/>
    <n v="445570690"/>
    <s v="B_0"/>
    <n v="0"/>
    <n v="0"/>
    <n v="1.3091E-2"/>
    <n v="0"/>
  </r>
  <r>
    <x v="90"/>
    <n v="125574090"/>
    <s v="B_0"/>
    <n v="0"/>
    <n v="0"/>
    <n v="1.25673E-2"/>
    <n v="0"/>
  </r>
  <r>
    <x v="91"/>
    <n v="62447300"/>
    <s v="B_0"/>
    <n v="0"/>
    <n v="0"/>
    <n v="1.2064699999999999E-2"/>
    <n v="0"/>
  </r>
  <r>
    <x v="92"/>
    <n v="861976170"/>
    <s v="B_0"/>
    <n v="0"/>
    <n v="0"/>
    <n v="1.15821E-2"/>
    <n v="0"/>
  </r>
  <r>
    <x v="93"/>
    <n v="130599393"/>
    <s v="B_0"/>
    <n v="0"/>
    <n v="0"/>
    <n v="1.11188E-2"/>
    <n v="0"/>
  </r>
  <r>
    <x v="94"/>
    <n v="606449881"/>
    <s v="B_0"/>
    <n v="0"/>
    <n v="0"/>
    <n v="1.0673999999999999E-2"/>
    <n v="0"/>
  </r>
  <r>
    <x v="95"/>
    <n v="933213130"/>
    <s v="B_0"/>
    <n v="0"/>
    <n v="0"/>
    <n v="1.02471E-2"/>
    <n v="0"/>
  </r>
  <r>
    <x v="96"/>
    <n v="841486551"/>
    <s v="B_0"/>
    <n v="0"/>
    <n v="0"/>
    <n v="9.8371900000000009E-3"/>
    <n v="0"/>
  </r>
  <r>
    <x v="97"/>
    <n v="15594369"/>
    <s v="B_0"/>
    <n v="0"/>
    <n v="0"/>
    <n v="9.4436999999999993E-3"/>
    <n v="0"/>
  </r>
  <r>
    <x v="98"/>
    <n v="768189608"/>
    <s v="B_0"/>
    <n v="0"/>
    <n v="0"/>
    <n v="9.0659499999999997E-3"/>
    <n v="0"/>
  </r>
  <r>
    <x v="99"/>
    <n v="911298003"/>
    <s v="B_0"/>
    <n v="0"/>
    <n v="0"/>
    <n v="8.7033100000000006E-3"/>
    <n v="0"/>
  </r>
  <r>
    <x v="100"/>
    <n v="637640609"/>
    <s v="B_0"/>
    <n v="0"/>
    <n v="0"/>
    <n v="8.3551800000000002E-3"/>
    <n v="0"/>
  </r>
  <r>
    <x v="101"/>
    <n v="742098497"/>
    <s v="B_0"/>
    <n v="0"/>
    <n v="0"/>
    <n v="8.0209700000000005E-3"/>
    <n v="0"/>
  </r>
  <r>
    <x v="102"/>
    <n v="874457708"/>
    <s v="B_0"/>
    <n v="0"/>
    <n v="0"/>
    <n v="7.7001400000000003E-3"/>
    <n v="0"/>
  </r>
  <r>
    <x v="103"/>
    <n v="80630140"/>
    <s v="B_0"/>
    <n v="0"/>
    <n v="0"/>
    <n v="7.3921300000000002E-3"/>
    <n v="0"/>
  </r>
  <r>
    <x v="104"/>
    <n v="682691133"/>
    <s v="B_0"/>
    <n v="0"/>
    <n v="0"/>
    <n v="7.0964399999999999E-3"/>
    <n v="0"/>
  </r>
  <r>
    <x v="105"/>
    <n v="427865688"/>
    <s v="B_0"/>
    <n v="0"/>
    <n v="0"/>
    <n v="6.8125900000000003E-3"/>
    <n v="0"/>
  </r>
  <r>
    <x v="106"/>
    <n v="166444688"/>
    <s v="B_0"/>
    <n v="0"/>
    <n v="0"/>
    <n v="6.5400800000000002E-3"/>
    <n v="0"/>
  </r>
  <r>
    <x v="107"/>
    <n v="153095289"/>
    <s v="B_0"/>
    <n v="0"/>
    <n v="0"/>
    <n v="6.2784800000000003E-3"/>
    <n v="0"/>
  </r>
  <r>
    <x v="108"/>
    <n v="501975820"/>
    <s v="B_0"/>
    <n v="0"/>
    <n v="0"/>
    <n v="6.02734E-3"/>
    <n v="0"/>
  </r>
  <r>
    <x v="109"/>
    <n v="17106968"/>
    <s v="B_0"/>
    <n v="0"/>
    <n v="0"/>
    <n v="5.7862499999999997E-3"/>
    <n v="0"/>
  </r>
  <r>
    <x v="110"/>
    <n v="593269862"/>
    <s v="B_0"/>
    <n v="0"/>
    <n v="0"/>
    <n v="5.5548000000000004E-3"/>
    <n v="0"/>
  </r>
  <r>
    <x v="111"/>
    <n v="992393856"/>
    <s v="B_0"/>
    <n v="0"/>
    <n v="0"/>
    <n v="5.3325999999999998E-3"/>
    <n v="0"/>
  </r>
  <r>
    <x v="112"/>
    <n v="816240382"/>
    <s v="B_0"/>
    <n v="0"/>
    <n v="0"/>
    <n v="5.1193000000000002E-3"/>
    <n v="0"/>
  </r>
  <r>
    <x v="113"/>
    <n v="91888968"/>
    <s v="B_0"/>
    <n v="0"/>
    <n v="0"/>
    <n v="4.9145300000000003E-3"/>
    <n v="0"/>
  </r>
  <r>
    <x v="114"/>
    <n v="471092618"/>
    <s v="B_0"/>
    <n v="0"/>
    <n v="0"/>
    <n v="4.7179500000000003E-3"/>
    <n v="0"/>
  </r>
  <r>
    <x v="115"/>
    <n v="317043351"/>
    <s v="B_0"/>
    <n v="0"/>
    <n v="0"/>
    <n v="4.5292300000000004E-3"/>
    <n v="0"/>
  </r>
  <r>
    <x v="116"/>
    <n v="805962990"/>
    <s v="B_0"/>
    <n v="0"/>
    <n v="0"/>
    <n v="4.3480599999999999E-3"/>
    <n v="0"/>
  </r>
  <r>
    <x v="117"/>
    <n v="920954217"/>
    <s v="B_0"/>
    <n v="0"/>
    <n v="0"/>
    <n v="4.1741399999999998E-3"/>
    <n v="0"/>
  </r>
  <r>
    <x v="118"/>
    <n v="856769218"/>
    <s v="B_0"/>
    <n v="0"/>
    <n v="0"/>
    <n v="4.00717E-3"/>
    <n v="0"/>
  </r>
  <r>
    <x v="119"/>
    <n v="796631172"/>
    <s v="B_0"/>
    <n v="0"/>
    <n v="0"/>
    <n v="3.8468899999999999E-3"/>
    <n v="0"/>
  </r>
  <r>
    <x v="120"/>
    <n v="714076111"/>
    <s v="B_0"/>
    <n v="0"/>
    <n v="0"/>
    <n v="3.69301E-3"/>
    <n v="0"/>
  </r>
  <r>
    <x v="121"/>
    <n v="97631309"/>
    <s v="B_0"/>
    <n v="0"/>
    <n v="0"/>
    <n v="3.54529E-3"/>
    <n v="0"/>
  </r>
  <r>
    <x v="122"/>
    <n v="450675632"/>
    <s v="B_0"/>
    <n v="0"/>
    <n v="0"/>
    <n v="3.40348E-3"/>
    <n v="0"/>
  </r>
  <r>
    <x v="123"/>
    <n v="200322327"/>
    <s v="B_0"/>
    <n v="0"/>
    <n v="0"/>
    <n v="3.2673400000000001E-3"/>
    <n v="0"/>
  </r>
  <r>
    <x v="124"/>
    <n v="139257017"/>
    <s v="B_0"/>
    <n v="0"/>
    <n v="0"/>
    <n v="3.1366499999999999E-3"/>
    <n v="0"/>
  </r>
  <r>
    <x v="125"/>
    <n v="707597789"/>
    <s v="B_0"/>
    <n v="0"/>
    <n v="0"/>
    <n v="3.01118E-3"/>
    <n v="0"/>
  </r>
  <r>
    <x v="126"/>
    <n v="698675811"/>
    <s v="B_0"/>
    <n v="0"/>
    <n v="0"/>
    <n v="2.8907300000000002E-3"/>
    <n v="0"/>
  </r>
  <r>
    <x v="127"/>
    <n v="889808781"/>
    <s v="B_0"/>
    <n v="0"/>
    <n v="0"/>
    <n v="2.7751E-3"/>
    <n v="0"/>
  </r>
  <r>
    <x v="128"/>
    <n v="166225787"/>
    <s v="B_0"/>
    <n v="0"/>
    <n v="0"/>
    <n v="2.6641E-3"/>
    <n v="0"/>
  </r>
  <r>
    <x v="129"/>
    <n v="79692009"/>
    <s v="B_0"/>
    <n v="0"/>
    <n v="0"/>
    <n v="2.5575400000000001E-3"/>
    <n v="0"/>
  </r>
  <r>
    <x v="130"/>
    <n v="700289104"/>
    <s v="B_0"/>
    <n v="0"/>
    <n v="0"/>
    <n v="2.4552300000000001E-3"/>
    <n v="0"/>
  </r>
  <r>
    <x v="131"/>
    <n v="786519094"/>
    <s v="B_0"/>
    <n v="0"/>
    <n v="0"/>
    <n v="2.35702E-3"/>
    <n v="0"/>
  </r>
  <r>
    <x v="132"/>
    <n v="817579004"/>
    <s v="B_0"/>
    <n v="0"/>
    <n v="0"/>
    <n v="2.2627400000000001E-3"/>
    <n v="0"/>
  </r>
  <r>
    <x v="133"/>
    <n v="862707412"/>
    <s v="B_0"/>
    <n v="0"/>
    <n v="0"/>
    <n v="2.1722299999999998E-3"/>
    <n v="0"/>
  </r>
  <r>
    <x v="134"/>
    <n v="608022599"/>
    <s v="B_0"/>
    <n v="0"/>
    <n v="0"/>
    <n v="2.0853400000000002E-3"/>
    <n v="0"/>
  </r>
  <r>
    <x v="135"/>
    <n v="183592588"/>
    <s v="B_0"/>
    <n v="0"/>
    <n v="0"/>
    <n v="2.0019299999999999E-3"/>
    <n v="0"/>
  </r>
  <r>
    <x v="136"/>
    <n v="624743927"/>
    <s v="B_0"/>
    <n v="0"/>
    <n v="0"/>
    <n v="1.9218499999999999E-3"/>
    <n v="0"/>
  </r>
  <r>
    <x v="137"/>
    <n v="290088913"/>
    <s v="B_0"/>
    <n v="0"/>
    <n v="0"/>
    <n v="1.84498E-3"/>
    <n v="0"/>
  </r>
  <r>
    <x v="138"/>
    <n v="130908304"/>
    <s v="B_0"/>
    <n v="0"/>
    <n v="0"/>
    <n v="1.77118E-3"/>
    <n v="0"/>
  </r>
  <r>
    <x v="139"/>
    <n v="196763317"/>
    <s v="B_0"/>
    <n v="0"/>
    <n v="0"/>
    <n v="1.7003299999999999E-3"/>
    <n v="0"/>
  </r>
  <r>
    <x v="140"/>
    <n v="384506102"/>
    <s v="B_0"/>
    <n v="0"/>
    <n v="0"/>
    <n v="1.63232E-3"/>
    <n v="0"/>
  </r>
  <r>
    <x v="141"/>
    <n v="249204111"/>
    <s v="B_0"/>
    <n v="0"/>
    <n v="0"/>
    <n v="1.5670300000000001E-3"/>
    <n v="0"/>
  </r>
  <r>
    <x v="142"/>
    <n v="382602851"/>
    <s v="B_0"/>
    <n v="0"/>
    <n v="0"/>
    <n v="1.50435E-3"/>
    <n v="0"/>
  </r>
  <r>
    <x v="143"/>
    <n v="216083730"/>
    <s v="B_0"/>
    <n v="0"/>
    <n v="0"/>
    <n v="1.44417E-3"/>
    <n v="0"/>
  </r>
  <r>
    <x v="144"/>
    <n v="968375681"/>
    <s v="B_0"/>
    <n v="0"/>
    <n v="0"/>
    <n v="1.3864000000000001E-3"/>
    <n v="0"/>
  </r>
  <r>
    <x v="145"/>
    <n v="459662802"/>
    <s v="B_0"/>
    <n v="0"/>
    <n v="0"/>
    <n v="1.33095E-3"/>
    <n v="0"/>
  </r>
  <r>
    <x v="146"/>
    <n v="223676795"/>
    <s v="B_0"/>
    <n v="0"/>
    <n v="0"/>
    <n v="1.27771E-3"/>
    <n v="0"/>
  </r>
  <r>
    <x v="147"/>
    <n v="460567039"/>
    <s v="B_0"/>
    <n v="0"/>
    <n v="0"/>
    <n v="1.2266E-3"/>
    <n v="0"/>
  </r>
  <r>
    <x v="148"/>
    <n v="536723214"/>
    <s v="B_0"/>
    <n v="0"/>
    <n v="0"/>
    <n v="1.1775399999999999E-3"/>
    <n v="0"/>
  </r>
  <r>
    <x v="149"/>
    <n v="175172006"/>
    <s v="B_0"/>
    <n v="0"/>
    <n v="0"/>
    <n v="1.1304399999999999E-3"/>
    <n v="0"/>
  </r>
  <r>
    <x v="150"/>
    <n v="562379494"/>
    <s v="B_0"/>
    <n v="0"/>
    <n v="0"/>
    <n v="1.08522E-3"/>
    <n v="0"/>
  </r>
  <r>
    <x v="151"/>
    <n v="614657114"/>
    <s v="B_0"/>
    <n v="0"/>
    <n v="0"/>
    <n v="1.04181E-3"/>
    <n v="0"/>
  </r>
  <r>
    <x v="152"/>
    <n v="500777399"/>
    <s v="B_0"/>
    <n v="0"/>
    <n v="0"/>
    <n v="1.0001400000000001E-3"/>
    <n v="0"/>
  </r>
  <r>
    <x v="153"/>
    <n v="918325665"/>
    <s v="B_0"/>
    <n v="0"/>
    <n v="0"/>
    <n v="9.6013299999999995E-4"/>
    <n v="0"/>
  </r>
  <r>
    <x v="154"/>
    <n v="976454076"/>
    <s v="B_0"/>
    <n v="0"/>
    <n v="0"/>
    <n v="9.2172700000000001E-4"/>
    <n v="0"/>
  </r>
  <r>
    <x v="155"/>
    <n v="339606783"/>
    <s v="B_0"/>
    <n v="0"/>
    <n v="0"/>
    <n v="8.8485799999999998E-4"/>
    <n v="0"/>
  </r>
  <r>
    <x v="156"/>
    <n v="623132091"/>
    <s v="B_0"/>
    <n v="0"/>
    <n v="0"/>
    <n v="8.4946399999999997E-4"/>
    <n v="0"/>
  </r>
  <r>
    <x v="157"/>
    <n v="698350577"/>
    <s v="B_0"/>
    <n v="0"/>
    <n v="0"/>
    <n v="8.1548500000000002E-4"/>
    <n v="0"/>
  </r>
  <r>
    <x v="158"/>
    <n v="716478456"/>
    <s v="B_0"/>
    <n v="0"/>
    <n v="0"/>
    <n v="7.8286600000000001E-4"/>
    <n v="0"/>
  </r>
  <r>
    <x v="159"/>
    <n v="448812350"/>
    <s v="B_0"/>
    <n v="0"/>
    <n v="0"/>
    <n v="7.5155100000000004E-4"/>
    <n v="0"/>
  </r>
  <r>
    <x v="160"/>
    <n v="738870838"/>
    <s v="B_0"/>
    <n v="0"/>
    <n v="0"/>
    <n v="7.2148899999999996E-4"/>
    <n v="0"/>
  </r>
  <r>
    <x v="161"/>
    <n v="265364271"/>
    <s v="B_0"/>
    <n v="0"/>
    <n v="0"/>
    <n v="6.9262999999999996E-4"/>
    <n v="0"/>
  </r>
  <r>
    <x v="162"/>
    <n v="21022628"/>
    <s v="B_0"/>
    <n v="0"/>
    <n v="0"/>
    <n v="6.6492400000000001E-4"/>
    <n v="0"/>
  </r>
  <r>
    <x v="163"/>
    <n v="526565930"/>
    <s v="B_0"/>
    <n v="0"/>
    <n v="0"/>
    <n v="6.3832799999999996E-4"/>
    <n v="0"/>
  </r>
  <r>
    <x v="164"/>
    <n v="446557523"/>
    <s v="B_0"/>
    <n v="0"/>
    <n v="0"/>
    <n v="6.1279399999999995E-4"/>
    <n v="0"/>
  </r>
  <r>
    <x v="165"/>
    <n v="296096629"/>
    <s v="B_0"/>
    <n v="0"/>
    <n v="0"/>
    <n v="5.8828299999999999E-4"/>
    <n v="0"/>
  </r>
  <r>
    <x v="166"/>
    <n v="908430668"/>
    <s v="B_0"/>
    <n v="0"/>
    <n v="0"/>
    <n v="5.6475099999999995E-4"/>
    <n v="0"/>
  </r>
  <r>
    <x v="167"/>
    <n v="14912060"/>
    <s v="B_0"/>
    <n v="0"/>
    <n v="0"/>
    <n v="5.4216099999999999E-4"/>
    <n v="0"/>
  </r>
  <r>
    <x v="168"/>
    <n v="54699858"/>
    <s v="B_0"/>
    <n v="0"/>
    <n v="0"/>
    <n v="5.2047499999999995E-4"/>
    <n v="0"/>
  </r>
  <r>
    <x v="169"/>
    <n v="525725169"/>
    <s v="B_0"/>
    <n v="0"/>
    <n v="0"/>
    <n v="4.9965600000000002E-4"/>
    <n v="0"/>
  </r>
  <r>
    <x v="170"/>
    <n v="683881335"/>
    <s v="B_0"/>
    <n v="0"/>
    <n v="0"/>
    <n v="4.7967000000000002E-4"/>
    <n v="0"/>
  </r>
  <r>
    <x v="171"/>
    <n v="639354202"/>
    <s v="B_0"/>
    <n v="0"/>
    <n v="0"/>
    <n v="4.6048299999999998E-4"/>
    <n v="0"/>
  </r>
  <r>
    <x v="172"/>
    <n v="993476526"/>
    <s v="B_0"/>
    <n v="0"/>
    <n v="0"/>
    <n v="4.4206300000000003E-4"/>
    <n v="0"/>
  </r>
  <r>
    <x v="173"/>
    <n v="904089024"/>
    <s v="B_0"/>
    <n v="0"/>
    <n v="0"/>
    <n v="4.2438099999999999E-4"/>
    <n v="0"/>
  </r>
  <r>
    <x v="174"/>
    <n v="867878819"/>
    <s v="B_0"/>
    <n v="0"/>
    <n v="0"/>
    <n v="4.0740600000000002E-4"/>
    <n v="0"/>
  </r>
  <r>
    <x v="175"/>
    <n v="372226432"/>
    <s v="B_0"/>
    <n v="0"/>
    <n v="0"/>
    <n v="3.91109E-4"/>
    <n v="0"/>
  </r>
  <r>
    <x v="176"/>
    <n v="302752054"/>
    <s v="B_0"/>
    <n v="0"/>
    <n v="0"/>
    <n v="3.7546500000000001E-4"/>
    <n v="0"/>
  </r>
  <r>
    <x v="177"/>
    <n v="896792023"/>
    <s v="B_0"/>
    <n v="0"/>
    <n v="0"/>
    <n v="3.60446E-4"/>
    <n v="0"/>
  </r>
  <r>
    <x v="178"/>
    <n v="370659053"/>
    <s v="B_0"/>
    <n v="0"/>
    <n v="0"/>
    <n v="3.4602899999999998E-4"/>
    <n v="0"/>
  </r>
  <r>
    <x v="179"/>
    <n v="639266381"/>
    <s v="B_0"/>
    <n v="0"/>
    <n v="0"/>
    <n v="3.3218700000000001E-4"/>
    <n v="0"/>
  </r>
  <r>
    <x v="180"/>
    <n v="236331067"/>
    <s v="B_0"/>
    <n v="0"/>
    <n v="0"/>
    <n v="3.189E-4"/>
    <n v="0"/>
  </r>
  <r>
    <x v="181"/>
    <n v="305170747"/>
    <s v="B_0"/>
    <n v="0"/>
    <n v="0"/>
    <n v="3.06144E-4"/>
    <n v="0"/>
  </r>
  <r>
    <x v="182"/>
    <n v="866824477"/>
    <s v="B_0"/>
    <n v="0"/>
    <n v="0"/>
    <n v="2.9389800000000001E-4"/>
    <n v="0"/>
  </r>
  <r>
    <x v="183"/>
    <n v="108062707"/>
    <s v="B_0"/>
    <n v="0"/>
    <n v="0"/>
    <n v="2.8214199999999998E-4"/>
    <n v="0"/>
  </r>
  <r>
    <x v="184"/>
    <n v="453852245"/>
    <s v="B_0"/>
    <n v="0"/>
    <n v="0"/>
    <n v="2.70857E-4"/>
    <n v="0"/>
  </r>
  <r>
    <x v="185"/>
    <n v="141432107"/>
    <s v="B_0"/>
    <n v="0"/>
    <n v="0"/>
    <n v="2.60022E-4"/>
    <n v="0"/>
  </r>
  <r>
    <x v="186"/>
    <n v="239885474"/>
    <s v="B_0"/>
    <n v="0"/>
    <n v="0"/>
    <n v="2.49621E-4"/>
    <n v="0"/>
  </r>
  <r>
    <x v="187"/>
    <n v="219093766"/>
    <s v="B_0"/>
    <n v="0"/>
    <n v="0"/>
    <n v="2.3963700000000001E-4"/>
    <n v="0"/>
  </r>
  <r>
    <x v="188"/>
    <n v="22148652"/>
    <s v="B_0"/>
    <n v="0"/>
    <n v="0"/>
    <n v="2.30051E-4"/>
    <n v="0"/>
  </r>
  <r>
    <x v="189"/>
    <n v="668580760"/>
    <s v="B_0"/>
    <n v="0"/>
    <n v="0"/>
    <n v="2.2084900000000001E-4"/>
    <n v="0"/>
  </r>
  <r>
    <x v="190"/>
    <n v="484498776"/>
    <s v="B_0"/>
    <n v="0"/>
    <n v="0"/>
    <n v="2.12015E-4"/>
    <n v="0"/>
  </r>
  <r>
    <x v="191"/>
    <n v="106186031"/>
    <s v="B_0"/>
    <n v="0"/>
    <n v="0"/>
    <n v="2.03535E-4"/>
    <n v="0"/>
  </r>
  <r>
    <x v="192"/>
    <n v="121380578"/>
    <s v="B_0"/>
    <n v="0"/>
    <n v="0"/>
    <n v="1.95393E-4"/>
    <n v="0"/>
  </r>
  <r>
    <x v="193"/>
    <n v="109606916"/>
    <s v="B_0"/>
    <n v="0"/>
    <n v="0"/>
    <n v="1.87577E-4"/>
    <n v="0"/>
  </r>
  <r>
    <x v="194"/>
    <n v="499275632"/>
    <s v="B_0"/>
    <n v="0"/>
    <n v="0"/>
    <n v="1.8007400000000001E-4"/>
    <n v="0"/>
  </r>
  <r>
    <x v="195"/>
    <n v="867913190"/>
    <s v="B_0"/>
    <n v="0"/>
    <n v="0"/>
    <n v="1.7287100000000001E-4"/>
    <n v="0"/>
  </r>
  <r>
    <x v="196"/>
    <n v="389082205"/>
    <s v="B_0"/>
    <n v="0"/>
    <n v="0"/>
    <n v="1.6595600000000001E-4"/>
    <n v="0"/>
  </r>
  <r>
    <x v="197"/>
    <n v="700879034"/>
    <s v="B_0"/>
    <n v="0"/>
    <n v="0"/>
    <n v="1.5931800000000001E-4"/>
    <n v="0"/>
  </r>
  <r>
    <x v="198"/>
    <n v="10669007"/>
    <s v="B_0"/>
    <n v="0"/>
    <n v="0"/>
    <n v="1.52946E-4"/>
    <n v="0"/>
  </r>
  <r>
    <x v="199"/>
    <n v="283859287"/>
    <s v="B_0"/>
    <n v="0"/>
    <n v="0"/>
    <n v="1.46828E-4"/>
    <n v="0"/>
  </r>
  <r>
    <x v="200"/>
    <n v="602695052"/>
    <s v="B_0"/>
    <n v="0"/>
    <n v="0"/>
    <n v="1.4095500000000001E-4"/>
    <n v="0"/>
  </r>
  <r>
    <x v="201"/>
    <n v="705804787"/>
    <s v="B_0"/>
    <n v="0"/>
    <n v="0"/>
    <n v="1.3531599999999999E-4"/>
    <n v="0"/>
  </r>
  <r>
    <x v="202"/>
    <n v="166894322"/>
    <s v="B_0"/>
    <n v="0"/>
    <n v="0"/>
    <n v="1.2990399999999999E-4"/>
    <n v="0"/>
  </r>
  <r>
    <x v="203"/>
    <n v="202862963"/>
    <s v="B_0"/>
    <n v="0"/>
    <n v="0"/>
    <n v="1.2470800000000001E-4"/>
    <n v="0"/>
  </r>
  <r>
    <x v="204"/>
    <n v="233947586"/>
    <s v="B_0"/>
    <n v="0"/>
    <n v="0"/>
    <n v="1.19719E-4"/>
    <n v="0"/>
  </r>
  <r>
    <x v="205"/>
    <n v="188059232"/>
    <s v="B_0"/>
    <n v="0"/>
    <n v="0"/>
    <n v="1.14931E-4"/>
    <n v="0"/>
  </r>
  <r>
    <x v="206"/>
    <n v="300876871"/>
    <s v="B_0"/>
    <n v="0"/>
    <n v="0"/>
    <n v="1.10333E-4"/>
    <n v="0"/>
  </r>
  <r>
    <x v="207"/>
    <n v="2658098"/>
    <s v="B_0"/>
    <n v="0"/>
    <n v="0"/>
    <n v="1.0592E-4"/>
    <n v="0"/>
  </r>
  <r>
    <x v="208"/>
    <n v="298387604"/>
    <s v="B_0"/>
    <n v="0"/>
    <n v="0"/>
    <n v="1.01683E-4"/>
    <n v="0"/>
  </r>
  <r>
    <x v="209"/>
    <n v="607947311"/>
    <s v="B_0"/>
    <n v="0"/>
    <n v="0"/>
    <n v="9.7615799999999995E-5"/>
    <n v="0"/>
  </r>
  <r>
    <x v="210"/>
    <n v="889364532"/>
    <s v="B_0"/>
    <n v="0"/>
    <n v="0"/>
    <n v="9.3711199999999998E-5"/>
    <n v="0"/>
  </r>
  <r>
    <x v="211"/>
    <n v="875774962"/>
    <s v="B_0"/>
    <n v="0"/>
    <n v="0"/>
    <n v="8.9962800000000005E-5"/>
    <n v="0"/>
  </r>
  <r>
    <x v="212"/>
    <n v="990735240"/>
    <s v="B_0"/>
    <n v="0"/>
    <n v="0"/>
    <n v="8.6364200000000002E-5"/>
    <n v="0"/>
  </r>
  <r>
    <x v="213"/>
    <n v="607216559"/>
    <s v="B_0"/>
    <n v="0"/>
    <n v="0"/>
    <n v="8.2909699999999997E-5"/>
    <n v="0"/>
  </r>
  <r>
    <x v="214"/>
    <n v="551247484"/>
    <s v="B_0"/>
    <n v="0"/>
    <n v="0"/>
    <n v="7.9593300000000002E-5"/>
    <n v="0"/>
  </r>
  <r>
    <x v="215"/>
    <n v="217501998"/>
    <s v="B_0"/>
    <n v="0"/>
    <n v="0"/>
    <n v="7.6409599999999994E-5"/>
    <n v="0"/>
  </r>
  <r>
    <x v="216"/>
    <n v="741572992"/>
    <s v="B_0"/>
    <n v="0"/>
    <n v="0"/>
    <n v="7.3353200000000001E-5"/>
    <n v="0"/>
  </r>
  <r>
    <x v="217"/>
    <n v="206514133"/>
    <s v="B_0"/>
    <n v="0"/>
    <n v="0"/>
    <n v="7.0419000000000005E-5"/>
    <n v="0"/>
  </r>
  <r>
    <x v="218"/>
    <n v="15178248"/>
    <s v="B_0"/>
    <n v="0"/>
    <n v="0"/>
    <n v="6.7602300000000002E-5"/>
    <n v="0"/>
  </r>
  <r>
    <x v="219"/>
    <n v="153054463"/>
    <s v="B_0"/>
    <n v="0"/>
    <n v="0"/>
    <n v="6.4898200000000001E-5"/>
    <n v="0"/>
  </r>
  <r>
    <x v="220"/>
    <n v="467297306"/>
    <s v="B_0"/>
    <n v="0"/>
    <n v="0"/>
    <n v="6.2302299999999995E-5"/>
    <n v="0"/>
  </r>
  <r>
    <x v="221"/>
    <n v="341480049"/>
    <s v="B_0"/>
    <n v="0"/>
    <n v="0"/>
    <n v="5.9810199999999999E-5"/>
    <n v="0"/>
  </r>
  <r>
    <x v="222"/>
    <n v="354217056"/>
    <s v="B_0"/>
    <n v="0"/>
    <n v="0"/>
    <n v="5.7417799999999998E-5"/>
    <n v="0"/>
  </r>
  <r>
    <x v="223"/>
    <n v="617861270"/>
    <s v="B_0"/>
    <n v="0"/>
    <n v="0"/>
    <n v="5.5121100000000003E-5"/>
    <n v="0"/>
  </r>
  <r>
    <x v="224"/>
    <n v="984952402"/>
    <s v="B_0"/>
    <n v="0"/>
    <n v="0"/>
    <n v="5.29162E-5"/>
    <n v="0"/>
  </r>
  <r>
    <x v="225"/>
    <n v="997035739"/>
    <s v="B_0"/>
    <n v="0"/>
    <n v="0"/>
    <n v="5.0799600000000001E-5"/>
    <n v="0"/>
  </r>
  <r>
    <x v="226"/>
    <n v="545603301"/>
    <s v="B_0"/>
    <n v="0"/>
    <n v="0"/>
    <n v="4.8767599999999997E-5"/>
    <n v="0"/>
  </r>
  <r>
    <x v="227"/>
    <n v="690221441"/>
    <s v="B_0"/>
    <n v="0"/>
    <n v="0"/>
    <n v="4.6816900000000002E-5"/>
    <n v="0"/>
  </r>
  <r>
    <x v="228"/>
    <n v="379039057"/>
    <s v="B_0"/>
    <n v="0"/>
    <n v="0"/>
    <n v="4.4944200000000002E-5"/>
    <n v="0"/>
  </r>
  <r>
    <x v="229"/>
    <n v="600195480"/>
    <s v="B_0"/>
    <n v="0"/>
    <n v="0"/>
    <n v="4.3146399999999997E-5"/>
    <n v="0"/>
  </r>
  <r>
    <x v="230"/>
    <n v="85379391"/>
    <s v="B_0"/>
    <n v="0"/>
    <n v="0"/>
    <n v="4.1420600000000001E-5"/>
    <n v="0"/>
  </r>
  <r>
    <x v="231"/>
    <n v="668715559"/>
    <s v="B_0"/>
    <n v="0"/>
    <n v="0"/>
    <n v="3.97638E-5"/>
    <n v="0"/>
  </r>
  <r>
    <x v="232"/>
    <n v="101699668"/>
    <s v="B_0"/>
    <n v="0"/>
    <n v="0"/>
    <n v="3.8173200000000002E-5"/>
    <n v="0"/>
  </r>
  <r>
    <x v="233"/>
    <n v="564160796"/>
    <s v="B_0"/>
    <n v="0"/>
    <n v="0"/>
    <n v="3.6646300000000002E-5"/>
    <n v="0"/>
  </r>
  <r>
    <x v="234"/>
    <n v="543781884"/>
    <s v="B_0"/>
    <n v="0"/>
    <n v="0"/>
    <n v="3.5180399999999999E-5"/>
    <n v="0"/>
  </r>
  <r>
    <x v="235"/>
    <n v="366471115"/>
    <s v="B_0"/>
    <n v="0"/>
    <n v="0"/>
    <n v="3.3773199999999997E-5"/>
    <n v="0"/>
  </r>
  <r>
    <x v="236"/>
    <n v="500825286"/>
    <s v="B_0"/>
    <n v="0"/>
    <n v="0"/>
    <n v="3.2422300000000003E-5"/>
    <n v="0"/>
  </r>
  <r>
    <x v="237"/>
    <n v="840295589"/>
    <s v="B_0"/>
    <n v="0"/>
    <n v="0"/>
    <n v="3.1125399999999998E-5"/>
    <n v="0"/>
  </r>
  <r>
    <x v="238"/>
    <n v="446191670"/>
    <s v="B_0"/>
    <n v="0"/>
    <n v="0"/>
    <n v="2.9880399999999999E-5"/>
    <n v="0"/>
  </r>
  <r>
    <x v="239"/>
    <n v="240511312"/>
    <s v="B_0"/>
    <n v="0"/>
    <n v="0"/>
    <n v="2.8685200000000001E-5"/>
    <n v="0"/>
  </r>
  <r>
    <x v="240"/>
    <n v="773880751"/>
    <s v="B_0"/>
    <n v="0"/>
    <n v="0"/>
    <n v="2.7537799999999999E-5"/>
    <n v="0"/>
  </r>
  <r>
    <x v="241"/>
    <n v="968142369"/>
    <s v="B_0"/>
    <n v="0"/>
    <n v="0"/>
    <n v="2.6436199999999999E-5"/>
    <n v="0"/>
  </r>
  <r>
    <x v="242"/>
    <n v="207368622"/>
    <s v="B_0"/>
    <n v="0"/>
    <n v="0"/>
    <n v="2.5378799999999998E-5"/>
    <n v="0"/>
  </r>
  <r>
    <x v="243"/>
    <n v="412283738"/>
    <s v="B_0"/>
    <n v="0"/>
    <n v="0"/>
    <n v="2.4363600000000002E-5"/>
    <n v="0"/>
  </r>
  <r>
    <x v="244"/>
    <n v="956168485"/>
    <s v="B_0"/>
    <n v="0"/>
    <n v="0"/>
    <n v="2.3389099999999999E-5"/>
    <n v="0"/>
  </r>
  <r>
    <x v="245"/>
    <n v="686698496"/>
    <s v="B_0"/>
    <n v="0"/>
    <n v="0"/>
    <n v="2.2453500000000001E-5"/>
    <n v="0"/>
  </r>
  <r>
    <x v="246"/>
    <n v="254337552"/>
    <s v="B_0"/>
    <n v="0"/>
    <n v="0"/>
    <n v="2.15554E-5"/>
    <n v="0"/>
  </r>
  <r>
    <x v="247"/>
    <n v="723789435"/>
    <s v="B_0"/>
    <n v="0"/>
    <n v="0"/>
    <n v="2.06932E-5"/>
    <n v="0"/>
  </r>
  <r>
    <x v="248"/>
    <n v="257004539"/>
    <s v="B_0"/>
    <n v="0"/>
    <n v="0"/>
    <n v="1.9865400000000001E-5"/>
    <n v="0"/>
  </r>
  <r>
    <x v="249"/>
    <n v="22019533"/>
    <s v="B_0"/>
    <n v="0"/>
    <n v="0"/>
    <n v="1.90708E-5"/>
    <n v="0"/>
  </r>
  <r>
    <x v="250"/>
    <n v="55727148"/>
    <s v="B_0"/>
    <n v="0"/>
    <n v="0"/>
    <n v="1.8308000000000002E-5"/>
    <n v="0"/>
  </r>
  <r>
    <x v="251"/>
    <n v="460029646"/>
    <s v="B_0"/>
    <n v="0"/>
    <n v="0"/>
    <n v="1.7575699999999998E-5"/>
    <n v="0"/>
  </r>
  <r>
    <x v="252"/>
    <n v="859940727"/>
    <s v="B_0"/>
    <n v="0"/>
    <n v="0"/>
    <n v="1.6872599999999998E-5"/>
    <n v="0"/>
  </r>
  <r>
    <x v="253"/>
    <n v="327915947"/>
    <s v="B_0"/>
    <n v="0"/>
    <n v="0"/>
    <n v="1.6197699999999999E-5"/>
    <n v="0"/>
  </r>
  <r>
    <x v="254"/>
    <n v="802867316"/>
    <s v="B_0"/>
    <n v="0"/>
    <n v="0"/>
    <n v="1.5549800000000001E-5"/>
    <n v="0"/>
  </r>
  <r>
    <x v="255"/>
    <n v="40665707"/>
    <s v="B_0"/>
    <n v="0"/>
    <n v="0"/>
    <n v="1.49278E-5"/>
    <n v="0"/>
  </r>
  <r>
    <x v="256"/>
    <n v="692806374"/>
    <s v="B_0"/>
    <n v="0"/>
    <n v="0"/>
    <n v="1.43307E-5"/>
    <n v="0"/>
  </r>
  <r>
    <x v="257"/>
    <n v="122247502"/>
    <s v="B_0"/>
    <n v="0"/>
    <n v="0"/>
    <n v="1.37575E-5"/>
    <n v="0"/>
  </r>
  <r>
    <x v="258"/>
    <n v="478167346"/>
    <s v="B_0"/>
    <n v="0"/>
    <n v="0"/>
    <n v="1.32072E-5"/>
    <n v="0"/>
  </r>
  <r>
    <x v="259"/>
    <n v="134576833"/>
    <s v="B_0"/>
    <n v="0"/>
    <n v="0"/>
    <n v="1.26789E-5"/>
    <n v="0"/>
  </r>
  <r>
    <x v="260"/>
    <n v="60807888"/>
    <s v="B_0"/>
    <n v="0"/>
    <n v="0"/>
    <n v="1.2171799999999999E-5"/>
    <n v="0"/>
  </r>
  <r>
    <x v="261"/>
    <n v="898859456"/>
    <s v="B_0"/>
    <n v="0"/>
    <n v="0"/>
    <n v="1.1684900000000001E-5"/>
    <n v="0"/>
  </r>
  <r>
    <x v="262"/>
    <n v="819354129"/>
    <s v="B_0"/>
    <n v="0"/>
    <n v="0"/>
    <n v="1.1217500000000001E-5"/>
    <n v="0"/>
  </r>
  <r>
    <x v="263"/>
    <n v="68213335"/>
    <s v="B_0"/>
    <n v="0"/>
    <n v="0"/>
    <n v="1.0768799999999999E-5"/>
    <n v="0"/>
  </r>
  <r>
    <x v="264"/>
    <n v="642711902"/>
    <s v="B_0"/>
    <n v="0"/>
    <n v="0"/>
    <n v="1.0338E-5"/>
    <n v="0"/>
  </r>
  <r>
    <x v="265"/>
    <n v="242500356"/>
    <s v="B_0"/>
    <n v="0"/>
    <n v="0"/>
    <n v="9.9245199999999993E-6"/>
    <n v="0"/>
  </r>
  <r>
    <x v="266"/>
    <n v="305998458"/>
    <s v="B_0"/>
    <n v="0"/>
    <n v="0"/>
    <n v="9.5275399999999992E-6"/>
    <n v="0"/>
  </r>
  <r>
    <x v="267"/>
    <n v="164264184"/>
    <s v="B_0"/>
    <n v="0"/>
    <n v="0"/>
    <n v="9.1464299999999998E-6"/>
    <n v="0"/>
  </r>
  <r>
    <x v="268"/>
    <n v="393914410"/>
    <s v="B_0"/>
    <n v="0"/>
    <n v="0"/>
    <n v="8.7805800000000006E-6"/>
    <n v="0"/>
  </r>
  <r>
    <x v="269"/>
    <n v="957277630"/>
    <s v="B_0"/>
    <n v="0"/>
    <n v="0"/>
    <n v="8.4293499999999992E-6"/>
    <n v="0"/>
  </r>
  <r>
    <x v="270"/>
    <n v="136554556"/>
    <s v="B_0"/>
    <n v="0"/>
    <n v="0"/>
    <n v="8.0921800000000005E-6"/>
    <n v="0"/>
  </r>
  <r>
    <x v="271"/>
    <n v="67101124"/>
    <s v="B_0"/>
    <n v="0"/>
    <n v="0"/>
    <n v="7.7684899999999995E-6"/>
    <n v="0"/>
  </r>
  <r>
    <x v="272"/>
    <n v="941588760"/>
    <s v="B_0"/>
    <n v="0"/>
    <n v="0"/>
    <n v="7.4577499999999999E-6"/>
    <n v="0"/>
  </r>
  <r>
    <x v="273"/>
    <n v="853037710"/>
    <s v="B_0"/>
    <n v="0"/>
    <n v="0"/>
    <n v="7.1594399999999998E-6"/>
    <n v="0"/>
  </r>
  <r>
    <x v="274"/>
    <n v="855320006"/>
    <s v="B_0"/>
    <n v="0"/>
    <n v="0"/>
    <n v="6.8730600000000001E-6"/>
    <n v="0"/>
  </r>
  <r>
    <x v="275"/>
    <n v="373438215"/>
    <s v="B_0"/>
    <n v="0"/>
    <n v="0"/>
    <n v="6.5981399999999998E-6"/>
    <n v="0"/>
  </r>
  <r>
    <x v="276"/>
    <n v="703776264"/>
    <s v="B_0"/>
    <n v="0"/>
    <n v="0"/>
    <n v="6.33422E-6"/>
    <n v="0"/>
  </r>
  <r>
    <x v="277"/>
    <n v="228412864"/>
    <s v="B_0"/>
    <n v="0"/>
    <n v="0"/>
    <n v="6.0808500000000004E-6"/>
    <n v="0"/>
  </r>
  <r>
    <x v="278"/>
    <n v="107701386"/>
    <s v="B_0"/>
    <n v="0"/>
    <n v="0"/>
    <n v="5.8376099999999997E-6"/>
    <n v="0"/>
  </r>
  <r>
    <x v="279"/>
    <n v="413905273"/>
    <s v="B_0"/>
    <n v="0"/>
    <n v="0"/>
    <n v="5.6041100000000001E-6"/>
    <n v="0"/>
  </r>
  <r>
    <x v="280"/>
    <n v="113465216"/>
    <s v="B_0"/>
    <n v="0"/>
    <n v="0"/>
    <n v="5.3799400000000002E-6"/>
    <n v="0"/>
  </r>
  <r>
    <x v="281"/>
    <n v="852600574"/>
    <s v="B_0"/>
    <n v="0"/>
    <n v="0"/>
    <n v="5.16475E-6"/>
    <n v="0"/>
  </r>
  <r>
    <x v="282"/>
    <n v="739612202"/>
    <s v="B_0"/>
    <n v="0"/>
    <n v="0"/>
    <n v="4.95816E-6"/>
    <n v="0"/>
  </r>
  <r>
    <x v="283"/>
    <n v="747501755"/>
    <s v="B_0"/>
    <n v="0"/>
    <n v="0"/>
    <n v="4.7598300000000001E-6"/>
    <n v="0"/>
  </r>
  <r>
    <x v="284"/>
    <n v="973567785"/>
    <s v="B_0"/>
    <n v="0"/>
    <n v="0"/>
    <n v="4.5694400000000001E-6"/>
    <n v="0"/>
  </r>
  <r>
    <x v="285"/>
    <n v="111207828"/>
    <s v="B_0"/>
    <n v="0"/>
    <n v="0"/>
    <n v="4.3866599999999996E-6"/>
    <n v="0"/>
  </r>
  <r>
    <x v="286"/>
    <n v="857755328"/>
    <s v="B_0"/>
    <n v="0"/>
    <n v="0"/>
    <n v="4.2111899999999997E-6"/>
    <n v="0"/>
  </r>
  <r>
    <x v="287"/>
    <n v="130901836"/>
    <s v="B_0"/>
    <n v="0"/>
    <n v="0"/>
    <n v="4.0427500000000004E-6"/>
    <n v="0"/>
  </r>
  <r>
    <x v="288"/>
    <n v="590750107"/>
    <s v="B_0"/>
    <n v="0"/>
    <n v="0"/>
    <n v="3.88104E-6"/>
    <n v="0"/>
  </r>
  <r>
    <x v="289"/>
    <n v="58879684"/>
    <s v="B_0"/>
    <n v="0"/>
    <n v="0"/>
    <n v="3.7257900000000001E-6"/>
    <n v="0"/>
  </r>
  <r>
    <x v="290"/>
    <n v="820214217"/>
    <s v="B_0"/>
    <n v="0"/>
    <n v="0"/>
    <n v="3.57676E-6"/>
    <n v="0"/>
  </r>
  <r>
    <x v="291"/>
    <n v="496680768"/>
    <s v="B_0"/>
    <n v="0"/>
    <n v="0"/>
    <n v="3.43369E-6"/>
    <n v="0"/>
  </r>
  <r>
    <x v="292"/>
    <n v="519724447"/>
    <s v="B_0"/>
    <n v="0"/>
    <n v="0"/>
    <n v="3.2963399999999999E-6"/>
    <n v="0"/>
  </r>
  <r>
    <x v="293"/>
    <n v="776334048"/>
    <s v="B_0"/>
    <n v="0"/>
    <n v="0"/>
    <n v="3.1644900000000001E-6"/>
    <n v="0"/>
  </r>
  <r>
    <x v="294"/>
    <n v="27969410"/>
    <s v="B_0"/>
    <n v="0"/>
    <n v="0"/>
    <n v="3.03791E-6"/>
    <n v="0"/>
  </r>
  <r>
    <x v="295"/>
    <n v="826055033"/>
    <s v="B_0"/>
    <n v="0"/>
    <n v="0"/>
    <n v="2.9163899999999999E-6"/>
    <n v="0"/>
  </r>
  <r>
    <x v="296"/>
    <n v="575992358"/>
    <s v="B_0"/>
    <n v="0"/>
    <n v="0"/>
    <n v="2.7997399999999999E-6"/>
    <n v="0"/>
  </r>
  <r>
    <x v="297"/>
    <n v="181951422"/>
    <s v="B_0"/>
    <n v="0"/>
    <n v="0"/>
    <n v="2.6877499999999998E-6"/>
    <n v="0"/>
  </r>
  <r>
    <x v="298"/>
    <n v="287212904"/>
    <s v="B_0"/>
    <n v="0"/>
    <n v="0"/>
    <n v="2.5802400000000001E-6"/>
    <n v="0"/>
  </r>
  <r>
    <x v="299"/>
    <n v="453296175"/>
    <s v="B_0"/>
    <n v="0"/>
    <n v="0"/>
    <n v="2.4770300000000002E-6"/>
    <n v="0"/>
  </r>
  <r>
    <x v="300"/>
    <n v="631321981"/>
    <s v="B_0"/>
    <n v="0"/>
    <n v="0"/>
    <n v="2.3779499999999998E-6"/>
    <n v="0"/>
  </r>
  <r>
    <x v="301"/>
    <n v="114267695"/>
    <s v="B_0"/>
    <n v="0"/>
    <n v="0"/>
    <n v="2.28283E-6"/>
    <n v="0"/>
  </r>
  <r>
    <x v="302"/>
    <n v="879777812"/>
    <s v="B_0"/>
    <n v="0"/>
    <n v="0"/>
    <n v="2.1915199999999998E-6"/>
    <n v="0"/>
  </r>
  <r>
    <x v="303"/>
    <n v="353380199"/>
    <s v="B_0"/>
    <n v="0"/>
    <n v="0"/>
    <n v="2.10386E-6"/>
    <n v="0"/>
  </r>
  <r>
    <x v="304"/>
    <n v="668603093"/>
    <s v="B_0"/>
    <n v="0"/>
    <n v="0"/>
    <n v="2.0196999999999999E-6"/>
    <n v="0"/>
  </r>
  <r>
    <x v="305"/>
    <n v="169657502"/>
    <s v="B_0"/>
    <n v="0"/>
    <n v="0"/>
    <n v="1.93891E-6"/>
    <n v="0"/>
  </r>
  <r>
    <x v="306"/>
    <n v="530007217"/>
    <s v="B_0"/>
    <n v="0"/>
    <n v="0"/>
    <n v="1.86136E-6"/>
    <n v="0"/>
  </r>
  <r>
    <x v="307"/>
    <n v="43178698"/>
    <s v="B_0"/>
    <n v="0"/>
    <n v="0"/>
    <n v="1.7869E-6"/>
    <n v="0"/>
  </r>
  <r>
    <x v="308"/>
    <n v="89221786"/>
    <s v="B_0"/>
    <n v="0"/>
    <n v="0"/>
    <n v="1.7154299999999999E-6"/>
    <n v="0"/>
  </r>
  <r>
    <x v="309"/>
    <n v="361570699"/>
    <s v="B_0"/>
    <n v="0"/>
    <n v="0"/>
    <n v="1.6468099999999999E-6"/>
    <n v="0"/>
  </r>
  <r>
    <x v="310"/>
    <n v="334193250"/>
    <s v="B_0"/>
    <n v="0"/>
    <n v="0"/>
    <n v="1.58094E-6"/>
    <n v="0"/>
  </r>
  <r>
    <x v="311"/>
    <n v="580099953"/>
    <s v="B_0"/>
    <n v="0"/>
    <n v="0"/>
    <n v="1.5177000000000001E-6"/>
    <n v="0"/>
  </r>
  <r>
    <x v="312"/>
    <n v="78991511"/>
    <s v="B_0"/>
    <n v="0"/>
    <n v="0"/>
    <n v="1.4569899999999999E-6"/>
    <n v="0"/>
  </r>
  <r>
    <x v="313"/>
    <n v="586953022"/>
    <s v="B_0"/>
    <n v="0"/>
    <n v="0"/>
    <n v="1.3987099999999999E-6"/>
    <n v="0"/>
  </r>
  <r>
    <x v="314"/>
    <n v="829512702"/>
    <s v="B_0"/>
    <n v="0"/>
    <n v="0"/>
    <n v="1.34276E-6"/>
    <n v="0"/>
  </r>
  <r>
    <x v="315"/>
    <n v="613815557"/>
    <s v="B_0"/>
    <n v="0"/>
    <n v="0"/>
    <n v="1.28905E-6"/>
    <n v="0"/>
  </r>
  <r>
    <x v="316"/>
    <n v="914405504"/>
    <s v="B_0"/>
    <n v="0"/>
    <n v="0"/>
    <n v="1.2374899999999999E-6"/>
    <n v="0"/>
  </r>
  <r>
    <x v="317"/>
    <n v="293035967"/>
    <s v="B_0"/>
    <n v="0"/>
    <n v="0"/>
    <n v="1.18799E-6"/>
    <n v="0"/>
  </r>
  <r>
    <x v="318"/>
    <n v="947994935"/>
    <s v="B_0"/>
    <n v="0"/>
    <n v="0"/>
    <n v="1.1404699999999999E-6"/>
    <n v="0"/>
  </r>
  <r>
    <x v="319"/>
    <n v="201694033"/>
    <s v="B_0"/>
    <n v="0"/>
    <n v="0"/>
    <n v="1.09485E-6"/>
    <n v="0"/>
  </r>
  <r>
    <x v="320"/>
    <n v="289824202"/>
    <s v="B_0"/>
    <n v="0"/>
    <n v="0"/>
    <n v="1.0510599999999999E-6"/>
    <n v="0"/>
  </r>
  <r>
    <x v="321"/>
    <n v="138552628"/>
    <s v="B_0"/>
    <n v="0"/>
    <n v="0"/>
    <n v="1.0090199999999999E-6"/>
    <n v="0"/>
  </r>
  <r>
    <x v="322"/>
    <n v="26493040"/>
    <s v="B_0"/>
    <n v="0"/>
    <n v="0"/>
    <n v="9.6865599999999999E-7"/>
    <n v="0"/>
  </r>
  <r>
    <x v="323"/>
    <n v="552523840"/>
    <s v="B_0"/>
    <n v="0"/>
    <n v="0"/>
    <n v="9.2991000000000005E-7"/>
    <n v="0"/>
  </r>
  <r>
    <x v="324"/>
    <n v="772020571"/>
    <s v="B_0"/>
    <n v="0"/>
    <n v="0"/>
    <n v="8.9271299999999998E-7"/>
    <n v="0"/>
  </r>
  <r>
    <x v="325"/>
    <n v="323803752"/>
    <s v="B_0"/>
    <n v="0"/>
    <n v="0"/>
    <n v="8.5700500000000004E-7"/>
    <n v="0"/>
  </r>
  <r>
    <x v="326"/>
    <n v="764219511"/>
    <s v="B_0"/>
    <n v="0"/>
    <n v="0"/>
    <n v="8.2272500000000003E-7"/>
    <n v="0"/>
  </r>
  <r>
    <x v="327"/>
    <n v="544166387"/>
    <s v="B_0"/>
    <n v="0"/>
    <n v="0"/>
    <n v="7.8981599999999996E-7"/>
    <n v="0"/>
  </r>
  <r>
    <x v="328"/>
    <n v="848623397"/>
    <s v="B_0"/>
    <n v="0"/>
    <n v="0"/>
    <n v="7.58223E-7"/>
    <n v="0"/>
  </r>
  <r>
    <x v="329"/>
    <n v="17130638"/>
    <s v="B_0"/>
    <n v="0"/>
    <n v="0"/>
    <n v="7.2789399999999999E-7"/>
    <n v="0"/>
  </r>
  <r>
    <x v="330"/>
    <n v="134623092"/>
    <s v="B_0"/>
    <n v="0"/>
    <n v="0"/>
    <n v="6.9877800000000001E-7"/>
    <n v="0"/>
  </r>
  <r>
    <x v="331"/>
    <n v="314548343"/>
    <s v="B_0"/>
    <n v="0"/>
    <n v="0"/>
    <n v="6.70827E-7"/>
    <n v="0"/>
  </r>
  <r>
    <x v="332"/>
    <n v="153685163"/>
    <s v="B_0"/>
    <n v="0"/>
    <n v="0"/>
    <n v="6.4399400000000004E-7"/>
    <n v="0"/>
  </r>
  <r>
    <x v="333"/>
    <n v="688105255"/>
    <s v="B_0"/>
    <n v="0"/>
    <n v="0"/>
    <n v="6.1823399999999995E-7"/>
    <n v="0"/>
  </r>
  <r>
    <x v="334"/>
    <n v="785501945"/>
    <s v="B_0"/>
    <n v="0"/>
    <n v="0"/>
    <n v="5.9350500000000005E-7"/>
    <n v="0"/>
  </r>
  <r>
    <x v="335"/>
    <n v="821573238"/>
    <s v="B_0"/>
    <n v="0"/>
    <n v="0"/>
    <n v="5.6976500000000002E-7"/>
    <n v="0"/>
  </r>
  <r>
    <x v="336"/>
    <n v="954212337"/>
    <s v="B_0"/>
    <n v="0"/>
    <n v="0"/>
    <n v="5.4697400000000004E-7"/>
    <n v="0"/>
  </r>
  <r>
    <x v="337"/>
    <n v="586670474"/>
    <s v="B_0"/>
    <n v="0"/>
    <n v="0"/>
    <n v="5.2509500000000003E-7"/>
    <n v="0"/>
  </r>
  <r>
    <x v="338"/>
    <n v="89298551"/>
    <s v="B_0"/>
    <n v="0"/>
    <n v="0"/>
    <n v="5.0409100000000004E-7"/>
    <n v="0"/>
  </r>
  <r>
    <x v="339"/>
    <n v="534840130"/>
    <s v="B_0"/>
    <n v="0"/>
    <n v="0"/>
    <n v="4.8392799999999996E-7"/>
    <n v="0"/>
  </r>
  <r>
    <x v="340"/>
    <n v="241377480"/>
    <s v="B_0"/>
    <n v="0"/>
    <n v="0"/>
    <n v="4.6457100000000001E-7"/>
    <n v="0"/>
  </r>
  <r>
    <x v="341"/>
    <n v="167270613"/>
    <s v="B_0"/>
    <n v="0"/>
    <n v="0"/>
    <n v="4.4598799999999998E-7"/>
    <n v="0"/>
  </r>
  <r>
    <x v="342"/>
    <n v="573489589"/>
    <s v="B_0"/>
    <n v="0"/>
    <n v="0"/>
    <n v="4.2814799999999998E-7"/>
    <n v="0"/>
  </r>
  <r>
    <x v="343"/>
    <n v="145372314"/>
    <s v="B_0"/>
    <n v="0"/>
    <n v="0"/>
    <n v="4.1102199999999999E-7"/>
    <n v="0"/>
  </r>
  <r>
    <x v="344"/>
    <n v="148494787"/>
    <s v="B_0"/>
    <n v="0"/>
    <n v="0"/>
    <n v="3.9458199999999998E-7"/>
    <n v="0"/>
  </r>
  <r>
    <x v="345"/>
    <n v="242648219"/>
    <s v="B_0"/>
    <n v="0"/>
    <n v="0"/>
    <n v="3.7879799999999998E-7"/>
    <n v="0"/>
  </r>
  <r>
    <x v="346"/>
    <n v="787420277"/>
    <s v="B_0"/>
    <n v="0"/>
    <n v="0"/>
    <n v="3.63646E-7"/>
    <n v="0"/>
  </r>
  <r>
    <x v="347"/>
    <n v="931893696"/>
    <s v="B_0"/>
    <n v="0"/>
    <n v="0"/>
    <n v="3.4910000000000002E-7"/>
    <n v="0"/>
  </r>
  <r>
    <x v="348"/>
    <n v="374164145"/>
    <s v="B_0"/>
    <n v="0"/>
    <n v="0"/>
    <n v="3.3513600000000002E-7"/>
    <n v="0"/>
  </r>
  <r>
    <x v="349"/>
    <n v="928000801"/>
    <s v="B_0"/>
    <n v="0"/>
    <n v="0"/>
    <n v="3.2173099999999998E-7"/>
    <n v="0"/>
  </r>
  <r>
    <x v="350"/>
    <n v="264926215"/>
    <s v="B_0"/>
    <n v="0"/>
    <n v="0"/>
    <n v="3.0886199999999998E-7"/>
    <n v="0"/>
  </r>
  <r>
    <x v="351"/>
    <n v="219710849"/>
    <s v="B_0"/>
    <n v="0"/>
    <n v="0"/>
    <n v="2.9650700000000002E-7"/>
    <n v="0"/>
  </r>
  <r>
    <x v="352"/>
    <n v="64860405"/>
    <s v="B_0"/>
    <n v="0"/>
    <n v="0"/>
    <n v="2.8464700000000002E-7"/>
    <n v="0"/>
  </r>
  <r>
    <x v="353"/>
    <n v="913204943"/>
    <s v="B_0"/>
    <n v="0"/>
    <n v="0"/>
    <n v="2.7326099999999997E-7"/>
    <n v="0"/>
  </r>
  <r>
    <x v="354"/>
    <n v="918431205"/>
    <s v="B_0"/>
    <n v="0"/>
    <n v="0"/>
    <n v="2.6233100000000002E-7"/>
    <n v="0"/>
  </r>
  <r>
    <x v="355"/>
    <n v="382940412"/>
    <s v="B_0"/>
    <n v="0"/>
    <n v="0"/>
    <n v="2.5183699999999998E-7"/>
    <n v="0"/>
  </r>
  <r>
    <x v="356"/>
    <n v="496851344"/>
    <s v="B_0"/>
    <n v="0"/>
    <n v="0"/>
    <n v="2.4176400000000002E-7"/>
    <n v="0"/>
  </r>
  <r>
    <x v="357"/>
    <n v="189440161"/>
    <s v="B_0"/>
    <n v="0"/>
    <n v="0"/>
    <n v="2.3209300000000001E-7"/>
    <n v="0"/>
  </r>
  <r>
    <x v="358"/>
    <n v="817008087"/>
    <s v="B_0"/>
    <n v="0"/>
    <n v="0"/>
    <n v="2.2280999999999999E-7"/>
    <n v="0"/>
  </r>
  <r>
    <x v="359"/>
    <n v="709883471"/>
    <s v="B_0"/>
    <n v="0"/>
    <n v="0"/>
    <n v="2.13897E-7"/>
    <n v="0"/>
  </r>
  <r>
    <x v="360"/>
    <n v="921828041"/>
    <s v="B_0"/>
    <n v="0"/>
    <n v="0"/>
    <n v="2.0534100000000001E-7"/>
    <n v="0"/>
  </r>
  <r>
    <x v="361"/>
    <n v="582853247"/>
    <s v="B_0"/>
    <n v="0"/>
    <n v="0"/>
    <n v="1.9712799999999999E-7"/>
    <n v="0"/>
  </r>
  <r>
    <x v="362"/>
    <n v="195169261"/>
    <s v="B_0"/>
    <n v="0"/>
    <n v="0"/>
    <n v="1.89243E-7"/>
    <n v="0"/>
  </r>
  <r>
    <x v="363"/>
    <n v="863256402"/>
    <s v="B_0"/>
    <n v="0"/>
    <n v="0"/>
    <n v="1.8167299999999999E-7"/>
    <n v="0"/>
  </r>
  <r>
    <x v="364"/>
    <n v="963113104"/>
    <s v="B_0"/>
    <n v="0"/>
    <n v="0"/>
    <n v="1.7440600000000001E-7"/>
    <n v="0"/>
  </r>
  <r>
    <x v="365"/>
    <n v="431757026"/>
    <s v="B_0"/>
    <n v="0"/>
    <n v="0"/>
    <n v="1.6743000000000001E-7"/>
    <n v="0"/>
  </r>
  <r>
    <x v="366"/>
    <n v="296575919"/>
    <s v="B_0"/>
    <n v="0"/>
    <n v="0"/>
    <n v="1.6073299999999999E-7"/>
    <n v="0"/>
  </r>
  <r>
    <x v="367"/>
    <n v="346155792"/>
    <s v="B_0"/>
    <n v="0"/>
    <n v="0"/>
    <n v="1.54303E-7"/>
    <n v="0"/>
  </r>
  <r>
    <x v="368"/>
    <n v="105543828"/>
    <s v="B_0"/>
    <n v="0"/>
    <n v="0"/>
    <n v="1.4813099999999999E-7"/>
    <n v="0"/>
  </r>
  <r>
    <x v="369"/>
    <n v="205450790"/>
    <s v="B_0"/>
    <n v="0"/>
    <n v="0"/>
    <n v="1.42206E-7"/>
    <n v="0"/>
  </r>
  <r>
    <x v="370"/>
    <n v="429783974"/>
    <s v="B_0"/>
    <n v="0"/>
    <n v="0"/>
    <n v="1.3651800000000001E-7"/>
    <n v="0"/>
  </r>
  <r>
    <x v="371"/>
    <n v="120832171"/>
    <s v="B_0"/>
    <n v="0"/>
    <n v="0"/>
    <n v="1.3105700000000001E-7"/>
    <n v="0"/>
  </r>
  <r>
    <x v="372"/>
    <n v="712127419"/>
    <s v="B_0"/>
    <n v="0"/>
    <n v="0"/>
    <n v="1.2581499999999999E-7"/>
    <n v="0"/>
  </r>
  <r>
    <x v="373"/>
    <n v="347477913"/>
    <s v="B_0"/>
    <n v="0"/>
    <n v="0"/>
    <n v="1.20782E-7"/>
    <n v="0"/>
  </r>
  <r>
    <x v="374"/>
    <n v="246648460"/>
    <s v="B_0"/>
    <n v="0"/>
    <n v="0"/>
    <n v="1.15951E-7"/>
    <n v="0"/>
  </r>
  <r>
    <x v="375"/>
    <n v="517059965"/>
    <s v="B_0"/>
    <n v="0"/>
    <n v="0"/>
    <n v="1.11313E-7"/>
    <n v="0"/>
  </r>
  <r>
    <x v="376"/>
    <n v="997470530"/>
    <s v="B_0"/>
    <n v="0"/>
    <n v="0"/>
    <n v="1.0686000000000001E-7"/>
    <n v="0"/>
  </r>
  <r>
    <x v="377"/>
    <n v="707032715"/>
    <s v="B_0"/>
    <n v="0"/>
    <n v="0"/>
    <n v="1.02586E-7"/>
    <n v="0"/>
  </r>
  <r>
    <x v="378"/>
    <n v="286192731"/>
    <s v="B_0"/>
    <n v="0"/>
    <n v="0"/>
    <n v="9.8482400000000003E-8"/>
    <n v="0"/>
  </r>
  <r>
    <x v="379"/>
    <n v="642642507"/>
    <s v="B_0"/>
    <n v="0"/>
    <n v="0"/>
    <n v="9.4543099999999994E-8"/>
    <n v="0"/>
  </r>
  <r>
    <x v="380"/>
    <n v="252541533"/>
    <s v="B_0"/>
    <n v="0"/>
    <n v="0"/>
    <n v="9.0761399999999996E-8"/>
    <n v="0"/>
  </r>
  <r>
    <x v="381"/>
    <n v="339574670"/>
    <s v="B_0"/>
    <n v="0"/>
    <n v="0"/>
    <n v="8.7130899999999996E-8"/>
    <n v="0"/>
  </r>
  <r>
    <x v="382"/>
    <n v="109210196"/>
    <s v="B_0"/>
    <n v="0"/>
    <n v="0"/>
    <n v="8.3645700000000004E-8"/>
    <n v="0"/>
  </r>
  <r>
    <x v="383"/>
    <n v="778115495"/>
    <s v="B_0"/>
    <n v="0"/>
    <n v="0"/>
    <n v="8.0299900000000006E-8"/>
    <n v="0"/>
  </r>
  <r>
    <x v="384"/>
    <n v="409348478"/>
    <s v="B_0"/>
    <n v="0"/>
    <n v="0"/>
    <n v="7.7087900000000003E-8"/>
    <n v="0"/>
  </r>
  <r>
    <x v="385"/>
    <n v="409216068"/>
    <s v="B_0"/>
    <n v="0"/>
    <n v="0"/>
    <n v="7.4004400000000001E-8"/>
    <n v="0"/>
  </r>
  <r>
    <x v="386"/>
    <n v="999756168"/>
    <s v="B_0"/>
    <n v="0"/>
    <n v="0"/>
    <n v="7.1044199999999995E-8"/>
    <n v="0"/>
  </r>
  <r>
    <x v="387"/>
    <n v="552694014"/>
    <s v="B_0"/>
    <n v="0"/>
    <n v="0"/>
    <n v="6.8202399999999999E-8"/>
    <n v="0"/>
  </r>
  <r>
    <x v="388"/>
    <n v="541287964"/>
    <s v="B_0"/>
    <n v="0"/>
    <n v="0"/>
    <n v="6.5474299999999998E-8"/>
    <n v="0"/>
  </r>
  <r>
    <x v="389"/>
    <n v="453364300"/>
    <s v="B_0"/>
    <n v="0"/>
    <n v="0"/>
    <n v="6.2855300000000006E-8"/>
    <n v="0"/>
  </r>
  <r>
    <x v="390"/>
    <n v="779227039"/>
    <s v="B_0"/>
    <n v="0"/>
    <n v="0"/>
    <n v="6.0341100000000003E-8"/>
    <n v="0"/>
  </r>
  <r>
    <x v="391"/>
    <n v="148017212"/>
    <s v="B_0"/>
    <n v="0"/>
    <n v="0"/>
    <n v="5.79275E-8"/>
    <n v="0"/>
  </r>
  <r>
    <x v="392"/>
    <n v="987179134"/>
    <s v="B_0"/>
    <n v="0"/>
    <n v="0"/>
    <n v="5.5610400000000001E-8"/>
    <n v="0"/>
  </r>
  <r>
    <x v="393"/>
    <n v="180434972"/>
    <s v="B_0"/>
    <n v="0"/>
    <n v="0"/>
    <n v="5.3385999999999999E-8"/>
    <n v="0"/>
  </r>
  <r>
    <x v="394"/>
    <n v="74258728"/>
    <s v="B_0"/>
    <n v="0"/>
    <n v="0"/>
    <n v="5.12505E-8"/>
    <n v="0"/>
  </r>
  <r>
    <x v="395"/>
    <n v="464333262"/>
    <s v="B_0"/>
    <n v="0"/>
    <n v="0"/>
    <n v="4.9200499999999998E-8"/>
    <n v="0"/>
  </r>
  <r>
    <x v="396"/>
    <n v="101181173"/>
    <s v="B_0"/>
    <n v="0"/>
    <n v="0"/>
    <n v="4.7232500000000003E-8"/>
    <n v="0"/>
  </r>
  <r>
    <x v="397"/>
    <n v="181233041"/>
    <s v="B_0"/>
    <n v="0"/>
    <n v="0"/>
    <n v="4.5343200000000002E-8"/>
    <n v="0"/>
  </r>
  <r>
    <x v="398"/>
    <n v="757583585"/>
    <s v="B_0"/>
    <n v="0"/>
    <n v="0"/>
    <n v="4.3529499999999999E-8"/>
    <n v="0"/>
  </r>
  <r>
    <x v="399"/>
    <n v="388104017"/>
    <s v="B_0"/>
    <n v="0"/>
    <n v="0"/>
    <n v="4.17883E-8"/>
    <n v="0"/>
  </r>
  <r>
    <x v="400"/>
    <n v="615048719"/>
    <s v="B_0"/>
    <n v="0"/>
    <n v="0"/>
    <n v="4.0116799999999997E-8"/>
    <n v="0"/>
  </r>
  <r>
    <x v="401"/>
    <n v="681962565"/>
    <s v="B_0"/>
    <n v="0"/>
    <n v="0"/>
    <n v="3.85121E-8"/>
    <n v="0"/>
  </r>
  <r>
    <x v="402"/>
    <n v="533863293"/>
    <s v="B_0"/>
    <n v="0"/>
    <n v="0"/>
    <n v="3.69716E-8"/>
    <n v="0"/>
  </r>
  <r>
    <x v="403"/>
    <n v="967843412"/>
    <s v="B_0"/>
    <n v="0"/>
    <n v="0"/>
    <n v="3.5492700000000003E-8"/>
    <n v="0"/>
  </r>
  <r>
    <x v="404"/>
    <n v="341320993"/>
    <s v="B_0"/>
    <n v="0"/>
    <n v="0"/>
    <n v="3.4072999999999997E-8"/>
    <n v="0"/>
  </r>
  <r>
    <x v="405"/>
    <n v="803839102"/>
    <s v="B_0"/>
    <n v="0"/>
    <n v="0"/>
    <n v="3.2710099999999999E-8"/>
    <n v="0"/>
  </r>
  <r>
    <x v="406"/>
    <n v="343360349"/>
    <s v="B_0"/>
    <n v="0"/>
    <n v="0"/>
    <n v="3.1401700000000003E-8"/>
    <n v="0"/>
  </r>
  <r>
    <x v="407"/>
    <n v="672092285"/>
    <s v="B_0"/>
    <n v="0"/>
    <n v="0"/>
    <n v="3.0145600000000002E-8"/>
    <n v="0"/>
  </r>
  <r>
    <x v="408"/>
    <n v="505585372"/>
    <s v="B_0"/>
    <n v="0"/>
    <n v="0"/>
    <n v="2.8939799999999999E-8"/>
    <n v="0"/>
  </r>
  <r>
    <x v="409"/>
    <n v="979223678"/>
    <s v="B_0"/>
    <n v="0"/>
    <n v="0"/>
    <n v="2.7782200000000001E-8"/>
    <n v="0"/>
  </r>
  <r>
    <x v="410"/>
    <n v="960136073"/>
    <s v="B_0"/>
    <n v="0"/>
    <n v="0"/>
    <n v="2.6670899999999999E-8"/>
    <n v="0"/>
  </r>
  <r>
    <x v="411"/>
    <n v="417411667"/>
    <s v="B_0"/>
    <n v="0"/>
    <n v="0"/>
    <n v="2.5604100000000001E-8"/>
    <n v="0"/>
  </r>
  <r>
    <x v="412"/>
    <n v="100485665"/>
    <s v="B_0"/>
    <n v="0"/>
    <n v="0"/>
    <n v="2.45799E-8"/>
    <n v="0"/>
  </r>
  <r>
    <x v="413"/>
    <n v="554506727"/>
    <s v="B_0"/>
    <n v="0"/>
    <n v="0"/>
    <n v="2.35967E-8"/>
    <n v="0"/>
  </r>
  <r>
    <x v="414"/>
    <n v="402911378"/>
    <s v="B_0"/>
    <n v="0"/>
    <n v="0"/>
    <n v="2.2652899999999999E-8"/>
    <n v="0"/>
  </r>
  <r>
    <x v="415"/>
    <n v="753950356"/>
    <s v="B_0"/>
    <n v="0"/>
    <n v="0"/>
    <n v="2.17467E-8"/>
    <n v="0"/>
  </r>
  <r>
    <x v="416"/>
    <n v="874565421"/>
    <s v="B_0"/>
    <n v="0"/>
    <n v="0"/>
    <n v="2.08769E-8"/>
    <n v="0"/>
  </r>
  <r>
    <x v="417"/>
    <n v="972524948"/>
    <s v="B_0"/>
    <n v="0"/>
    <n v="0"/>
    <n v="2.0041800000000001E-8"/>
    <n v="0"/>
  </r>
  <r>
    <x v="418"/>
    <n v="495902099"/>
    <s v="B_0"/>
    <n v="0"/>
    <n v="0"/>
    <n v="1.9240100000000001E-8"/>
    <n v="0"/>
  </r>
  <r>
    <x v="419"/>
    <n v="333131467"/>
    <s v="B_0"/>
    <n v="0"/>
    <n v="0"/>
    <n v="1.84705E-8"/>
    <n v="0"/>
  </r>
  <r>
    <x v="420"/>
    <n v="653026098"/>
    <s v="B_0"/>
    <n v="0"/>
    <n v="0"/>
    <n v="1.77317E-8"/>
    <n v="0"/>
  </r>
  <r>
    <x v="421"/>
    <n v="505412516"/>
    <s v="B_0"/>
    <n v="0"/>
    <n v="0"/>
    <n v="1.70224E-8"/>
    <n v="0"/>
  </r>
  <r>
    <x v="422"/>
    <n v="816186026"/>
    <s v="B_0"/>
    <n v="0"/>
    <n v="0"/>
    <n v="1.6341500000000001E-8"/>
    <n v="0"/>
  </r>
  <r>
    <x v="423"/>
    <n v="371952423"/>
    <s v="B_0"/>
    <n v="0"/>
    <n v="0"/>
    <n v="1.5687899999999999E-8"/>
    <n v="0"/>
  </r>
  <r>
    <x v="424"/>
    <n v="509247036"/>
    <s v="B_0"/>
    <n v="0"/>
    <n v="0"/>
    <n v="1.5060399999999999E-8"/>
    <n v="0"/>
  </r>
  <r>
    <x v="425"/>
    <n v="684909644"/>
    <s v="B_0"/>
    <n v="0"/>
    <n v="0"/>
    <n v="1.4457900000000001E-8"/>
    <n v="0"/>
  </r>
  <r>
    <x v="426"/>
    <n v="266244777"/>
    <s v="B_0"/>
    <n v="0"/>
    <n v="0"/>
    <n v="1.3879600000000001E-8"/>
    <n v="0"/>
  </r>
  <r>
    <x v="427"/>
    <n v="472430546"/>
    <s v="B_0"/>
    <n v="0"/>
    <n v="0"/>
    <n v="1.3324399999999999E-8"/>
    <n v="0"/>
  </r>
  <r>
    <x v="428"/>
    <n v="75339336"/>
    <s v="B_0"/>
    <n v="0"/>
    <n v="0"/>
    <n v="1.2791500000000001E-8"/>
    <n v="0"/>
  </r>
  <r>
    <x v="429"/>
    <n v="606580838"/>
    <s v="B_0"/>
    <n v="0"/>
    <n v="0"/>
    <n v="1.2279800000000001E-8"/>
    <n v="0"/>
  </r>
  <r>
    <x v="430"/>
    <n v="409110375"/>
    <s v="B_0"/>
    <n v="0"/>
    <n v="0"/>
    <n v="1.17886E-8"/>
    <n v="0"/>
  </r>
  <r>
    <x v="431"/>
    <n v="755992754"/>
    <s v="B_0"/>
    <n v="0"/>
    <n v="0"/>
    <n v="1.13171E-8"/>
    <n v="0"/>
  </r>
  <r>
    <x v="432"/>
    <n v="554247322"/>
    <s v="B_0"/>
    <n v="0"/>
    <n v="0"/>
    <n v="1.0864400000000001E-8"/>
    <n v="0"/>
  </r>
  <r>
    <x v="433"/>
    <n v="754713312"/>
    <s v="B_0"/>
    <n v="0"/>
    <n v="0"/>
    <n v="1.0429800000000001E-8"/>
    <n v="0"/>
  </r>
  <r>
    <x v="434"/>
    <n v="763846463"/>
    <s v="B_0"/>
    <n v="0"/>
    <n v="0"/>
    <n v="1.00126E-8"/>
    <n v="0"/>
  </r>
  <r>
    <x v="435"/>
    <n v="219356870"/>
    <s v="B_0"/>
    <n v="0"/>
    <n v="0"/>
    <n v="9.6121100000000006E-9"/>
    <n v="0"/>
  </r>
  <r>
    <x v="436"/>
    <n v="410799490"/>
    <s v="B_0"/>
    <n v="0"/>
    <n v="0"/>
    <n v="9.2276299999999995E-9"/>
    <n v="0"/>
  </r>
  <r>
    <x v="437"/>
    <n v="97873848"/>
    <s v="B_0"/>
    <n v="0"/>
    <n v="0"/>
    <n v="8.8585199999999993E-9"/>
    <n v="0"/>
  </r>
  <r>
    <x v="438"/>
    <n v="122114084"/>
    <s v="B_0"/>
    <n v="0"/>
    <n v="0"/>
    <n v="8.5041800000000007E-9"/>
    <n v="0"/>
  </r>
  <r>
    <x v="439"/>
    <n v="878262718"/>
    <s v="B_0"/>
    <n v="0"/>
    <n v="0"/>
    <n v="8.1640199999999993E-9"/>
    <n v="0"/>
  </r>
  <r>
    <x v="440"/>
    <n v="680385536"/>
    <s v="B_0"/>
    <n v="0"/>
    <n v="0"/>
    <n v="7.8374600000000004E-9"/>
    <n v="0"/>
  </r>
  <r>
    <x v="441"/>
    <n v="614636719"/>
    <s v="B_0"/>
    <n v="0"/>
    <n v="0"/>
    <n v="7.5239600000000006E-9"/>
    <n v="0"/>
  </r>
  <r>
    <x v="442"/>
    <n v="667089082"/>
    <s v="B_0"/>
    <n v="0"/>
    <n v="0"/>
    <n v="7.2230000000000004E-9"/>
    <n v="0"/>
  </r>
  <r>
    <x v="443"/>
    <n v="754475882"/>
    <s v="B_0"/>
    <n v="0"/>
    <n v="0"/>
    <n v="6.9340800000000001E-9"/>
    <n v="0"/>
  </r>
  <r>
    <x v="444"/>
    <n v="664340012"/>
    <s v="B_0"/>
    <n v="0"/>
    <n v="0"/>
    <n v="6.6567199999999997E-9"/>
    <n v="0"/>
  </r>
  <r>
    <x v="445"/>
    <n v="662731058"/>
    <s v="B_0"/>
    <n v="0"/>
    <n v="0"/>
    <n v="6.39045E-9"/>
    <n v="0"/>
  </r>
  <r>
    <x v="446"/>
    <n v="608743063"/>
    <s v="B_0"/>
    <n v="0"/>
    <n v="0"/>
    <n v="6.1348300000000004E-9"/>
    <n v="0"/>
  </r>
  <r>
    <x v="447"/>
    <n v="319927294"/>
    <s v="B_0"/>
    <n v="0"/>
    <n v="0"/>
    <n v="5.8894400000000003E-9"/>
    <n v="0"/>
  </r>
  <r>
    <x v="448"/>
    <n v="399476449"/>
    <s v="B_0"/>
    <n v="0"/>
    <n v="0"/>
    <n v="5.6538599999999997E-9"/>
    <n v="0"/>
  </r>
  <r>
    <x v="449"/>
    <n v="823902069"/>
    <s v="B_0"/>
    <n v="0"/>
    <n v="0"/>
    <n v="5.4277000000000002E-9"/>
    <n v="0"/>
  </r>
  <r>
    <x v="450"/>
    <n v="503335271"/>
    <s v="B_0"/>
    <n v="0"/>
    <n v="0"/>
    <n v="5.2106000000000002E-9"/>
    <n v="0"/>
  </r>
  <r>
    <x v="451"/>
    <n v="499421395"/>
    <s v="B_0"/>
    <n v="0"/>
    <n v="0"/>
    <n v="5.0021700000000003E-9"/>
    <n v="0"/>
  </r>
  <r>
    <x v="452"/>
    <n v="112437424"/>
    <s v="B_0"/>
    <n v="0"/>
    <n v="0"/>
    <n v="4.8020900000000003E-9"/>
    <n v="0"/>
  </r>
  <r>
    <x v="453"/>
    <n v="690505706"/>
    <s v="B_0"/>
    <n v="0"/>
    <n v="0"/>
    <n v="4.6099999999999996E-9"/>
    <n v="0"/>
  </r>
  <r>
    <x v="454"/>
    <n v="217190435"/>
    <s v="B_0"/>
    <n v="0"/>
    <n v="0"/>
    <n v="4.4256000000000001E-9"/>
    <n v="0"/>
  </r>
  <r>
    <x v="455"/>
    <n v="216659257"/>
    <s v="B_0"/>
    <n v="0"/>
    <n v="0"/>
    <n v="4.2485799999999998E-9"/>
    <n v="0"/>
  </r>
  <r>
    <x v="456"/>
    <n v="928193350"/>
    <s v="B_0"/>
    <n v="0"/>
    <n v="0"/>
    <n v="4.07863E-9"/>
    <n v="0"/>
  </r>
  <r>
    <x v="457"/>
    <n v="214032322"/>
    <s v="B_0"/>
    <n v="0"/>
    <n v="0"/>
    <n v="3.9154899999999997E-9"/>
    <n v="0"/>
  </r>
  <r>
    <x v="458"/>
    <n v="544625282"/>
    <s v="B_0"/>
    <n v="0"/>
    <n v="0"/>
    <n v="3.7588699999999999E-9"/>
    <n v="0"/>
  </r>
  <r>
    <x v="459"/>
    <n v="837644506"/>
    <s v="B_0"/>
    <n v="0"/>
    <n v="0"/>
    <n v="3.6085199999999999E-9"/>
    <n v="0"/>
  </r>
  <r>
    <x v="460"/>
    <n v="502279971"/>
    <s v="B_0"/>
    <n v="0"/>
    <n v="0"/>
    <n v="3.46417E-9"/>
    <n v="0"/>
  </r>
  <r>
    <x v="461"/>
    <n v="119422827"/>
    <s v="B_0"/>
    <n v="0"/>
    <n v="0"/>
    <n v="3.3256100000000001E-9"/>
    <n v="0"/>
  </r>
  <r>
    <x v="462"/>
    <n v="365005252"/>
    <s v="B_0"/>
    <n v="0"/>
    <n v="0"/>
    <n v="3.1925800000000002E-9"/>
    <n v="0"/>
  </r>
  <r>
    <x v="463"/>
    <n v="759661178"/>
    <s v="B_0"/>
    <n v="0"/>
    <n v="0"/>
    <n v="3.0648799999999999E-9"/>
    <n v="0"/>
  </r>
  <r>
    <x v="464"/>
    <n v="729177729"/>
    <s v="B_0"/>
    <n v="0"/>
    <n v="0"/>
    <n v="2.9422799999999999E-9"/>
    <n v="0"/>
  </r>
  <r>
    <x v="465"/>
    <n v="307984075"/>
    <s v="B_0"/>
    <n v="0"/>
    <n v="0"/>
    <n v="2.8245900000000001E-9"/>
    <n v="0"/>
  </r>
  <r>
    <x v="466"/>
    <n v="561616936"/>
    <s v="B_0"/>
    <n v="0"/>
    <n v="0"/>
    <n v="2.7116099999999999E-9"/>
    <n v="0"/>
  </r>
  <r>
    <x v="467"/>
    <n v="499736493"/>
    <s v="B_0"/>
    <n v="0"/>
    <n v="0"/>
    <n v="2.6031500000000001E-9"/>
    <n v="0"/>
  </r>
  <r>
    <x v="468"/>
    <n v="240232293"/>
    <s v="B_0"/>
    <n v="0"/>
    <n v="0"/>
    <n v="2.4990199999999999E-9"/>
    <n v="0"/>
  </r>
  <r>
    <x v="469"/>
    <n v="462297772"/>
    <s v="B_0"/>
    <n v="0"/>
    <n v="0"/>
    <n v="2.3990600000000002E-9"/>
    <n v="0"/>
  </r>
  <r>
    <x v="470"/>
    <n v="115732100"/>
    <s v="B_0"/>
    <n v="0"/>
    <n v="0"/>
    <n v="2.3031E-9"/>
    <n v="0"/>
  </r>
  <r>
    <x v="471"/>
    <n v="652686799"/>
    <s v="B_0"/>
    <n v="0"/>
    <n v="0"/>
    <n v="2.2109699999999999E-9"/>
    <n v="0"/>
  </r>
  <r>
    <x v="472"/>
    <n v="153815200"/>
    <s v="B_0"/>
    <n v="0"/>
    <n v="0"/>
    <n v="2.1225300000000001E-9"/>
    <n v="0"/>
  </r>
  <r>
    <x v="473"/>
    <n v="139810323"/>
    <s v="B_0"/>
    <n v="0"/>
    <n v="0"/>
    <n v="2.0376300000000001E-9"/>
    <n v="0"/>
  </r>
  <r>
    <x v="474"/>
    <n v="240757007"/>
    <s v="B_0"/>
    <n v="0"/>
    <n v="0"/>
    <n v="1.9561299999999999E-9"/>
    <n v="0"/>
  </r>
  <r>
    <x v="475"/>
    <n v="799662909"/>
    <s v="B_0"/>
    <n v="0"/>
    <n v="0"/>
    <n v="1.8778800000000001E-9"/>
    <n v="0"/>
  </r>
  <r>
    <x v="476"/>
    <n v="991557721"/>
    <s v="B_0"/>
    <n v="0"/>
    <n v="0"/>
    <n v="1.80277E-9"/>
    <n v="0"/>
  </r>
  <r>
    <x v="477"/>
    <n v="217483586"/>
    <s v="B_0"/>
    <n v="0"/>
    <n v="0"/>
    <n v="1.7306600000000001E-9"/>
    <n v="0"/>
  </r>
  <r>
    <x v="478"/>
    <n v="963542721"/>
    <s v="B_0"/>
    <n v="0"/>
    <n v="0"/>
    <n v="1.6614299999999999E-9"/>
    <n v="0"/>
  </r>
  <r>
    <x v="479"/>
    <n v="155945983"/>
    <s v="B_0"/>
    <n v="0"/>
    <n v="0"/>
    <n v="1.5949699999999999E-9"/>
    <n v="0"/>
  </r>
  <r>
    <x v="480"/>
    <n v="214775101"/>
    <s v="B_0"/>
    <n v="0"/>
    <n v="0"/>
    <n v="1.53117E-9"/>
    <n v="0"/>
  </r>
  <r>
    <x v="481"/>
    <n v="854562422"/>
    <s v="B_0"/>
    <n v="0"/>
    <n v="0"/>
    <n v="1.4699299999999999E-9"/>
    <n v="0"/>
  </r>
  <r>
    <x v="482"/>
    <n v="862976925"/>
    <s v="B_0"/>
    <n v="0"/>
    <n v="0"/>
    <n v="1.4111300000000001E-9"/>
    <n v="0"/>
  </r>
  <r>
    <x v="483"/>
    <n v="155380542"/>
    <s v="B_0"/>
    <n v="0"/>
    <n v="0"/>
    <n v="1.3546799999999999E-9"/>
    <n v="0"/>
  </r>
  <r>
    <x v="484"/>
    <n v="777922170"/>
    <s v="B_0"/>
    <n v="0"/>
    <n v="0"/>
    <n v="1.3005E-9"/>
    <n v="0"/>
  </r>
  <r>
    <x v="485"/>
    <n v="573599403"/>
    <s v="B_0"/>
    <n v="0"/>
    <n v="0"/>
    <n v="1.24848E-9"/>
    <n v="0"/>
  </r>
  <r>
    <x v="486"/>
    <n v="942678229"/>
    <s v="B_0"/>
    <n v="0"/>
    <n v="0"/>
    <n v="1.1985400000000001E-9"/>
    <n v="0"/>
  </r>
  <r>
    <x v="487"/>
    <n v="26070470"/>
    <s v="B_0"/>
    <n v="0"/>
    <n v="0"/>
    <n v="1.1505999999999999E-9"/>
    <n v="0"/>
  </r>
  <r>
    <x v="488"/>
    <n v="143261146"/>
    <s v="B_0"/>
    <n v="0"/>
    <n v="0"/>
    <n v="1.10457E-9"/>
    <n v="0"/>
  </r>
  <r>
    <x v="489"/>
    <n v="771318741"/>
    <s v="B_0"/>
    <n v="0"/>
    <n v="0"/>
    <n v="1.0603900000000001E-9"/>
    <n v="0"/>
  </r>
  <r>
    <x v="490"/>
    <n v="580462080"/>
    <s v="B_0"/>
    <n v="0"/>
    <n v="0"/>
    <n v="1.0179699999999999E-9"/>
    <n v="0"/>
  </r>
  <r>
    <x v="491"/>
    <n v="732753108"/>
    <s v="B_0"/>
    <n v="0"/>
    <n v="0"/>
    <n v="9.7725500000000005E-10"/>
    <n v="0"/>
  </r>
  <r>
    <x v="492"/>
    <n v="306274132"/>
    <s v="B_0"/>
    <n v="0"/>
    <n v="0"/>
    <n v="9.3816499999999993E-10"/>
    <n v="0"/>
  </r>
  <r>
    <x v="493"/>
    <n v="460986768"/>
    <s v="B_0"/>
    <n v="0"/>
    <n v="0"/>
    <n v="9.0063799999999999E-10"/>
    <n v="0"/>
  </r>
  <r>
    <x v="494"/>
    <n v="957588513"/>
    <s v="B_0"/>
    <n v="0"/>
    <n v="0"/>
    <n v="8.64613E-10"/>
    <n v="0"/>
  </r>
  <r>
    <x v="495"/>
    <n v="679607242"/>
    <s v="B_0"/>
    <n v="0"/>
    <n v="0"/>
    <n v="8.3002799999999996E-10"/>
    <n v="0"/>
  </r>
  <r>
    <x v="496"/>
    <n v="966101454"/>
    <s v="B_0"/>
    <n v="0"/>
    <n v="0"/>
    <n v="7.96827E-10"/>
    <n v="0"/>
  </r>
  <r>
    <x v="497"/>
    <n v="723897936"/>
    <s v="B_0"/>
    <n v="0"/>
    <n v="0"/>
    <n v="7.6495399999999996E-10"/>
    <n v="0"/>
  </r>
  <r>
    <x v="498"/>
    <n v="849490600"/>
    <s v="B_0"/>
    <n v="0"/>
    <n v="0"/>
    <n v="7.34356E-10"/>
    <n v="0"/>
  </r>
  <r>
    <x v="499"/>
    <n v="283963449"/>
    <s v="B_0"/>
    <n v="0"/>
    <n v="0"/>
    <n v="7.04982E-10"/>
    <n v="0"/>
  </r>
  <r>
    <x v="500"/>
    <n v="262557037"/>
    <s v="B_0"/>
    <n v="0"/>
    <n v="0"/>
    <n v="6.7678200000000003E-10"/>
    <n v="0"/>
  </r>
  <r>
    <x v="501"/>
    <n v="224710013"/>
    <s v="B_0"/>
    <n v="0"/>
    <n v="0"/>
    <n v="6.4971100000000003E-10"/>
    <n v="0"/>
  </r>
  <r>
    <x v="502"/>
    <n v="682155834"/>
    <s v="B_0"/>
    <n v="0"/>
    <n v="0"/>
    <n v="6.2372300000000002E-10"/>
    <n v="0"/>
  </r>
  <r>
    <x v="503"/>
    <n v="94700100"/>
    <s v="B_0"/>
    <n v="0"/>
    <n v="0"/>
    <n v="5.9877400000000003E-10"/>
    <n v="0"/>
  </r>
  <r>
    <x v="504"/>
    <n v="454194356"/>
    <s v="B_0"/>
    <n v="0"/>
    <n v="0"/>
    <n v="5.7482300000000001E-10"/>
    <n v="0"/>
  </r>
  <r>
    <x v="505"/>
    <n v="154439856"/>
    <s v="B_0"/>
    <n v="0"/>
    <n v="0"/>
    <n v="5.5183000000000005E-10"/>
    <n v="0"/>
  </r>
  <r>
    <x v="506"/>
    <n v="653951407"/>
    <s v="B_0"/>
    <n v="0"/>
    <n v="0"/>
    <n v="5.2975700000000001E-10"/>
    <n v="0"/>
  </r>
  <r>
    <x v="507"/>
    <n v="690051493"/>
    <s v="B_0"/>
    <n v="0"/>
    <n v="0"/>
    <n v="5.08566E-10"/>
    <n v="0"/>
  </r>
  <r>
    <x v="508"/>
    <n v="936972540"/>
    <s v="B_0"/>
    <n v="0"/>
    <n v="0"/>
    <n v="4.8822400000000003E-10"/>
    <n v="0"/>
  </r>
  <r>
    <x v="509"/>
    <n v="831486472"/>
    <s v="B_0"/>
    <n v="0"/>
    <n v="0"/>
    <n v="4.68695E-10"/>
    <n v="0"/>
  </r>
  <r>
    <x v="510"/>
    <n v="42920728"/>
    <s v="B_0"/>
    <n v="0"/>
    <n v="0"/>
    <n v="4.4994700000000001E-10"/>
    <n v="0"/>
  </r>
  <r>
    <x v="511"/>
    <n v="666336386"/>
    <s v="B_0"/>
    <n v="0"/>
    <n v="0"/>
    <n v="4.3194899999999998E-10"/>
    <n v="0"/>
  </r>
  <r>
    <x v="512"/>
    <n v="172042607"/>
    <s v="B_0"/>
    <n v="0"/>
    <n v="0"/>
    <n v="4.1467099999999998E-10"/>
    <n v="0"/>
  </r>
  <r>
    <x v="513"/>
    <n v="184679498"/>
    <s v="B_0"/>
    <n v="0"/>
    <n v="0"/>
    <n v="3.9808400000000002E-10"/>
    <n v="0"/>
  </r>
  <r>
    <x v="514"/>
    <n v="494247720"/>
    <s v="B_0"/>
    <n v="0"/>
    <n v="0"/>
    <n v="3.8216100000000001E-10"/>
    <n v="0"/>
  </r>
  <r>
    <x v="515"/>
    <n v="236952320"/>
    <s v="B_0"/>
    <n v="0"/>
    <n v="0"/>
    <n v="3.6687499999999999E-10"/>
    <n v="0"/>
  </r>
  <r>
    <x v="516"/>
    <n v="242745223"/>
    <s v="B_0"/>
    <n v="0"/>
    <n v="0"/>
    <n v="3.5219999999999998E-10"/>
    <n v="0"/>
  </r>
  <r>
    <x v="517"/>
    <n v="764888647"/>
    <s v="B_0"/>
    <n v="0"/>
    <n v="0"/>
    <n v="3.38112E-10"/>
    <n v="0"/>
  </r>
  <r>
    <x v="518"/>
    <n v="724807039"/>
    <s v="B_0"/>
    <n v="0"/>
    <n v="0"/>
    <n v="3.2458699999999999E-10"/>
    <n v="0"/>
  </r>
  <r>
    <x v="519"/>
    <n v="230556942"/>
    <s v="B_0"/>
    <n v="0"/>
    <n v="0"/>
    <n v="3.1160400000000002E-10"/>
    <n v="0"/>
  </r>
  <r>
    <x v="520"/>
    <n v="732193093"/>
    <s v="B_0"/>
    <n v="0"/>
    <n v="0"/>
    <n v="2.99139E-10"/>
    <n v="0"/>
  </r>
  <r>
    <x v="521"/>
    <n v="858471147"/>
    <s v="B_0"/>
    <n v="0"/>
    <n v="0"/>
    <n v="2.8717399999999998E-10"/>
    <n v="0"/>
  </r>
  <r>
    <x v="522"/>
    <n v="513162854"/>
    <s v="B_0"/>
    <n v="0"/>
    <n v="0"/>
    <n v="2.7568699999999998E-10"/>
    <n v="0"/>
  </r>
  <r>
    <x v="523"/>
    <n v="243851301"/>
    <s v="B_0"/>
    <n v="0"/>
    <n v="0"/>
    <n v="2.6465899999999999E-10"/>
    <n v="0"/>
  </r>
  <r>
    <x v="524"/>
    <n v="205104923"/>
    <s v="B_0"/>
    <n v="0"/>
    <n v="0"/>
    <n v="2.5407300000000001E-10"/>
    <n v="0"/>
  </r>
  <r>
    <x v="525"/>
    <n v="392499222"/>
    <s v="B_0"/>
    <n v="0"/>
    <n v="0"/>
    <n v="2.4390999999999999E-10"/>
    <n v="0"/>
  </r>
  <r>
    <x v="526"/>
    <n v="299966278"/>
    <s v="B_0"/>
    <n v="0"/>
    <n v="0"/>
    <n v="2.34154E-10"/>
    <n v="0"/>
  </r>
  <r>
    <x v="527"/>
    <n v="73289958"/>
    <s v="B_0"/>
    <n v="0"/>
    <n v="0"/>
    <n v="2.2478799999999999E-10"/>
    <n v="0"/>
  </r>
  <r>
    <x v="528"/>
    <n v="894240782"/>
    <s v="B_0"/>
    <n v="0"/>
    <n v="0"/>
    <n v="2.1579600000000001E-10"/>
    <n v="0"/>
  </r>
  <r>
    <x v="529"/>
    <n v="20219139"/>
    <s v="B_0"/>
    <n v="0"/>
    <n v="0"/>
    <n v="2.0716399999999999E-10"/>
    <n v="0"/>
  </r>
  <r>
    <x v="530"/>
    <n v="163730078"/>
    <s v="B_0"/>
    <n v="0"/>
    <n v="0"/>
    <n v="1.98878E-10"/>
    <n v="0"/>
  </r>
  <r>
    <x v="531"/>
    <n v="423895455"/>
    <s v="B_0"/>
    <n v="0"/>
    <n v="0"/>
    <n v="1.90923E-10"/>
    <n v="0"/>
  </r>
  <r>
    <x v="532"/>
    <n v="835631296"/>
    <s v="B_0"/>
    <n v="0"/>
    <n v="0"/>
    <n v="1.8328600000000001E-10"/>
    <n v="0"/>
  </r>
  <r>
    <x v="533"/>
    <n v="654858300"/>
    <s v="B_0"/>
    <n v="0"/>
    <n v="0"/>
    <n v="1.7595400000000001E-10"/>
    <n v="0"/>
  </r>
  <r>
    <x v="534"/>
    <n v="833074052"/>
    <s v="B_0"/>
    <n v="0"/>
    <n v="0"/>
    <n v="1.6891599999999999E-10"/>
    <n v="0"/>
  </r>
  <r>
    <x v="535"/>
    <n v="703504162"/>
    <s v="B_0"/>
    <n v="0"/>
    <n v="0"/>
    <n v="1.62159E-10"/>
    <n v="0"/>
  </r>
  <r>
    <x v="536"/>
    <n v="57864621"/>
    <s v="B_0"/>
    <n v="0"/>
    <n v="0"/>
    <n v="1.5567299999999999E-10"/>
    <n v="0"/>
  </r>
  <r>
    <x v="537"/>
    <n v="652601678"/>
    <s v="B_0"/>
    <n v="0"/>
    <n v="0"/>
    <n v="1.49446E-10"/>
    <n v="0"/>
  </r>
  <r>
    <x v="538"/>
    <n v="374604819"/>
    <s v="B_0"/>
    <n v="0"/>
    <n v="0"/>
    <n v="1.4346800000000001E-10"/>
    <n v="0"/>
  </r>
  <r>
    <x v="539"/>
    <n v="691232818"/>
    <s v="B_0"/>
    <n v="0"/>
    <n v="0"/>
    <n v="1.3773E-10"/>
    <n v="0"/>
  </r>
  <r>
    <x v="540"/>
    <n v="484947485"/>
    <s v="B_0"/>
    <n v="0"/>
    <n v="0"/>
    <n v="1.3222000000000001E-10"/>
    <n v="0"/>
  </r>
  <r>
    <x v="541"/>
    <n v="395702996"/>
    <s v="B_0"/>
    <n v="0"/>
    <n v="0"/>
    <n v="1.2693200000000001E-10"/>
    <n v="0"/>
  </r>
  <r>
    <x v="542"/>
    <n v="625420719"/>
    <s v="B_0"/>
    <n v="0"/>
    <n v="0"/>
    <n v="1.2185400000000001E-10"/>
    <n v="0"/>
  </r>
  <r>
    <x v="543"/>
    <n v="706313679"/>
    <s v="B_0"/>
    <n v="0"/>
    <n v="0"/>
    <n v="1.1697999999999999E-10"/>
    <n v="0"/>
  </r>
  <r>
    <x v="544"/>
    <n v="450469365"/>
    <s v="B_0"/>
    <n v="0"/>
    <n v="0"/>
    <n v="1.12301E-10"/>
    <n v="0"/>
  </r>
  <r>
    <x v="545"/>
    <n v="185310551"/>
    <s v="B_0"/>
    <n v="0"/>
    <n v="0"/>
    <n v="1.07809E-10"/>
    <n v="0"/>
  </r>
  <r>
    <x v="546"/>
    <n v="642266846"/>
    <s v="B_0"/>
    <n v="0"/>
    <n v="0"/>
    <n v="1.03497E-10"/>
    <n v="0"/>
  </r>
  <r>
    <x v="547"/>
    <n v="104149848"/>
    <s v="B_0"/>
    <n v="0"/>
    <n v="0"/>
    <n v="9.9356700000000001E-11"/>
    <n v="0"/>
  </r>
  <r>
    <x v="548"/>
    <n v="147134192"/>
    <s v="B_0"/>
    <n v="0"/>
    <n v="0"/>
    <n v="9.53824E-11"/>
    <n v="0"/>
  </r>
  <r>
    <x v="549"/>
    <n v="840371924"/>
    <s v="B_0"/>
    <n v="0"/>
    <n v="0"/>
    <n v="9.1567100000000006E-11"/>
    <n v="0"/>
  </r>
  <r>
    <x v="550"/>
    <n v="997494178"/>
    <s v="B_0"/>
    <n v="0"/>
    <n v="0"/>
    <n v="8.7904399999999995E-11"/>
    <n v="0"/>
  </r>
  <r>
    <x v="551"/>
    <n v="966987220"/>
    <s v="B_0"/>
    <n v="0"/>
    <n v="0"/>
    <n v="8.43882E-11"/>
    <n v="0"/>
  </r>
  <r>
    <x v="552"/>
    <n v="782146069"/>
    <s v="B_0"/>
    <n v="0"/>
    <n v="0"/>
    <n v="8.1012699999999995E-11"/>
    <n v="0"/>
  </r>
  <r>
    <x v="553"/>
    <n v="47520730"/>
    <s v="B_0"/>
    <n v="0"/>
    <n v="0"/>
    <n v="7.7772199999999997E-11"/>
    <n v="0"/>
  </r>
  <r>
    <x v="554"/>
    <n v="304009755"/>
    <s v="B_0"/>
    <n v="0"/>
    <n v="0"/>
    <n v="7.4661300000000005E-11"/>
    <n v="0"/>
  </r>
  <r>
    <x v="555"/>
    <n v="306670589"/>
    <s v="B_0"/>
    <n v="0"/>
    <n v="0"/>
    <n v="7.1674899999999995E-11"/>
    <n v="0"/>
  </r>
  <r>
    <x v="556"/>
    <n v="17435906"/>
    <s v="B_0"/>
    <n v="0"/>
    <n v="0"/>
    <n v="6.8807899999999996E-11"/>
    <n v="0"/>
  </r>
  <r>
    <x v="557"/>
    <n v="920793874"/>
    <s v="B_0"/>
    <n v="0"/>
    <n v="0"/>
    <n v="6.6055599999999996E-11"/>
    <n v="0"/>
  </r>
  <r>
    <x v="558"/>
    <n v="250454009"/>
    <s v="B_0"/>
    <n v="0"/>
    <n v="0"/>
    <n v="6.3413299999999996E-11"/>
    <n v="0"/>
  </r>
  <r>
    <x v="559"/>
    <n v="689824482"/>
    <s v="B_0"/>
    <n v="0"/>
    <n v="0"/>
    <n v="6.0876800000000002E-11"/>
    <n v="0"/>
  </r>
  <r>
    <x v="560"/>
    <n v="396321386"/>
    <s v="B_0"/>
    <n v="0"/>
    <n v="0"/>
    <n v="5.8441700000000006E-11"/>
    <n v="0"/>
  </r>
  <r>
    <x v="561"/>
    <n v="641156914"/>
    <s v="B_0"/>
    <n v="0"/>
    <n v="0"/>
    <n v="5.61041E-11"/>
    <n v="0"/>
  </r>
  <r>
    <x v="562"/>
    <n v="154114664"/>
    <s v="B_0"/>
    <n v="0"/>
    <n v="0"/>
    <n v="5.3859900000000002E-11"/>
    <n v="0"/>
  </r>
  <r>
    <x v="563"/>
    <n v="139461457"/>
    <s v="B_0"/>
    <n v="0"/>
    <n v="0"/>
    <n v="5.1705500000000002E-11"/>
    <n v="0"/>
  </r>
  <r>
    <x v="564"/>
    <n v="682017030"/>
    <s v="B_0"/>
    <n v="0"/>
    <n v="0"/>
    <n v="4.9637300000000001E-11"/>
    <n v="0"/>
  </r>
  <r>
    <x v="565"/>
    <n v="413719600"/>
    <s v="B_0"/>
    <n v="0"/>
    <n v="0"/>
    <n v="4.7651799999999997E-11"/>
    <n v="0"/>
  </r>
  <r>
    <x v="566"/>
    <n v="427793256"/>
    <s v="B_0"/>
    <n v="0"/>
    <n v="0"/>
    <n v="4.5745700000000003E-11"/>
    <n v="0"/>
  </r>
  <r>
    <x v="567"/>
    <n v="850796978"/>
    <s v="B_0"/>
    <n v="0"/>
    <n v="0"/>
    <n v="4.39159E-11"/>
    <n v="0"/>
  </r>
  <r>
    <x v="568"/>
    <n v="795318923"/>
    <s v="B_0"/>
    <n v="0"/>
    <n v="0"/>
    <n v="4.2159300000000003E-11"/>
    <n v="0"/>
  </r>
  <r>
    <x v="569"/>
    <n v="741589086"/>
    <s v="B_0"/>
    <n v="0"/>
    <n v="0"/>
    <n v="4.0472899999999997E-11"/>
    <n v="0"/>
  </r>
  <r>
    <x v="570"/>
    <n v="53622919"/>
    <s v="B_0"/>
    <n v="0"/>
    <n v="0"/>
    <n v="3.8854000000000002E-11"/>
    <n v="0"/>
  </r>
  <r>
    <x v="571"/>
    <n v="40947491"/>
    <s v="B_0"/>
    <n v="0"/>
    <n v="0"/>
    <n v="3.7299799999999997E-11"/>
    <n v="0"/>
  </r>
  <r>
    <x v="572"/>
    <n v="649284530"/>
    <s v="B_0"/>
    <n v="0"/>
    <n v="0"/>
    <n v="3.58078E-11"/>
    <n v="0"/>
  </r>
  <r>
    <x v="573"/>
    <n v="400874929"/>
    <s v="B_0"/>
    <n v="0"/>
    <n v="0"/>
    <n v="3.4375500000000002E-11"/>
    <n v="0"/>
  </r>
  <r>
    <x v="574"/>
    <n v="794368455"/>
    <s v="B_0"/>
    <n v="0"/>
    <n v="0"/>
    <n v="3.30005E-11"/>
    <n v="0"/>
  </r>
  <r>
    <x v="575"/>
    <n v="74650589"/>
    <s v="B_0"/>
    <n v="0"/>
    <n v="0"/>
    <n v="3.1680499999999999E-11"/>
    <n v="0"/>
  </r>
  <r>
    <x v="576"/>
    <n v="167736248"/>
    <s v="B_0"/>
    <n v="0"/>
    <n v="0"/>
    <n v="3.0413200000000001E-11"/>
    <n v="0"/>
  </r>
  <r>
    <x v="577"/>
    <n v="466144085"/>
    <s v="B_0"/>
    <n v="0"/>
    <n v="0"/>
    <n v="2.9196700000000001E-11"/>
    <n v="0"/>
  </r>
  <r>
    <x v="578"/>
    <n v="163100630"/>
    <s v="B_0"/>
    <n v="0"/>
    <n v="0"/>
    <n v="2.8028800000000001E-11"/>
    <n v="0"/>
  </r>
  <r>
    <x v="579"/>
    <n v="50386655"/>
    <s v="B_0"/>
    <n v="0"/>
    <n v="0"/>
    <n v="2.6907700000000001E-11"/>
    <n v="0"/>
  </r>
  <r>
    <x v="580"/>
    <n v="292758604"/>
    <s v="B_0"/>
    <n v="0"/>
    <n v="0"/>
    <n v="2.58314E-11"/>
    <n v="0"/>
  </r>
  <r>
    <x v="581"/>
    <n v="744934638"/>
    <s v="B_0"/>
    <n v="0"/>
    <n v="0"/>
    <n v="2.47981E-11"/>
    <n v="0"/>
  </r>
  <r>
    <x v="582"/>
    <n v="107829282"/>
    <s v="B_0"/>
    <n v="0"/>
    <n v="0"/>
    <n v="2.38062E-11"/>
    <n v="0"/>
  </r>
  <r>
    <x v="583"/>
    <n v="186276170"/>
    <s v="B_0"/>
    <n v="0"/>
    <n v="0"/>
    <n v="2.2853999999999999E-11"/>
    <n v="0"/>
  </r>
  <r>
    <x v="584"/>
    <n v="115593516"/>
    <s v="B_0"/>
    <n v="0"/>
    <n v="0"/>
    <n v="2.1939800000000001E-11"/>
    <n v="0"/>
  </r>
  <r>
    <x v="585"/>
    <n v="193699344"/>
    <s v="B_0"/>
    <n v="0"/>
    <n v="0"/>
    <n v="2.10622E-11"/>
    <n v="0"/>
  </r>
  <r>
    <x v="586"/>
    <n v="446024289"/>
    <s v="B_0"/>
    <n v="0"/>
    <n v="0"/>
    <n v="2.02197E-11"/>
    <n v="0"/>
  </r>
  <r>
    <x v="587"/>
    <n v="694452899"/>
    <s v="B_0"/>
    <n v="0"/>
    <n v="0"/>
    <n v="1.94109E-11"/>
    <n v="0"/>
  </r>
  <r>
    <x v="588"/>
    <n v="500954632"/>
    <s v="B_0"/>
    <n v="0"/>
    <n v="0"/>
    <n v="1.8634500000000001E-11"/>
    <n v="0"/>
  </r>
  <r>
    <x v="589"/>
    <n v="911195647"/>
    <s v="B_0"/>
    <n v="0"/>
    <n v="0"/>
    <n v="1.78891E-11"/>
    <n v="0"/>
  </r>
  <r>
    <x v="590"/>
    <n v="914136103"/>
    <s v="B_0"/>
    <n v="0"/>
    <n v="0"/>
    <n v="1.7173500000000001E-11"/>
    <n v="0"/>
  </r>
  <r>
    <x v="591"/>
    <n v="234375272"/>
    <s v="B_0"/>
    <n v="0"/>
    <n v="0"/>
    <n v="1.6486600000000001E-11"/>
    <n v="0"/>
  </r>
  <r>
    <x v="592"/>
    <n v="215198456"/>
    <s v="B_0"/>
    <n v="0"/>
    <n v="0"/>
    <n v="1.5827100000000001E-11"/>
    <n v="0"/>
  </r>
  <r>
    <x v="593"/>
    <n v="64295982"/>
    <s v="B_0"/>
    <n v="0"/>
    <n v="0"/>
    <n v="1.51941E-11"/>
    <n v="0"/>
  </r>
  <r>
    <x v="594"/>
    <n v="199707554"/>
    <s v="B_0"/>
    <n v="0"/>
    <n v="0"/>
    <n v="1.4586300000000001E-11"/>
    <n v="0"/>
  </r>
  <r>
    <x v="595"/>
    <n v="723323844"/>
    <s v="B_0"/>
    <n v="0"/>
    <n v="0"/>
    <n v="1.4002799999999999E-11"/>
    <n v="0"/>
  </r>
  <r>
    <x v="596"/>
    <n v="567701316"/>
    <s v="B_0"/>
    <n v="0"/>
    <n v="0"/>
    <n v="1.34427E-11"/>
    <n v="0"/>
  </r>
  <r>
    <x v="597"/>
    <n v="542740875"/>
    <s v="B_0"/>
    <n v="0"/>
    <n v="0"/>
    <n v="1.2905E-11"/>
    <n v="0"/>
  </r>
  <r>
    <x v="598"/>
    <n v="416745890"/>
    <s v="B_0"/>
    <n v="0"/>
    <n v="0"/>
    <n v="1.2388800000000001E-11"/>
    <n v="0"/>
  </r>
  <r>
    <x v="599"/>
    <n v="657282236"/>
    <s v="B_0"/>
    <n v="0"/>
    <n v="0"/>
    <n v="1.1893300000000001E-11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s v="PvVpgXTKXpLEWqn"/>
    <x v="0"/>
    <n v="6899.9999105930328"/>
    <n v="464.82297706604004"/>
    <n v="1285.1770181655884"/>
    <n v="0"/>
    <n v="350"/>
    <n v="0"/>
    <n v="3000"/>
    <n v="11999.999905824661"/>
    <n v="0"/>
    <n v="11999.999905824661"/>
    <e v="#VALUE!"/>
  </r>
  <r>
    <s v="PvVpgXTKXpLEWqn"/>
    <x v="1"/>
    <n v="7016.7886658906937"/>
    <n v="469.4067155122757"/>
    <n v="1213.8044500350952"/>
    <n v="0"/>
    <n v="300"/>
    <n v="0"/>
    <n v="3000"/>
    <n v="11999.999831438065"/>
    <n v="0"/>
    <n v="11999.999831438065"/>
    <n v="-6.198883073516015E-9"/>
  </r>
  <r>
    <s v="PvVpgXTKXpLEWqn"/>
    <x v="2"/>
    <n v="7024.775673866272"/>
    <n v="438.751021027565"/>
    <n v="1228.6140277385712"/>
    <n v="0"/>
    <n v="307.85931062698364"/>
    <n v="0"/>
    <n v="3000"/>
    <n v="12000.000033259392"/>
    <n v="0"/>
    <n v="12000.000033259392"/>
    <n v="1.6818444192878701E-8"/>
  </r>
  <r>
    <s v="PvVpgXTKXpLEWqn"/>
    <x v="3"/>
    <n v="7009.1999026536942"/>
    <n v="410.71384954452515"/>
    <n v="1262.7751463651657"/>
    <n v="0.15444362163543701"/>
    <n v="317.44901132583618"/>
    <n v="0"/>
    <n v="3000.02"/>
    <n v="12000.157909889222"/>
    <n v="0.15444362163543701"/>
    <n v="12000.003466267586"/>
    <n v="2.8608401536622807E-7"/>
  </r>
  <r>
    <s v="PvVpgXTKXpLEWqn"/>
    <x v="4"/>
    <n v="6986.5023907423019"/>
    <n v="384.383953332901"/>
    <n v="1301.5748249292374"/>
    <n v="1.9275418519973755"/>
    <n v="328.55604696273804"/>
    <n v="0"/>
    <n v="3000.91"/>
    <n v="12001.927215967178"/>
    <n v="1.9275418519973755"/>
    <n v="11999.999674115181"/>
    <n v="-3.1601260919167373E-7"/>
  </r>
  <r>
    <s v="PvVpgXTKXpLEWqn"/>
    <x v="5"/>
    <n v="6965.1534367799759"/>
    <n v="356.99387979719904"/>
    <n v="1344.4074430465698"/>
    <n v="0.97235496342182159"/>
    <n v="333.04370975494385"/>
    <n v="0"/>
    <n v="3001.37"/>
    <n v="12000.968469378688"/>
    <n v="0.97235496342182159"/>
    <n v="11999.996114415266"/>
    <n v="-2.966416676741801E-7"/>
  </r>
  <r>
    <s v="PvVpgXTKXpLEWqn"/>
    <x v="6"/>
    <n v="6947.1158450841904"/>
    <n v="332.96916572607006"/>
    <n v="1381.3598763942719"/>
    <n v="0.97453102469444275"/>
    <n v="337.68713521957397"/>
    <n v="0"/>
    <n v="3001.84"/>
    <n v="12000.972022424106"/>
    <n v="0.97453102469444275"/>
    <n v="11999.997491399412"/>
    <n v="1.1474871608463388E-7"/>
  </r>
  <r>
    <s v="PvVpgXTKXpLEWqn"/>
    <x v="7"/>
    <n v="6914.7690137624741"/>
    <n v="309.52183037766372"/>
    <n v="1433.6391454935074"/>
    <n v="0.98466961085796356"/>
    <n v="340.73397302627563"/>
    <n v="0"/>
    <n v="3002.32"/>
    <n v="12000.983962659921"/>
    <n v="0.98466961085796356"/>
    <n v="11999.999293049063"/>
    <n v="1.5013750220838062E-7"/>
  </r>
  <r>
    <s v="PvVpgXTKXpLEWqn"/>
    <x v="8"/>
    <n v="6889.5401911735535"/>
    <n v="292.72440441686194"/>
    <n v="1460.4985972642899"/>
    <n v="1.9651662888936698"/>
    <n v="355.83549451828003"/>
    <n v="0"/>
    <n v="3003.37"/>
    <n v="12001.968687372984"/>
    <n v="1.9651662888936698"/>
    <n v="12000.003521084091"/>
    <n v="3.5233627304620541E-7"/>
  </r>
  <r>
    <s v="PvVpgXTKXpLEWqn"/>
    <x v="9"/>
    <n v="6861.3680480718613"/>
    <n v="274.84086795849726"/>
    <n v="1494.5785433650017"/>
    <n v="2.0543322605080903"/>
    <n v="366.80457973480225"/>
    <n v="0"/>
    <n v="3004.46"/>
    <n v="12002.052039130162"/>
    <n v="2.0543322605080903"/>
    <n v="11999.997706869653"/>
    <n v="-4.8451772760582656E-7"/>
  </r>
  <r>
    <s v="PvVpgXTKXpLEWqn"/>
    <x v="10"/>
    <n v="6837.4890151023865"/>
    <n v="255.89419043589442"/>
    <n v="1530.5266126990318"/>
    <n v="2.0466156438924372"/>
    <n v="373.43071794509888"/>
    <n v="0"/>
    <n v="3004.71"/>
    <n v="12002.050536182411"/>
    <n v="2.0466156438924372"/>
    <n v="12000.003920538518"/>
    <n v="5.1780583776306344E-7"/>
  </r>
  <r>
    <s v="PvVpgXTKXpLEWqn"/>
    <x v="11"/>
    <n v="6817.0416485071182"/>
    <n v="237.8163659691927"/>
    <n v="1562.7173365950584"/>
    <n v="2.0392848709598184"/>
    <n v="379.51564884185791"/>
    <n v="0"/>
    <n v="3004.95"/>
    <n v="12002.040999913228"/>
    <n v="2.0392848709598184"/>
    <n v="12000.001715042268"/>
    <n v="-1.8379129407275485E-7"/>
  </r>
  <r>
    <s v="PvVpgXTKXpLEWqn"/>
    <x v="12"/>
    <n v="6793.6131302118301"/>
    <n v="221.01459017379966"/>
    <n v="1600.3789388537407"/>
    <n v="2.032320614438504"/>
    <n v="381.83594131469727"/>
    <n v="0"/>
    <n v="3005.19"/>
    <n v="12002.032600554068"/>
    <n v="2.032320614438504"/>
    <n v="12000.00027993963"/>
    <n v="-1.1959186940746491E-7"/>
  </r>
  <r>
    <s v="PvVpgXTKXpLEWqn"/>
    <x v="13"/>
    <n v="6773.6757474541664"/>
    <n v="204.0742355309776"/>
    <n v="1634.2360042929649"/>
    <n v="2.0257045882754028"/>
    <n v="384.6094651222229"/>
    <n v="0"/>
    <n v="3005.43"/>
    <n v="12002.025452400332"/>
    <n v="2.0257045882754028"/>
    <n v="11999.999747812057"/>
    <n v="-4.4343963390147678E-8"/>
  </r>
  <r>
    <s v="PvVpgXTKXpLEWqn"/>
    <x v="14"/>
    <n v="6747.6452456116676"/>
    <n v="187.81968166094157"/>
    <n v="1674.2434684634209"/>
    <n v="2.0194193609058857"/>
    <n v="386.64103889465332"/>
    <n v="0"/>
    <n v="3005.67"/>
    <n v="12002.019434630683"/>
    <n v="2.0194193609058857"/>
    <n v="12000.000015269778"/>
    <n v="2.2288143775028857E-8"/>
  </r>
  <r>
    <s v="PvVpgXTKXpLEWqn"/>
    <x v="15"/>
    <n v="6726.5303151905537"/>
    <n v="175.60109300487966"/>
    <n v="1701.5554160475731"/>
    <n v="2.0134483873844147"/>
    <n v="392.41762447357178"/>
    <n v="0"/>
    <n v="3005.91"/>
    <n v="12002.014448716578"/>
    <n v="2.0134483873844147"/>
    <n v="12000.001000329194"/>
    <n v="8.2088284614201257E-8"/>
  </r>
  <r>
    <s v="PvVpgXTKXpLEWqn"/>
    <x v="16"/>
    <n v="6703.3547393381596"/>
    <n v="162.34465096656641"/>
    <n v="1735.3616101145744"/>
    <n v="2.007775966078043"/>
    <n v="394.79951620101929"/>
    <n v="0"/>
    <n v="3006.15"/>
    <n v="12002.010516620319"/>
    <n v="2.007775966078043"/>
    <n v="12000.002740654241"/>
    <n v="1.4502707523789127E-7"/>
  </r>
  <r>
    <s v="PvVpgXTKXpLEWqn"/>
    <x v="17"/>
    <n v="6695.8079672157764"/>
    <n v="151.2674780691159"/>
    <n v="1751.0364906191826"/>
    <n v="2.0023871674202383"/>
    <n v="397.50559329986572"/>
    <n v="0"/>
    <n v="3006.38"/>
    <n v="12001.997529203942"/>
    <n v="2.0023871674202383"/>
    <n v="11999.995142036521"/>
    <n v="-6.3321799870230677E-7"/>
  </r>
  <r>
    <s v="PvVpgXTKXpLEWqn"/>
    <x v="18"/>
    <n v="6676.4890544712543"/>
    <n v="142.15936821140349"/>
    <n v="1775.1304731965065"/>
    <n v="3.4745866931043565"/>
    <n v="402.2396240234375"/>
    <n v="0"/>
    <n v="3007.46"/>
    <n v="12003.478519902601"/>
    <n v="3.4745866931043565"/>
    <n v="12000.003933209497"/>
    <n v="7.3259804445058307E-7"/>
  </r>
  <r>
    <s v="PvVpgXTKXpLEWqn"/>
    <x v="19"/>
    <n v="6654.0505447089672"/>
    <n v="130.39428886584938"/>
    <n v="1806.4176056981087"/>
    <n v="4.8424043213017285"/>
    <n v="404.97846603393555"/>
    <n v="0"/>
    <n v="3009"/>
    <n v="12004.840905306861"/>
    <n v="4.8424043213017285"/>
    <n v="11999.998500985559"/>
    <n v="-4.526851797859166E-7"/>
  </r>
  <r>
    <s v="PvVpgXTKXpLEWqn"/>
    <x v="20"/>
    <n v="6636.8723548352718"/>
    <n v="121.43435414135456"/>
    <n v="1828.314237177372"/>
    <n v="4.8377840984612703"/>
    <n v="408.51262044906616"/>
    <n v="0"/>
    <n v="3009.7"/>
    <n v="12004.833566603065"/>
    <n v="4.8377840984612703"/>
    <n v="11999.995782504604"/>
    <n v="-2.2654010789491252E-7"/>
  </r>
  <r>
    <s v="PvVpgXTKXpLEWqn"/>
    <x v="21"/>
    <n v="6623.2221272289753"/>
    <n v="114.78021509491373"/>
    <n v="1843.9057025313377"/>
    <n v="4.8333948862273246"/>
    <n v="412.86150693893433"/>
    <n v="0"/>
    <n v="3010.06"/>
    <n v="12004.829551794161"/>
    <n v="4.8333948862273246"/>
    <n v="11999.996156907933"/>
    <n v="3.1200288352906114E-8"/>
  </r>
  <r>
    <s v="PvVpgXTKXpLEWqn"/>
    <x v="22"/>
    <n v="6615.6553995609283"/>
    <n v="106.71635618363507"/>
    <n v="1858.4853078126907"/>
    <n v="4.8292251396924257"/>
    <n v="413.17839622497559"/>
    <n v="0"/>
    <n v="3010.79"/>
    <n v="12004.825459782231"/>
    <n v="4.8292251396924257"/>
    <n v="11999.996234642538"/>
    <n v="6.4778857833402981E-9"/>
  </r>
  <r>
    <s v="PvVpgXTKXpLEWqn"/>
    <x v="23"/>
    <n v="6616.6942499876022"/>
    <n v="97.710543917259201"/>
    <n v="1871.9915829896927"/>
    <n v="5.7752638051752001"/>
    <n v="407.36719226837158"/>
    <n v="0"/>
    <n v="3012.01"/>
    <n v="12005.773569162926"/>
    <n v="5.7752638051752001"/>
    <n v="11999.998305357751"/>
    <n v="1.7255965523155226E-7"/>
  </r>
  <r>
    <s v="PvVpgXTKXpLEWqn"/>
    <x v="24"/>
    <n v="6606.5111029967666"/>
    <n v="92.474823113414459"/>
    <n v="1883.234699010849"/>
    <n v="5.7715006046928465"/>
    <n v="410.70884037017822"/>
    <n v="0"/>
    <n v="3012.84"/>
    <n v="12005.769465491208"/>
    <n v="5.7715006046928465"/>
    <n v="11999.997964886516"/>
    <n v="-2.8372606930560096E-8"/>
  </r>
  <r>
    <s v="PvVpgXTKXpLEWqn"/>
    <x v="25"/>
    <n v="6598.1516550332308"/>
    <n v="84.280396347399801"/>
    <n v="1899.5077110528946"/>
    <n v="8.7313230708241463"/>
    <n v="411.56105756759644"/>
    <n v="0"/>
    <n v="3015.23"/>
    <n v="12008.730820001121"/>
    <n v="8.7313230708241463"/>
    <n v="11999.999496930297"/>
    <n v="1.276703367469878E-7"/>
  </r>
  <r>
    <s v="PvVpgXTKXpLEWqn"/>
    <x v="26"/>
    <n v="6602.3144537331536"/>
    <n v="78.072567358613014"/>
    <n v="1901.5135093927383"/>
    <n v="5.0755970664322376"/>
    <n v="410.44030714035034"/>
    <n v="0"/>
    <n v="3012.73"/>
    <n v="12005.070837624855"/>
    <n v="5.0755970664322376"/>
    <n v="11999.995240558423"/>
    <n v="-3.5469767101226068E-7"/>
  </r>
  <r>
    <s v="PvVpgXTKXpLEWqn"/>
    <x v="27"/>
    <n v="6615.6514472635827"/>
    <n v="72.398837696760893"/>
    <n v="1899.8429896831512"/>
    <n v="7.6877709371037781"/>
    <n v="404.81451034545898"/>
    <n v="0"/>
    <n v="3014.98"/>
    <n v="12007.687784988953"/>
    <n v="7.6877709371037781"/>
    <n v="12000.00001405185"/>
    <n v="3.9779127658512436E-7"/>
  </r>
  <r>
    <s v="PvVpgXTKXpLEWqn"/>
    <x v="28"/>
    <n v="6618.9058876170893"/>
    <n v="70.066369220614433"/>
    <n v="1902.2878074645996"/>
    <n v="8.3180523146875203"/>
    <n v="402.12848424911499"/>
    <n v="0"/>
    <n v="3014.93"/>
    <n v="12008.318548551419"/>
    <n v="8.3180523146875203"/>
    <n v="12000.000496236731"/>
    <n v="4.0182073446359823E-8"/>
  </r>
  <r>
    <s v="PvVpgXTKXpLEWqn"/>
    <x v="29"/>
    <n v="6624.158469455826"/>
    <n v="64.912402731599286"/>
    <n v="1908.2727323770523"/>
    <n v="8.8748517001513392"/>
    <n v="395.43149566650391"/>
    <n v="0"/>
    <n v="3016.1"/>
    <n v="12008.875100230982"/>
    <n v="8.8748517001513392"/>
    <n v="12000.000248530831"/>
    <n v="-2.0642157538830475E-8"/>
  </r>
  <r>
    <s v="PvVpgXTKXpLEWqn"/>
    <x v="30"/>
    <n v="6635.3964113596594"/>
    <n v="59.57490107184276"/>
    <n v="1901.831261664629"/>
    <n v="12.306106905452907"/>
    <n v="396.34087514877319"/>
    <n v="0"/>
    <n v="3019.16"/>
    <n v="12012.303449244904"/>
    <n v="12.306106905452907"/>
    <n v="11999.997342339451"/>
    <n v="-2.4218260996633489E-7"/>
  </r>
  <r>
    <s v="PvVpgXTKXpLEWqn"/>
    <x v="31"/>
    <n v="6634.6283907072811"/>
    <n v="56.257276472635567"/>
    <n v="1899.169969022274"/>
    <n v="11.727519227191806"/>
    <n v="404.21268844604492"/>
    <n v="0"/>
    <n v="3017.46"/>
    <n v="12011.728324648237"/>
    <n v="11.727519227191806"/>
    <n v="12000.000805421045"/>
    <n v="2.885901966287463E-7"/>
  </r>
  <r>
    <s v="PvVpgXTKXpLEWqn"/>
    <x v="32"/>
    <n v="6645.5115776761668"/>
    <n v="51.645550013519824"/>
    <n v="1899.2758375257254"/>
    <n v="12.481400665594265"/>
    <n v="399.15187168121338"/>
    <n v="0"/>
    <n v="3016.9"/>
    <n v="12012.484836896625"/>
    <n v="12.481400665594265"/>
    <n v="12000.003436231031"/>
    <n v="2.192341508333584E-7"/>
  </r>
  <r>
    <s v="PvVpgXTKXpLEWqn"/>
    <x v="33"/>
    <n v="6665.7992444401025"/>
    <n v="48.953728629916441"/>
    <n v="1882.6838530302048"/>
    <n v="13.457051346777007"/>
    <n v="398.18398571014404"/>
    <n v="0"/>
    <n v="3017.84"/>
    <n v="12013.460811810368"/>
    <n v="13.457051346777007"/>
    <n v="12000.003760463591"/>
    <n v="2.7019372295100652E-8"/>
  </r>
  <r>
    <s v="PvVpgXTKXpLEWqn"/>
    <x v="34"/>
    <n v="6696.1749403706417"/>
    <n v="47.859293756075203"/>
    <n v="1859.894561111927"/>
    <n v="22.115353617933579"/>
    <n v="395.78908348083496"/>
    <n v="0"/>
    <n v="3022.4"/>
    <n v="12022.117878719479"/>
    <n v="22.115353617933579"/>
    <n v="12000.002525101545"/>
    <n v="-1.0294680485856134E-7"/>
  </r>
  <r>
    <s v="PvVpgXTKXpLEWqn"/>
    <x v="35"/>
    <n v="6728.0263086624545"/>
    <n v="43.75540591403842"/>
    <n v="1836.7008276879787"/>
    <n v="17.251655186642893"/>
    <n v="391.22763729095459"/>
    <n v="0.79093354940414429"/>
    <n v="3018.33"/>
    <n v="12018.040179555426"/>
    <n v="18.042588736047037"/>
    <n v="11999.997590819379"/>
    <n v="-4.1119009397405648E-7"/>
  </r>
  <r>
    <s v="PvVpgXTKXpLEWqn"/>
    <x v="36"/>
    <n v="6745.812207792962"/>
    <n v="44.995221504592337"/>
    <n v="1816.5946450233459"/>
    <n v="19.054942008806393"/>
    <n v="395.51521682739258"/>
    <n v="0.75138688087463379"/>
    <n v="3016.89"/>
    <n v="12019.807291148292"/>
    <n v="19.806328889681026"/>
    <n v="12000.000962258611"/>
    <n v="2.8095332571531628E-7"/>
  </r>
  <r>
    <s v="PvVpgXTKXpLEWqn"/>
    <x v="37"/>
    <n v="6766.1148615981729"/>
    <n v="42.767878063954413"/>
    <n v="1802.8483949005604"/>
    <n v="21.591093506198376"/>
    <n v="391.751380443573"/>
    <n v="0.7138175368309021"/>
    <n v="3018.82"/>
    <n v="12022.30251500626"/>
    <n v="22.304911043029279"/>
    <n v="11999.997603963231"/>
    <n v="-2.7985792594442671E-7"/>
  </r>
  <r>
    <s v="PvVpgXTKXpLEWqn"/>
    <x v="38"/>
    <n v="6786.6570964280327"/>
    <n v="43.737554210238159"/>
    <n v="1792.3305926322937"/>
    <n v="41.91594776394777"/>
    <n v="392.6368932723999"/>
    <n v="0.67812663316726685"/>
    <n v="3027.23"/>
    <n v="12042.592136542964"/>
    <n v="42.594074397115037"/>
    <n v="11999.998062145849"/>
    <n v="3.8181892536570672E-8"/>
  </r>
  <r>
    <s v="PvVpgXTKXpLEWqn"/>
    <x v="39"/>
    <n v="6817.5262924396447"/>
    <n v="43.513458305766108"/>
    <n v="1756.362708568573"/>
    <n v="40.444898469373584"/>
    <n v="397.48119211196899"/>
    <n v="0.64422029256820679"/>
    <n v="3026.21"/>
    <n v="12041.093651425952"/>
    <n v="41.089118761941791"/>
    <n v="12000.00453266401"/>
    <n v="5.3920993381417759E-7"/>
  </r>
  <r>
    <s v="PvVpgXTKXpLEWqn"/>
    <x v="40"/>
    <n v="6827.0667691058516"/>
    <n v="44.948416062630713"/>
    <n v="1741.0178732722998"/>
    <n v="46.459638596046716"/>
    <n v="403.56950950622559"/>
    <n v="0.61200928688049316"/>
    <n v="3030.47"/>
    <n v="12047.072567947007"/>
    <n v="47.071647882927209"/>
    <n v="12000.00092006408"/>
    <n v="-3.0104988046897319E-7"/>
  </r>
  <r>
    <s v="PvVpgXTKXpLEWqn"/>
    <x v="41"/>
    <n v="6851.0683440223365"/>
    <n v="43.194664313457906"/>
    <n v="1725.7022097967565"/>
    <n v="51.519346822518855"/>
    <n v="395.73591184616089"/>
    <n v="0.58140885829925537"/>
    <n v="3036.4"/>
    <n v="12052.101129978711"/>
    <n v="52.100755680818111"/>
    <n v="12000.000374297893"/>
    <n v="-4.5480512023132746E-8"/>
  </r>
  <r>
    <s v="PvVpgXTKXpLEWqn"/>
    <x v="42"/>
    <n v="6894.3920790107804"/>
    <n v="49.512306284159422"/>
    <n v="1664.7084471583366"/>
    <n v="54.816217991174199"/>
    <n v="405.17106485366821"/>
    <n v="0.55233842134475708"/>
    <n v="3041.58"/>
    <n v="12055.363897306945"/>
    <n v="55.368556412518956"/>
    <n v="11999.995340894426"/>
    <n v="-4.1945027584588956E-7"/>
  </r>
  <r>
    <s v="PvVpgXTKXpLEWqn"/>
    <x v="43"/>
    <n v="6936.049474619329"/>
    <n v="47.714187371078879"/>
    <n v="1642.3922264873981"/>
    <n v="66.954353524139151"/>
    <n v="395.19136142730713"/>
    <n v="0.52472150325775146"/>
    <n v="3046.13"/>
    <n v="12067.477249905114"/>
    <n v="67.479075027396902"/>
    <n v="11999.998174877717"/>
    <n v="2.361653659299634E-7"/>
  </r>
  <r>
    <s v="PvVpgXTKXpLEWqn"/>
    <x v="44"/>
    <n v="6962.1395750883385"/>
    <n v="52.635363321751356"/>
    <n v="1605.7870101332664"/>
    <n v="80.444556189584546"/>
    <n v="402.45353698730469"/>
    <n v="0.49848541617393494"/>
    <n v="3057.93"/>
    <n v="12080.945485530661"/>
    <n v="80.943041605758481"/>
    <n v="12000.002443924903"/>
    <n v="3.5575398626974675E-7"/>
  </r>
  <r>
    <s v="PvVpgXTKXpLEWqn"/>
    <x v="45"/>
    <n v="6999.6769206114113"/>
    <n v="55.575542782433331"/>
    <n v="1562.5204330384731"/>
    <n v="91.193230006960221"/>
    <n v="406.33019018173218"/>
    <n v="0.47356113791465759"/>
    <n v="3067.56"/>
    <n v="12091.663086614049"/>
    <n v="91.666791144874878"/>
    <n v="11999.996295469175"/>
    <n v="-5.1237120635150291E-7"/>
  </r>
  <r>
    <s v="PvVpgXTKXpLEWqn"/>
    <x v="46"/>
    <n v="7033.337627197543"/>
    <n v="54.017135065136245"/>
    <n v="1545.1749567985535"/>
    <n v="94.177442184067331"/>
    <n v="401.1096715927124"/>
    <n v="3.6637216508388519"/>
    <n v="3064.2"/>
    <n v="12097.839390653946"/>
    <n v="97.841163834906183"/>
    <n v="11999.99822681904"/>
    <n v="1.6094587174109165E-7"/>
  </r>
  <r>
    <s v="PvVpgXTKXpLEWqn"/>
    <x v="47"/>
    <n v="7077.0117456060834"/>
    <n v="59.481058550998569"/>
    <n v="1485.5517951278016"/>
    <n v="102.13099343539216"/>
    <n v="415.41443204879761"/>
    <n v="3.4805355370044708"/>
    <n v="3068.15"/>
    <n v="12105.609031333681"/>
    <n v="105.61152897239663"/>
    <n v="11999.997502361284"/>
    <n v="-6.0371488586064004E-8"/>
  </r>
  <r>
    <s v="PvVpgXTKXpLEWqn"/>
    <x v="48"/>
    <n v="7113.8521399057499"/>
    <n v="60.635611899197102"/>
    <n v="1454.0687228925526"/>
    <n v="114.57082519802498"/>
    <n v="423.81109857559204"/>
    <n v="3.3065088093280792"/>
    <n v="3065.51"/>
    <n v="12117.877573273092"/>
    <n v="117.87733400735306"/>
    <n v="12000.000239265739"/>
    <n v="2.2807541877334359E-7"/>
  </r>
  <r>
    <s v="PvVpgXTKXpLEWqn"/>
    <x v="49"/>
    <n v="7155.0901337177493"/>
    <n v="63.579124631360173"/>
    <n v="1405.139826618135"/>
    <n v="113.92452022660291"/>
    <n v="432.11020469665527"/>
    <n v="3.1411832869052887"/>
    <n v="3061.15"/>
    <n v="12117.069289663899"/>
    <n v="117.0657035135082"/>
    <n v="12000.003586150391"/>
    <n v="2.789070487896339E-7"/>
  </r>
  <r>
    <s v="PvVpgXTKXpLEWqn"/>
    <x v="50"/>
    <n v="7193.812762206886"/>
    <n v="66.488213642500341"/>
    <n v="1369.4607888162136"/>
    <n v="135.10853093623882"/>
    <n v="437.74217414855957"/>
    <n v="2.984124094247818"/>
    <n v="3070.59"/>
    <n v="12138.09393881416"/>
    <n v="138.09265503048664"/>
    <n v="12000.001283783673"/>
    <n v="-1.9186383581892841E-7"/>
  </r>
  <r>
    <s v="PvVpgXTKXpLEWqn"/>
    <x v="51"/>
    <n v="7241.5443326673703"/>
    <n v="65.660429459996521"/>
    <n v="1334.1880795415491"/>
    <n v="146.3447101112688"/>
    <n v="434.99213743209839"/>
    <n v="2.8349180519580841"/>
    <n v="3072.79"/>
    <n v="12149.174979101015"/>
    <n v="149.17962816322688"/>
    <n v="11999.995350937788"/>
    <n v="-4.9440377081211295E-7"/>
  </r>
  <r>
    <s v="PvVpgXTKXpLEWqn"/>
    <x v="52"/>
    <n v="7276.3298060033703"/>
    <n v="70.703737975098193"/>
    <n v="1296.5137572735548"/>
    <n v="160.61066514608683"/>
    <n v="438.36014366149902"/>
    <n v="2.7336753383278847"/>
    <n v="3081.44"/>
    <n v="12163.347444913523"/>
    <n v="163.34434048441472"/>
    <n v="12000.003104429108"/>
    <n v="6.4612452699286393E-7"/>
  </r>
  <r>
    <s v="PvVpgXTKXpLEWqn"/>
    <x v="53"/>
    <n v="7314.0161205593031"/>
    <n v="73.932202910538763"/>
    <n v="1245.9271321743727"/>
    <n v="166.99282275192672"/>
    <n v="446.82109689712524"/>
    <n v="2.5969915948808193"/>
    <n v="3088.89"/>
    <n v="12169.586552541339"/>
    <n v="169.58981434680754"/>
    <n v="11999.996738194532"/>
    <n v="-5.3051941084625298E-7"/>
  </r>
  <r>
    <s v="PvVpgXTKXpLEWqn"/>
    <x v="54"/>
    <n v="7355.4923241465585"/>
    <n v="74.297036229851074"/>
    <n v="1210.0264827683568"/>
    <n v="182.59321812004782"/>
    <n v="460.38529253005981"/>
    <n v="2.4671419933438301"/>
    <n v="3084.86"/>
    <n v="12185.061135674827"/>
    <n v="185.06036011339165"/>
    <n v="12000.000775561435"/>
    <n v="3.3644733332671706E-7"/>
  </r>
  <r>
    <s v="PvVpgXTKXpLEWqn"/>
    <x v="55"/>
    <n v="7395.9531155679724"/>
    <n v="69.043117271503434"/>
    <n v="1194.8827713998035"/>
    <n v="200.0186383263208"/>
    <n v="462.74929332733154"/>
    <n v="2.3437849655747414"/>
    <n v="3079.73"/>
    <n v="12202.35829756661"/>
    <n v="202.36242329189554"/>
    <n v="11999.995874274715"/>
    <n v="-4.0844053361688282E-7"/>
  </r>
  <r>
    <s v="PvVpgXTKXpLEWqn"/>
    <x v="56"/>
    <n v="7440.4439082657336"/>
    <n v="68.490595384733751"/>
    <n v="1148.6461002156138"/>
    <n v="194.61076343827881"/>
    <n v="466.64391899108887"/>
    <n v="4.721427820622921"/>
    <n v="3075.11"/>
    <n v="12199.334522857171"/>
    <n v="199.33219125890173"/>
    <n v="12000.002331598269"/>
    <n v="5.3811048128515893E-7"/>
  </r>
  <r>
    <s v="PvVpgXTKXpLEWqn"/>
    <x v="57"/>
    <n v="7485.1285941801616"/>
    <n v="68.508229494094849"/>
    <n v="1115.7460367623717"/>
    <n v="196.8353875335888"/>
    <n v="468.55940341949463"/>
    <n v="4.4853564016520977"/>
    <n v="3063.38"/>
    <n v="12201.322263856124"/>
    <n v="201.3207439352409"/>
    <n v="12000.001519920883"/>
    <n v="-6.7639769008032147E-8"/>
  </r>
  <r>
    <s v="PvVpgXTKXpLEWqn"/>
    <x v="58"/>
    <n v="7521.9611498808372"/>
    <n v="71.631122019374743"/>
    <n v="1085.1515364416409"/>
    <n v="201.21268536924617"/>
    <n v="474.62996244430542"/>
    <n v="4.2610885892063379"/>
    <n v="3052.1"/>
    <n v="12205.473770786159"/>
    <n v="205.47377395845251"/>
    <n v="11999.999996827706"/>
    <n v="-1.2692441531125809E-7"/>
  </r>
  <r>
    <s v="PvVpgXTKXpLEWqn"/>
    <x v="59"/>
    <n v="7553.7414218243212"/>
    <n v="73.766335102729499"/>
    <n v="1053.0503804534674"/>
    <n v="225.67690435581608"/>
    <n v="489.82531499862671"/>
    <n v="4.0480341725051403"/>
    <n v="3059.34"/>
    <n v="12229.723452379145"/>
    <n v="229.72493852832122"/>
    <n v="11999.998513850824"/>
    <n v="-1.2358140688562003E-7"/>
  </r>
  <r>
    <s v="PvVpgXTKXpLEWqn"/>
    <x v="60"/>
    <n v="7592.794429782778"/>
    <n v="74.114524391130544"/>
    <n v="1022.3924783747643"/>
    <n v="220.09978272387525"/>
    <n v="495.39401149749756"/>
    <n v="4.0764677226543427"/>
    <n v="3039.48"/>
    <n v="12224.17544404617"/>
    <n v="224.17625044652959"/>
    <n v="11999.99919359964"/>
    <n v="5.6645741652872061E-8"/>
  </r>
  <r>
    <s v="PvVpgXTKXpLEWqn"/>
    <x v="61"/>
    <n v="7630.7203644607216"/>
    <n v="74.514806016115472"/>
    <n v="990.47264432907104"/>
    <n v="229.81423050718149"/>
    <n v="502.09552812576294"/>
    <n v="3.872644329443574"/>
    <n v="3035.88"/>
    <n v="12233.683342931672"/>
    <n v="233.68687483662507"/>
    <n v="11999.996468095047"/>
    <n v="-2.2712539804459198E-7"/>
  </r>
  <r>
    <s v="PvVpgXTKXpLEWqn"/>
    <x v="62"/>
    <n v="7664.9804850034416"/>
    <n v="74.029625050723553"/>
    <n v="972.80125038325787"/>
    <n v="222.7327644166071"/>
    <n v="500.02855825424194"/>
    <n v="3.6790121272206306"/>
    <n v="3014.57"/>
    <n v="12226.409918691665"/>
    <n v="226.41177654382773"/>
    <n v="11999.998142147837"/>
    <n v="1.3950444022192698E-7"/>
  </r>
  <r>
    <s v="PvVpgXTKXpLEWqn"/>
    <x v="63"/>
    <n v="7702.419966426678"/>
    <n v="78.093354935757816"/>
    <n v="931.22305569797754"/>
    <n v="238.09051523168455"/>
    <n v="506.84410381317139"/>
    <n v="3.4950615186244249"/>
    <n v="3023.01"/>
    <n v="12241.590480873585"/>
    <n v="241.58557675030897"/>
    <n v="12000.004904123276"/>
    <n v="5.6349804045119356E-7"/>
  </r>
  <r>
    <s v="PvVpgXTKXpLEWqn"/>
    <x v="64"/>
    <n v="7735.9019035203382"/>
    <n v="78.215370210760739"/>
    <n v="906.361332366243"/>
    <n v="251.79638979927404"/>
    <n v="516.45469570159912"/>
    <n v="3.3203083779662848"/>
    <n v="3018.18"/>
    <n v="12255.113301798941"/>
    <n v="255.11669817724032"/>
    <n v="11999.996603621701"/>
    <n v="-6.9170818184360883E-7"/>
  </r>
  <r>
    <s v="PvVpgXTKXpLEWqn"/>
    <x v="65"/>
    <n v="7770.819939785637"/>
    <n v="82.682826181058772"/>
    <n v="866.54973319172859"/>
    <n v="276.60680328225135"/>
    <n v="541.91584777832031"/>
    <n v="4.0860260706394911"/>
    <n v="3018.72"/>
    <n v="12280.688346936744"/>
    <n v="280.69282935289084"/>
    <n v="11999.995517583853"/>
    <n v="-9.0503179617229534E-8"/>
  </r>
  <r>
    <s v="PvVpgXTKXpLEWqn"/>
    <x v="66"/>
    <n v="7813.8824275084771"/>
    <n v="80.788110863650218"/>
    <n v="853.13412274420261"/>
    <n v="270.01427698138286"/>
    <n v="540.95067882537842"/>
    <n v="3.8817247785627842"/>
    <n v="2985.14"/>
    <n v="12273.895339941708"/>
    <n v="273.89600175994565"/>
    <n v="11999.999338181762"/>
    <n v="3.1838327796407384E-7"/>
  </r>
  <r>
    <s v="PvVpgXTKXpLEWqn"/>
    <x v="67"/>
    <n v="7852.2229446461424"/>
    <n v="81.191401104442775"/>
    <n v="816.96760702878237"/>
    <n v="271.5927653175313"/>
    <n v="550.04247236251831"/>
    <n v="3.6876385193318129"/>
    <n v="2974.86"/>
    <n v="12275.284425141886"/>
    <n v="275.28040383686312"/>
    <n v="12000.004021305023"/>
    <n v="3.9026029319266797E-7"/>
  </r>
  <r>
    <s v="PvVpgXTKXpLEWqn"/>
    <x v="68"/>
    <n v="7884.2568388214568"/>
    <n v="83.461891531944275"/>
    <n v="791.02364938240498"/>
    <n v="278.44021130743204"/>
    <n v="571.12178087234497"/>
    <n v="3.5032565668225288"/>
    <n v="2952.08"/>
    <n v="12281.944160608151"/>
    <n v="281.94346787425457"/>
    <n v="12000.000692733896"/>
    <n v="-2.773808343015105E-7"/>
  </r>
  <r>
    <s v="PvVpgXTKXpLEWqn"/>
    <x v="69"/>
    <n v="7917.3178906170651"/>
    <n v="81.621354185394011"/>
    <n v="767.74245544476435"/>
    <n v="291.95001711972873"/>
    <n v="576.80442476272583"/>
    <n v="3.3280938472598791"/>
    <n v="2951.79"/>
    <n v="12295.27612500995"/>
    <n v="295.27811096698861"/>
    <n v="11999.998014042962"/>
    <n v="-2.2322423165466176E-7"/>
  </r>
  <r>
    <s v="PvVpgXTKXpLEWqn"/>
    <x v="70"/>
    <n v="7950.4954891074449"/>
    <n v="80.802042225725017"/>
    <n v="740.23879193887115"/>
    <n v="310.85014921260881"/>
    <n v="590.24051809310913"/>
    <n v="3.1616890430450439"/>
    <n v="2952.24"/>
    <n v="12314.01684136515"/>
    <n v="314.01183825565386"/>
    <n v="12000.005003109496"/>
    <n v="5.8242230749350199E-7"/>
  </r>
  <r>
    <s v="PvVpgXTKXpLEWqn"/>
    <x v="71"/>
    <n v="7983.2874257588992"/>
    <n v="82.059308785421308"/>
    <n v="733.12465660460293"/>
    <n v="310.49508046815754"/>
    <n v="601.94075918197632"/>
    <n v="3.0036046486347914"/>
    <n v="2913.09"/>
    <n v="12313.5021503309"/>
    <n v="313.49868511679233"/>
    <n v="12000.003465214108"/>
    <n v="-1.2815789562914404E-7"/>
  </r>
  <r>
    <s v="PvVpgXTKXpLEWqn"/>
    <x v="72"/>
    <n v="8019.3706793222809"/>
    <n v="85.001276844675886"/>
    <n v="703.40405479073524"/>
    <n v="309.44748846278526"/>
    <n v="614.86857318878174"/>
    <n v="2.8534244364127517"/>
    <n v="2889.66"/>
    <n v="12312.304584146474"/>
    <n v="312.30091289919801"/>
    <n v="12000.003671247276"/>
    <n v="1.7169425658991599E-8"/>
  </r>
  <r>
    <s v="PvVpgXTKXpLEWqn"/>
    <x v="73"/>
    <n v="8056.3908720283071"/>
    <n v="89.302275199443102"/>
    <n v="674.83557377569377"/>
    <n v="347.63435286012827"/>
    <n v="633.61942386627197"/>
    <n v="2.7107531921938062"/>
    <n v="2896.2"/>
    <n v="12350.348144869717"/>
    <n v="350.34510605232208"/>
    <n v="12000.003038817395"/>
    <n v="-5.2702473940513528E-8"/>
  </r>
  <r>
    <s v="PvVpgXTKXpLEWqn"/>
    <x v="74"/>
    <n v="8098.305115303956"/>
    <n v="87.56946557489573"/>
    <n v="665.35790664236993"/>
    <n v="331.48463850884582"/>
    <n v="633.37548875808716"/>
    <n v="2.5752155585214496"/>
    <n v="2849.45"/>
    <n v="12334.05797627931"/>
    <n v="334.05985406736727"/>
    <n v="11999.998122211942"/>
    <n v="-4.097170173134046E-7"/>
  </r>
  <r>
    <s v="PvVpgXTKXpLEWqn"/>
    <x v="75"/>
    <n v="8128.2766032963991"/>
    <n v="85.591076283424627"/>
    <n v="648.79939818009734"/>
    <n v="336.74064249735966"/>
    <n v="646.11238527297974"/>
    <n v="2.4464547010138631"/>
    <n v="2830.41"/>
    <n v="12339.189463032901"/>
    <n v="339.18709719837352"/>
    <n v="12000.002365834527"/>
    <n v="3.5363527084442126E-7"/>
  </r>
  <r>
    <s v="PvVpgXTKXpLEWqn"/>
    <x v="76"/>
    <n v="8157.1627329038456"/>
    <n v="87.7132519306615"/>
    <n v="632.16734841000289"/>
    <n v="348.73635522648692"/>
    <n v="663.02727890014648"/>
    <n v="2.3241319796070457"/>
    <n v="2810.99"/>
    <n v="12351.060612144656"/>
    <n v="351.06048720609397"/>
    <n v="12000.000124938562"/>
    <n v="-1.8674129353968283E-7"/>
  </r>
  <r>
    <s v="PvVpgXTKXpLEWqn"/>
    <x v="77"/>
    <n v="8188.1096295118332"/>
    <n v="86.673627272248268"/>
    <n v="612.94904610933736"/>
    <n v="344.12540601938963"/>
    <n v="676.68399238586426"/>
    <n v="2.2079254118725657"/>
    <n v="2781.92"/>
    <n v="12346.336295279283"/>
    <n v="346.3333314312622"/>
    <n v="12000.002963848021"/>
    <n v="2.3657578585023487E-7"/>
  </r>
  <r>
    <s v="PvVpgXTKXpLEWqn"/>
    <x v="78"/>
    <n v="8217.8847390946466"/>
    <n v="86.154946215450764"/>
    <n v="590.9095849795267"/>
    <n v="360.5176057703793"/>
    <n v="693.95046520233154"/>
    <n v="2.0975291589275002"/>
    <n v="2773.72"/>
    <n v="12362.619735491955"/>
    <n v="362.61513492930681"/>
    <n v="12000.004600562648"/>
    <n v="1.3639285190159001E-7"/>
  </r>
  <r>
    <s v="PvVpgXTKXpLEWqn"/>
    <x v="79"/>
    <n v="8247.1044620009488"/>
    <n v="86.482720786705613"/>
    <n v="579.21330887475051"/>
    <n v="370.31699166819453"/>
    <n v="709.39160251617432"/>
    <n v="1.9926527207717299"/>
    <n v="2750.12"/>
    <n v="12372.312094178578"/>
    <n v="372.30964438896626"/>
    <n v="12000.002449789612"/>
    <n v="-1.7923101758299254E-7"/>
  </r>
  <r>
    <s v="PvVpgXTKXpLEWqn"/>
    <x v="80"/>
    <n v="8292.300321681425"/>
    <n v="87.154837289825082"/>
    <n v="555.12142834812403"/>
    <n v="392.53510952182114"/>
    <n v="725.92452049255371"/>
    <n v="1.8930200701579452"/>
    <n v="2733.93"/>
    <n v="12394.431107811928"/>
    <n v="394.42812959197909"/>
    <n v="12000.002978219949"/>
    <n v="4.4035852519996865E-8"/>
  </r>
  <r>
    <s v="PvVpgXTKXpLEWqn"/>
    <x v="81"/>
    <n v="8333.4843537644483"/>
    <n v="90.313053917139769"/>
    <n v="537.36478723492473"/>
    <n v="372.94625790044665"/>
    <n v="741.18114948272705"/>
    <n v="1.7983690379187465"/>
    <n v="2672.4"/>
    <n v="12374.74334439924"/>
    <n v="374.7446269383654"/>
    <n v="11999.998717460874"/>
    <n v="-3.5506316808930904E-7"/>
  </r>
  <r>
    <s v="PvVpgXTKXpLEWqn"/>
    <x v="82"/>
    <n v="8373.5036913645454"/>
    <n v="92.302683889865875"/>
    <n v="523.66972711961716"/>
    <n v="351.00120894983411"/>
    <n v="742.69188117980957"/>
    <n v="1.7084506014361978"/>
    <n v="2620.54"/>
    <n v="12352.707983553839"/>
    <n v="352.70965955127031"/>
    <n v="11999.998324002569"/>
    <n v="-3.2788195603039583E-8"/>
  </r>
  <r>
    <s v="PvVpgXTKXpLEWqn"/>
    <x v="83"/>
    <n v="8399.5467456648184"/>
    <n v="102.83039995282888"/>
    <n v="481.35938964784145"/>
    <n v="395.41276446729898"/>
    <n v="777.64024925231934"/>
    <n v="1.6230280874297023"/>
    <n v="2635.66"/>
    <n v="12397.036784517808"/>
    <n v="397.03579255472869"/>
    <n v="12000.000991963079"/>
    <n v="2.2233007368477331E-7"/>
  </r>
  <r>
    <s v="PvVpgXTKXpLEWqn"/>
    <x v="84"/>
    <n v="8431.3618361135013"/>
    <n v="100.31227053329349"/>
    <n v="482.42066370509565"/>
    <n v="410.66369808278978"/>
    <n v="800.81710338592529"/>
    <n v="1.5418766494840384"/>
    <n v="2597.29"/>
    <n v="12412.201873737817"/>
    <n v="412.20557473227382"/>
    <n v="11999.996299005543"/>
    <n v="-3.910797623518647E-7"/>
  </r>
  <r>
    <s v="PvVpgXTKXpLEWqn"/>
    <x v="85"/>
    <n v="8469.1727439798415"/>
    <n v="95.654396388679743"/>
    <n v="469.56374263949692"/>
    <n v="390.06574555113912"/>
    <n v="804.28235244750977"/>
    <n v="1.4647828293964267"/>
    <n v="2552.86"/>
    <n v="12391.533235455528"/>
    <n v="391.53052838053554"/>
    <n v="12000.002707074993"/>
    <n v="5.3400595212416135E-7"/>
  </r>
  <r>
    <s v="PvVpgXTKXpLEWqn"/>
    <x v="86"/>
    <n v="8503.1425633278122"/>
    <n v="97.776127255987376"/>
    <n v="443.42721582576632"/>
    <n v="398.77855227328837"/>
    <n v="822.77548313140869"/>
    <n v="1.3915436761453748"/>
    <n v="2533.0500000000002"/>
    <n v="12400.171389540974"/>
    <n v="400.17009594943374"/>
    <n v="12000.00129359154"/>
    <n v="-1.1779026121150338E-7"/>
  </r>
  <r>
    <s v="PvVpgXTKXpLEWqn"/>
    <x v="87"/>
    <n v="8533.5704259794584"/>
    <n v="100.6207758836681"/>
    <n v="421.79386636987329"/>
    <n v="405.907002273947"/>
    <n v="845.72855567932129"/>
    <n v="1.3219665321521461"/>
    <n v="2505.52"/>
    <n v="12407.233623912321"/>
    <n v="407.22896880609915"/>
    <n v="12000.004655106222"/>
    <n v="2.8012619335271438E-7"/>
  </r>
  <r>
    <s v="PvVpgXTKXpLEWqn"/>
    <x v="88"/>
    <n v="8563.1449912738753"/>
    <n v="98.650474566966295"/>
    <n v="421.58374739345163"/>
    <n v="418.52093720808625"/>
    <n v="865.27654075622559"/>
    <n v="1.2558681797236204"/>
    <n v="2471.12"/>
    <n v="12419.775753990518"/>
    <n v="419.77680538780987"/>
    <n v="11999.998948602708"/>
    <n v="-4.7554177506903272E-7"/>
  </r>
  <r>
    <s v="PvVpgXTKXpLEWqn"/>
    <x v="89"/>
    <n v="8592.1872999497427"/>
    <n v="96.531555311521515"/>
    <n v="411.28562948014593"/>
    <n v="417.46600597910583"/>
    <n v="886.09878635406494"/>
    <n v="1.1930747609585524"/>
    <n v="2432.56"/>
    <n v="12418.663271095475"/>
    <n v="418.65908074006438"/>
    <n v="12000.00419035541"/>
    <n v="4.3681276351570375E-7"/>
  </r>
  <r>
    <s v="PvVpgXTKXpLEWqn"/>
    <x v="90"/>
    <n v="8617.6989429073146"/>
    <n v="93.135667802533135"/>
    <n v="407.57181244250387"/>
    <n v="400.20621508173645"/>
    <n v="896.55410003662109"/>
    <n v="1.133421026635915"/>
    <n v="2386.38"/>
    <n v="12401.340523188974"/>
    <n v="401.33963610837236"/>
    <n v="12000.000887080601"/>
    <n v="-2.7527280466177473E-7"/>
  </r>
  <r>
    <s v="PvVpgXTKXpLEWqn"/>
    <x v="91"/>
    <n v="8643.6224035384366"/>
    <n v="93.098241979256272"/>
    <n v="384.19252863852307"/>
    <n v="400.9701443426311"/>
    <n v="914.58069801330566"/>
    <n v="1.0767499729990959"/>
    <n v="2366.5500000000002"/>
    <n v="12402.043872169521"/>
    <n v="402.0468943156302"/>
    <n v="11999.996977853891"/>
    <n v="-3.2576886843660446E-7"/>
  </r>
  <r>
    <s v="PvVpgXTKXpLEWqn"/>
    <x v="92"/>
    <n v="8673.8331166622229"/>
    <n v="93.477985084289685"/>
    <n v="375.48616308346391"/>
    <n v="406.83583756443113"/>
    <n v="931.70707702636719"/>
    <n v="1.0229124701581895"/>
    <n v="2333.35"/>
    <n v="12407.854341856344"/>
    <n v="407.85875003458932"/>
    <n v="11999.995591821755"/>
    <n v="-1.1550270706539578E-7"/>
  </r>
  <r>
    <s v="PvVpgXTKXpLEWqn"/>
    <x v="93"/>
    <n v="8700.3083902020007"/>
    <n v="95.420852327952161"/>
    <n v="359.87131772562861"/>
    <n v="423.78731741011143"/>
    <n v="961.55629730224609"/>
    <n v="0.97176686907187104"/>
    <n v="2307.6"/>
    <n v="12424.756857557828"/>
    <n v="424.7590842791833"/>
    <n v="11999.997773278645"/>
    <n v="1.8178814098490648E-7"/>
  </r>
  <r>
    <s v="PvVpgXTKXpLEWqn"/>
    <x v="94"/>
    <n v="8729.4184480644763"/>
    <n v="94.356900608749129"/>
    <n v="359.09416621550918"/>
    <n v="416.26679854281247"/>
    <n v="982.28861236572266"/>
    <n v="0.9231784981675446"/>
    <n v="2252.0300000000002"/>
    <n v="12417.188127254458"/>
    <n v="417.18997704098001"/>
    <n v="11999.998150213478"/>
    <n v="3.141124182981514E-8"/>
  </r>
  <r>
    <s v="PvVpgXTKXpLEWqn"/>
    <x v="95"/>
    <n v="8763.8071359316818"/>
    <n v="92.571721016429365"/>
    <n v="362.88662836782169"/>
    <n v="421.45030172541738"/>
    <n v="990.18102836608887"/>
    <n v="0.87701958464458585"/>
    <n v="2212.88"/>
    <n v="12422.326513682023"/>
    <n v="422.32732131006196"/>
    <n v="11999.999192371961"/>
    <n v="8.6846553726260822E-8"/>
  </r>
  <r>
    <s v="PvVpgXTKXpLEWqn"/>
    <x v="96"/>
    <n v="8793.9865647112019"/>
    <n v="94.095869733020663"/>
    <n v="341.50922934152186"/>
    <n v="437.69956655055285"/>
    <n v="1016.0959062576294"/>
    <n v="0.83316860906779766"/>
    <n v="2192.85"/>
    <n v="12438.537570043374"/>
    <n v="438.53273515962064"/>
    <n v="12000.004834883754"/>
    <n v="4.7020934768049472E-7"/>
  </r>
  <r>
    <s v="PvVpgXTKXpLEWqn"/>
    <x v="97"/>
    <n v="8819.9754545725882"/>
    <n v="93.953439040109515"/>
    <n v="338.73705175146461"/>
    <n v="430.11588709335774"/>
    <n v="1037.5839309692383"/>
    <n v="0.79151015356183052"/>
    <n v="2140.66"/>
    <n v="12430.9098763334"/>
    <n v="430.90739724691957"/>
    <n v="12000.002479086481"/>
    <n v="-1.9631636027916954E-7"/>
  </r>
  <r>
    <s v="PvVpgXTKXpLEWqn"/>
    <x v="98"/>
    <n v="8849.7863763296045"/>
    <n v="96.120606446638703"/>
    <n v="314.95217994600534"/>
    <n v="422.34138551354408"/>
    <n v="1063.6483182907104"/>
    <n v="0.75193466641940176"/>
    <n v="2098.59"/>
    <n v="12423.097481012959"/>
    <n v="423.09332017996348"/>
    <n v="12000.004160832996"/>
    <n v="1.4014551386054563E-7"/>
  </r>
  <r>
    <s v="PvVpgXTKXpLEWqn"/>
    <x v="99"/>
    <n v="8875.857058784808"/>
    <n v="98.455746872350574"/>
    <n v="320.61546626593918"/>
    <n v="421.13903322815895"/>
    <n v="1079.8742446899414"/>
    <n v="0.71433795103803277"/>
    <n v="2047.05"/>
    <n v="12421.852516613038"/>
    <n v="421.85337117919698"/>
    <n v="11999.999145433841"/>
    <n v="-4.1794978455911291E-7"/>
  </r>
  <r>
    <s v="PvVpgXTKXpLEWqn"/>
    <x v="100"/>
    <n v="8898.7674738508649"/>
    <n v="100.55432368442416"/>
    <n v="308.98486104793847"/>
    <n v="435.51784472353756"/>
    <n v="1100.6413612365723"/>
    <n v="0.67862105881795287"/>
    <n v="2027.25"/>
    <n v="12436.1980198198"/>
    <n v="436.19646578235552"/>
    <n v="12000.001554037444"/>
    <n v="2.0071698125789794E-7"/>
  </r>
  <r>
    <s v="PvVpgXTKXpLEWqn"/>
    <x v="101"/>
    <n v="8927.7991126412526"/>
    <n v="103.63399908412248"/>
    <n v="282.93090268597007"/>
    <n v="429.79401067458093"/>
    <n v="1128.5215148925781"/>
    <n v="0.64468998298980296"/>
    <n v="1987.55"/>
    <n v="12430.435529303923"/>
    <n v="430.43870065757073"/>
    <n v="11999.996828646352"/>
    <n v="-3.9378254002020441E-7"/>
  </r>
  <r>
    <s v="PvVpgXTKXpLEWqn"/>
    <x v="102"/>
    <n v="8955.7229273482226"/>
    <n v="106.40751791000366"/>
    <n v="277.45323771610856"/>
    <n v="430.63984213024378"/>
    <n v="1152.7452449798584"/>
    <n v="0.61245548794977367"/>
    <n v="1938.92"/>
    <n v="12431.248927954193"/>
    <n v="431.25229761819355"/>
    <n v="11999.996630336"/>
    <n v="-1.6525867008176931E-8"/>
  </r>
  <r>
    <s v="PvVpgXTKXpLEWqn"/>
    <x v="103"/>
    <n v="8981.7503128410317"/>
    <n v="105.88709798268974"/>
    <n v="274.73312396131223"/>
    <n v="417.60310107888654"/>
    <n v="1172.6849117279053"/>
    <n v="0.58183272485621274"/>
    <n v="1883.13"/>
    <n v="12418.18544651294"/>
    <n v="418.18493380374275"/>
    <n v="12000.000512709197"/>
    <n v="3.2353119072681125E-7"/>
  </r>
  <r>
    <s v="PvVpgXTKXpLEWqn"/>
    <x v="104"/>
    <n v="9006.5126782786101"/>
    <n v="109.90043069422245"/>
    <n v="261.77780409343541"/>
    <n v="424.99800764024258"/>
    <n v="1202.7441577911377"/>
    <n v="0.55274108028970659"/>
    <n v="1844.62"/>
    <n v="12425.555070857405"/>
    <n v="425.55074872053228"/>
    <n v="12000.004322136872"/>
    <n v="3.1745229267521324E-7"/>
  </r>
  <r>
    <s v="PvVpgXTKXpLEWqn"/>
    <x v="105"/>
    <n v="9034.3454472329468"/>
    <n v="110.50781420245767"/>
    <n v="249.17229586839676"/>
    <n v="414.03064832091331"/>
    <n v="1223.3280372619629"/>
    <n v="0.52510402142070234"/>
    <n v="1797.2"/>
    <n v="12414.553594565765"/>
    <n v="414.55575234233402"/>
    <n v="11999.997842223431"/>
    <n v="-5.3999259230774754E-7"/>
  </r>
  <r>
    <s v="PvVpgXTKXpLEWqn"/>
    <x v="106"/>
    <n v="9055.2054620268755"/>
    <n v="112.83881218731403"/>
    <n v="235.87635863409378"/>
    <n v="419.46831458806992"/>
    <n v="1258.6221332550049"/>
    <n v="0.49884882383048534"/>
    <n v="1757.42"/>
    <n v="12419.962766103288"/>
    <n v="419.9671634119004"/>
    <n v="11999.995602691388"/>
    <n v="-1.8662770384647587E-7"/>
  </r>
  <r>
    <s v="PvVpgXTKXpLEWqn"/>
    <x v="107"/>
    <n v="9070.6542933941819"/>
    <n v="113.2213194295764"/>
    <n v="250.83292029588483"/>
    <n v="400.71302944421768"/>
    <n v="1274.3883495330811"/>
    <n v="0.47390638361684978"/>
    <n v="1692.09"/>
    <n v="12401.186882652724"/>
    <n v="401.18693582783453"/>
    <n v="11999.99994682489"/>
    <n v="3.6201125785950694E-7"/>
  </r>
  <r>
    <s v="PvVpgXTKXpLEWqn"/>
    <x v="108"/>
    <n v="9089.6645412826911"/>
    <n v="112.84932889044285"/>
    <n v="235.11182569339871"/>
    <n v="399.16336604952812"/>
    <n v="1295.2634029388428"/>
    <n v="0.4502110683824867"/>
    <n v="1666.72"/>
    <n v="12399.609098805375"/>
    <n v="399.61357711791061"/>
    <n v="11999.995521687464"/>
    <n v="-3.6876145381725678E-7"/>
  </r>
  <r>
    <s v="PvVpgXTKXpLEWqn"/>
    <x v="109"/>
    <n v="9112.1107767769718"/>
    <n v="114.74899466335773"/>
    <n v="211.17530222318601"/>
    <n v="400.65393108129501"/>
    <n v="1324.275520324707"/>
    <n v="0.42770050652325153"/>
    <n v="1638.77"/>
    <n v="12401.080593988223"/>
    <n v="401.08163158781826"/>
    <n v="11999.998962400405"/>
    <n v="2.8672618546110584E-7"/>
  </r>
  <r>
    <s v="PvVpgXTKXpLEWqn"/>
    <x v="110"/>
    <n v="9133.3119839690989"/>
    <n v="115.0417063087225"/>
    <n v="222.30270216241479"/>
    <n v="395.00632691383362"/>
    <n v="1343.3683757781982"/>
    <n v="0.40631549060344696"/>
    <n v="1581.39"/>
    <n v="12395.414768218434"/>
    <n v="395.41264240443707"/>
    <n v="12000.002125813997"/>
    <n v="2.6361782223816022E-7"/>
  </r>
  <r>
    <s v="PvVpgXTKXpLEWqn"/>
    <x v="111"/>
    <n v="9156.5893654258398"/>
    <n v="118.07667237892747"/>
    <n v="185.37959212157875"/>
    <n v="391.02916759252548"/>
    <n v="1380.7061195373535"/>
    <n v="0.38599970028735697"/>
    <n v="1550.66"/>
    <n v="12391.411749463699"/>
    <n v="391.41516729281284"/>
    <n v="11999.996582170887"/>
    <n v="-4.6197017733451418E-7"/>
  </r>
  <r>
    <s v="PvVpgXTKXpLEWqn"/>
    <x v="112"/>
    <n v="9186.5971498057188"/>
    <n v="116.1984776686877"/>
    <n v="188.80210805591196"/>
    <n v="379.27649434655905"/>
    <n v="1402.4539222717285"/>
    <n v="0.36669972504023463"/>
    <n v="1485.59"/>
    <n v="12379.641657802047"/>
    <n v="379.64319407159928"/>
    <n v="11999.998463730448"/>
    <n v="1.5679667475509973E-7"/>
  </r>
  <r>
    <s v="PvVpgXTKXpLEWqn"/>
    <x v="113"/>
    <n v="9213.3330149932299"/>
    <n v="117.86417491734028"/>
    <n v="177.40086899977177"/>
    <n v="372.08937948197126"/>
    <n v="1433.5990676879883"/>
    <n v="0.34836474107578397"/>
    <n v="1430.24"/>
    <n v="12372.43712659833"/>
    <n v="372.43774422304705"/>
    <n v="11999.999382375283"/>
    <n v="7.6553746009011547E-8"/>
  </r>
  <r>
    <s v="PvVpgXTKXpLEWqn"/>
    <x v="114"/>
    <n v="9239.333935506409"/>
    <n v="121.16693851351738"/>
    <n v="154.08035690209363"/>
    <n v="360.63006895780563"/>
    <n v="1475.7606506347656"/>
    <n v="0.33094649971462786"/>
    <n v="1370.62"/>
    <n v="12360.961881556785"/>
    <n v="360.96101545752026"/>
    <n v="12000.000866099264"/>
    <n v="1.2364367152351008E-7"/>
  </r>
  <r>
    <s v="PvVpgXTKXpLEWqn"/>
    <x v="115"/>
    <n v="9267.3248417610303"/>
    <n v="120.90956831723452"/>
    <n v="159.01455100812018"/>
    <n v="354.18863180279732"/>
    <n v="1508.5587978363037"/>
    <n v="0.31439917313400656"/>
    <n v="1298.7"/>
    <n v="12354.507758922689"/>
    <n v="354.50303097593132"/>
    <n v="12000.004727946758"/>
    <n v="3.2182060127894374E-7"/>
  </r>
  <r>
    <s v="PvVpgXTKXpLEWqn"/>
    <x v="116"/>
    <n v="9295.6778199481778"/>
    <n v="120.07174851000309"/>
    <n v="169.37502374034375"/>
    <n v="342.68786138296127"/>
    <n v="1525.1579151153564"/>
    <n v="0.29867921164259315"/>
    <n v="1232.7"/>
    <n v="12342.982507313882"/>
    <n v="342.98654059460387"/>
    <n v="11999.995966719278"/>
    <n v="-7.3010200229983724E-7"/>
  </r>
  <r>
    <s v="PvVpgXTKXpLEWqn"/>
    <x v="117"/>
    <n v="9328.9118105424568"/>
    <n v="124.75158261880279"/>
    <n v="117.71499191783369"/>
    <n v="330.89262002706528"/>
    <n v="1573.2668056488037"/>
    <n v="0.28374525252729654"/>
    <n v="1186.53"/>
    <n v="12331.175190727898"/>
    <n v="331.17636527959257"/>
    <n v="11999.998825448305"/>
    <n v="2.3822749906088347E-7"/>
  </r>
  <r>
    <s v="PvVpgXTKXpLEWqn"/>
    <x v="118"/>
    <n v="9358.342387507204"/>
    <n v="126.91369958221912"/>
    <n v="128.90513433143497"/>
    <n v="305.00386297702789"/>
    <n v="1601.5834465026855"/>
    <n v="0.269557990366593"/>
    <n v="1089.53"/>
    <n v="12305.274667923544"/>
    <n v="305.27342096739449"/>
    <n v="12000.00124695615"/>
    <n v="2.017923401709254E-7"/>
  </r>
  <r>
    <s v="PvVpgXTKXpLEWqn"/>
    <x v="119"/>
    <n v="9387.8483237384644"/>
    <n v="131.49667861312628"/>
    <n v="110.82190977409482"/>
    <n v="286.64863604307175"/>
    <n v="1638.3073444366455"/>
    <n v="0.25608009612187743"/>
    <n v="1018.43"/>
    <n v="12286.904256562331"/>
    <n v="286.90471613919362"/>
    <n v="11999.999540423138"/>
    <n v="-1.4221106958700602E-7"/>
  </r>
  <r>
    <s v="PvVpgXTKXpLEWqn"/>
    <x v="120"/>
    <n v="9411.2277027235832"/>
    <n v="133.83116620033979"/>
    <n v="102.08022071048617"/>
    <n v="267.79340809583664"/>
    <n v="1670.9955902099609"/>
    <n v="0.24327609094325453"/>
    <n v="949.90200000000004"/>
    <n v="12268.03667984437"/>
    <n v="268.03668418677989"/>
    <n v="11999.99999565759"/>
    <n v="3.7936205732336248E-8"/>
  </r>
  <r>
    <s v="PvVpgXTKXpLEWqn"/>
    <x v="121"/>
    <n v="9426.9504790073261"/>
    <n v="135.01979788392782"/>
    <n v="100.7246631286107"/>
    <n v="249.82286354340613"/>
    <n v="1704.5127067565918"/>
    <n v="0.23111228435300291"/>
    <n v="882.846"/>
    <n v="12250.053646776456"/>
    <n v="250.05397582775913"/>
    <n v="11999.999670948697"/>
    <n v="-2.705907442557276E-8"/>
  </r>
  <r>
    <s v="PvVpgXTKXpLEWqn"/>
    <x v="122"/>
    <n v="9441.6188235430745"/>
    <n v="136.93312239646912"/>
    <n v="89.469241127371788"/>
    <n v="233.23911624075845"/>
    <n v="1744.4362354278564"/>
    <n v="0.2195566714508459"/>
    <n v="821.00099999999998"/>
    <n v="12233.458422494772"/>
    <n v="233.45867291220929"/>
    <n v="11999.999749582563"/>
    <n v="6.5528222847888173E-9"/>
  </r>
  <r>
    <s v="PvVpgXTKXpLEWqn"/>
    <x v="123"/>
    <n v="9448.245103037334"/>
    <n v="137.14358998835087"/>
    <n v="89.677827946841717"/>
    <n v="215.67131798574701"/>
    <n v="1783.806978225708"/>
    <n v="0.20857883524149656"/>
    <n v="757.00599999999997"/>
    <n v="12215.879499198234"/>
    <n v="215.87989682098851"/>
    <n v="11999.999602377246"/>
    <n v="-1.2267109994468228E-8"/>
  </r>
  <r>
    <s v="PvVpgXTKXpLEWqn"/>
    <x v="124"/>
    <n v="9461.9636755269021"/>
    <n v="135.88458117842674"/>
    <n v="96.334978820756078"/>
    <n v="198.18839900568128"/>
    <n v="1809.5950298309326"/>
    <n v="0.19814989250153303"/>
    <n v="694.60799999999995"/>
    <n v="12198.386265357018"/>
    <n v="198.38654889818281"/>
    <n v="11999.999716458835"/>
    <n v="9.5067993477471191E-9"/>
  </r>
  <r>
    <s v="PvVpgXTKXpLEWqn"/>
    <x v="125"/>
    <n v="9474.7088146671304"/>
    <n v="138.12805071473122"/>
    <n v="82.015072371810675"/>
    <n v="186.03459972143173"/>
    <n v="1841.5922412872314"/>
    <n v="0.18824239657260478"/>
    <n v="649.779"/>
    <n v="12186.223179040904"/>
    <n v="186.22284211800434"/>
    <n v="12000.0003369229"/>
    <n v="5.1705340009533529E-8"/>
  </r>
  <r>
    <s v="PvVpgXTKXpLEWqn"/>
    <x v="126"/>
    <n v="9486.4522985676886"/>
    <n v="136.55525715649128"/>
    <n v="94.351194830611348"/>
    <n v="170.33580759167671"/>
    <n v="1859.7935562133789"/>
    <n v="0.17883027956122532"/>
    <n v="593.36199999999997"/>
    <n v="12170.514306768169"/>
    <n v="170.51463787123794"/>
    <n v="11999.999668896931"/>
    <n v="-5.566882910201798E-8"/>
  </r>
  <r>
    <s v="PvVpgXTKXpLEWqn"/>
    <x v="127"/>
    <n v="9495.6962133189663"/>
    <n v="143.60525572905317"/>
    <n v="48.056911056861281"/>
    <n v="161.2907548956573"/>
    <n v="1915.5347728729248"/>
    <n v="0.16988876671530306"/>
    <n v="558.56799999999998"/>
    <n v="12161.461152977805"/>
    <n v="161.4606436623726"/>
    <n v="12000.000509315432"/>
    <n v="7.0034877008851026E-8"/>
  </r>
  <r>
    <s v="PvVpgXTKXpLEWqn"/>
    <x v="128"/>
    <n v="9504.0980824367143"/>
    <n v="145.26270893216133"/>
    <n v="65.585404954850674"/>
    <n v="139.69068935513496"/>
    <n v="1946.0046882629395"/>
    <n v="0.16139432566706091"/>
    <n v="478.90100000000001"/>
    <n v="12139.851884586666"/>
    <n v="139.85208368080202"/>
    <n v="11999.999800905864"/>
    <n v="-5.9034128252477558E-8"/>
  </r>
  <r>
    <s v="PvVpgXTKXpLEWqn"/>
    <x v="129"/>
    <n v="9507.9540325729176"/>
    <n v="150.75359338521957"/>
    <n v="46.400497806956992"/>
    <n v="128.25382035970688"/>
    <n v="1994.5057106018066"/>
    <n v="0.15332461579237133"/>
    <n v="428.79300000000001"/>
    <n v="12128.406834366901"/>
    <n v="128.40714497549925"/>
    <n v="11999.999689391401"/>
    <n v="-9.2928720274443322E-9"/>
  </r>
  <r>
    <s v="PvVpgXTKXpLEWqn"/>
    <x v="130"/>
    <n v="9523.7881932663731"/>
    <n v="148.73362654447556"/>
    <n v="51.471027694642544"/>
    <n v="111.84885758161545"/>
    <n v="2027.5329818725586"/>
    <n v="0.14565838052658364"/>
    <n v="360.46899999999999"/>
    <n v="12111.994829378049"/>
    <n v="111.99451596214203"/>
    <n v="12000.000313415907"/>
    <n v="5.2002043560150923E-8"/>
  </r>
  <r>
    <s v="PvVpgXTKXpLEWqn"/>
    <x v="131"/>
    <n v="9537.8120914513711"/>
    <n v="145.94403919018805"/>
    <n v="56.046415386430454"/>
    <n v="97.52634608745575"/>
    <n v="2058.85227394104"/>
    <n v="0.13837546401191503"/>
    <n v="299.01"/>
    <n v="12097.66481996903"/>
    <n v="97.664721551467665"/>
    <n v="12000.000098417562"/>
    <n v="-1.7916528260997211E-8"/>
  </r>
  <r>
    <s v="PvVpgXTKXpLEWqn"/>
    <x v="132"/>
    <n v="9542.5672071543522"/>
    <n v="147.41666102409363"/>
    <n v="59.258456352516077"/>
    <n v="84.517828702926636"/>
    <n v="2095.1914806365967"/>
    <n v="0.13145669002551585"/>
    <n v="240.215"/>
    <n v="12084.648805167559"/>
    <n v="84.649285392952152"/>
    <n v="11999.999519774607"/>
    <n v="-4.8220245907337755E-8"/>
  </r>
  <r>
    <s v="PvVpgXTKXpLEWqn"/>
    <x v="133"/>
    <n v="9548.1672351190355"/>
    <n v="148.06699681282043"/>
    <n v="56.952181198634207"/>
    <n v="70.652788132429123"/>
    <n v="2140.8315544128418"/>
    <n v="0.12488385272445157"/>
    <n v="176.76"/>
    <n v="12070.777967543332"/>
    <n v="70.777671985153574"/>
    <n v="12000.000295558179"/>
    <n v="6.4648633557595758E-8"/>
  </r>
  <r>
    <s v="PvVpgXTKXpLEWqn"/>
    <x v="134"/>
    <n v="9554.268966644071"/>
    <n v="148.61314219236374"/>
    <n v="80.386204842478037"/>
    <n v="54.919148772954941"/>
    <n v="2168.5920028686523"/>
    <n v="0.11863966443343088"/>
    <n v="103.17700000000001"/>
    <n v="12055.037316547565"/>
    <n v="55.037788437388372"/>
    <n v="11999.999528110176"/>
    <n v="-6.3953998652444E-8"/>
  </r>
  <r>
    <s v="PvVpgXTKXpLEWqn"/>
    <x v="135"/>
    <n v="9560.3087538047694"/>
    <n v="151.63841105997562"/>
    <n v="73.126986389688682"/>
    <n v="39.996483724564314"/>
    <n v="2206.6540241241455"/>
    <n v="0.11270767997484654"/>
    <n v="48.381"/>
    <n v="12040.109175378579"/>
    <n v="40.10919140453916"/>
    <n v="11999.999983974039"/>
    <n v="3.7988656664822429E-8"/>
  </r>
  <r>
    <s v="PvVpgXTKXpLEWqn"/>
    <x v="136"/>
    <n v="9570.3365909428103"/>
    <n v="156.2687414996326"/>
    <n v="59.971198369166814"/>
    <n v="29.646352805197239"/>
    <n v="2261.0871906280518"/>
    <n v="0.10707229573745281"/>
    <n v="-17.910299999999999"/>
    <n v="12029.753421439662"/>
    <n v="29.753425100934692"/>
    <n v="11999.999996338727"/>
    <n v="1.0303906616826453E-9"/>
  </r>
  <r>
    <s v="PvVpgXTKXpLEWqn"/>
    <x v="137"/>
    <n v="9583.1212125886232"/>
    <n v="154.13221479905769"/>
    <n v="111.37964295456186"/>
    <n v="20.933826811611652"/>
    <n v="2279.2014923095703"/>
    <n v="0.10171868180623278"/>
    <n v="-106.79900000000001"/>
    <n v="12021.035562651812"/>
    <n v="21.035545493417885"/>
    <n v="12000.000017158394"/>
    <n v="1.7349721659343231E-9"/>
  </r>
  <r>
    <s v="PvVpgXTKXpLEWqn"/>
    <x v="138"/>
    <n v="9588.4286032163072"/>
    <n v="159.67357669095509"/>
    <n v="86.370082087814808"/>
    <n v="17.561247482895851"/>
    <n v="2338.0457401275635"/>
    <n v="9.663274441845715E-2"/>
    <n v="-154.86000000000001"/>
    <n v="12017.65800212264"/>
    <n v="17.657880227314308"/>
    <n v="12000.000121895326"/>
    <n v="8.7280775940001831E-9"/>
  </r>
  <r>
    <s v="PvVpgXTKXpLEWqn"/>
    <x v="139"/>
    <n v="9597.483512729872"/>
    <n v="159.82111855293624"/>
    <n v="124.18324614828452"/>
    <n v="12.462242130190134"/>
    <n v="2369.0359420776367"/>
    <n v="9.1801109549123794E-2"/>
    <n v="-237.97"/>
    <n v="12012.55381950873"/>
    <n v="12.554043239739258"/>
    <n v="11999.999776268991"/>
    <n v="-2.8802194296240202E-8"/>
  </r>
  <r>
    <s v="PvVpgXTKXpLEWqn"/>
    <x v="140"/>
    <n v="9608.2361069186591"/>
    <n v="159.42873168434016"/>
    <n v="124.58327295887284"/>
    <n v="9.807415559887886"/>
    <n v="2402.8769073486328"/>
    <n v="8.7211054807994515E-2"/>
    <n v="-285.23"/>
    <n v="12009.895018910505"/>
    <n v="9.8946266146958806"/>
    <n v="12000.000392295809"/>
    <n v="5.1335569128951875E-8"/>
  </r>
  <r>
    <s v="PvVpgXTKXpLEWqn"/>
    <x v="141"/>
    <n v="9610.6873601830303"/>
    <n v="164.64306459500222"/>
    <n v="119.74561281688511"/>
    <n v="7.9896443784236908"/>
    <n v="2457.1888465881348"/>
    <n v="8.285050094127655E-2"/>
    <n v="-344.19200000000001"/>
    <n v="12008.072884183053"/>
    <n v="8.0724948793649673"/>
    <n v="12000.000389303688"/>
    <n v="-2.4934343478832943E-10"/>
  </r>
  <r>
    <s v="PvVpgXTKXpLEWqn"/>
    <x v="142"/>
    <n v="9613.729388301188"/>
    <n v="167.37972975667799"/>
    <n v="142.74279804783873"/>
    <n v="6.3135308139026165"/>
    <n v="2494.2596740722656"/>
    <n v="7.8707974869757891E-2"/>
    <n v="-411.71899999999999"/>
    <n v="12006.392590177971"/>
    <n v="6.3922387887723744"/>
    <n v="12000.000351389199"/>
    <n v="-3.1595406291273775E-9"/>
  </r>
  <r>
    <s v="PvVpgXTKXpLEWqn"/>
    <x v="143"/>
    <n v="9618.1925897385081"/>
    <n v="169.03580853063613"/>
    <n v="148.8420506878756"/>
    <n v="5.2111942544579506"/>
    <n v="2539.8896141052246"/>
    <n v="7.4772578111151233E-2"/>
    <n v="-470.67399999999998"/>
    <n v="12005.286063062245"/>
    <n v="5.2859668325691018"/>
    <n v="12000.000096229676"/>
    <n v="-2.1263292904194486E-8"/>
  </r>
  <r>
    <s v="PvVpgXTKXpLEWqn"/>
    <x v="144"/>
    <n v="9625.3733883147215"/>
    <n v="167.47682185843587"/>
    <n v="161.38147487863898"/>
    <n v="4.6353211551904678"/>
    <n v="2580.7702941894531"/>
    <n v="7.1033949236152694E-2"/>
    <n v="-530.29600000000005"/>
    <n v="12004.705979241249"/>
    <n v="4.7063551044266205"/>
    <n v="11999.999624136823"/>
    <n v="-3.9341070845466675E-8"/>
  </r>
  <r>
    <s v="PvVpgXTKXpLEWqn"/>
    <x v="145"/>
    <n v="9628.5465486381436"/>
    <n v="173.51166653027758"/>
    <n v="164.92716904403642"/>
    <n v="3.5316329039633274"/>
    <n v="2635.6940307617188"/>
    <n v="6.748225013143383E-2"/>
    <n v="-599.08000000000004"/>
    <n v="12003.599414974176"/>
    <n v="3.5991151540947612"/>
    <n v="12000.000299820082"/>
    <n v="5.6306939999473116E-8"/>
  </r>
  <r>
    <s v="PvVpgXTKXpLEWqn"/>
    <x v="146"/>
    <n v="9629.2359222802334"/>
    <n v="181.62049809994642"/>
    <n v="168.64239821955562"/>
    <n v="2.964263379573822"/>
    <n v="2683.7902221679688"/>
    <n v="6.4108136633876711E-2"/>
    <n v="-660.26099999999997"/>
    <n v="12003.028040767704"/>
    <n v="3.0283715162076987"/>
    <n v="11999.999669251496"/>
    <n v="-5.2547380779977004E-8"/>
  </r>
  <r>
    <s v="PvVpgXTKXpLEWqn"/>
    <x v="147"/>
    <n v="9631.8650727692002"/>
    <n v="185.68283751048148"/>
    <n v="164.44071236718446"/>
    <n v="2.1110554486513138"/>
    <n v="2734.745777130127"/>
    <n v="6.0902731522219256E-2"/>
    <n v="-714.56200000000001"/>
    <n v="12002.172399776993"/>
    <n v="2.171958180173533"/>
    <n v="12000.00044159682"/>
    <n v="6.4362112084381806E-8"/>
  </r>
  <r>
    <s v="PvVpgXTKXpLEWqn"/>
    <x v="148"/>
    <n v="9636.2886016806588"/>
    <n v="182.91169387311675"/>
    <n v="200.8399037886411"/>
    <n v="1.8020273894071579"/>
    <n v="2764.1626243591309"/>
    <n v="5.7857593696098775E-2"/>
    <n v="-782.34299999999996"/>
    <n v="12001.859823701547"/>
    <n v="1.8598849831032567"/>
    <n v="11999.999938718443"/>
    <n v="-4.1906529801849501E-8"/>
  </r>
  <r>
    <s v="PvVpgXTKXpLEWqn"/>
    <x v="149"/>
    <n v="9640.469957733294"/>
    <n v="182.60136081994278"/>
    <n v="216.95093119889498"/>
    <n v="1.2137366160750389"/>
    <n v="2799.1670341491699"/>
    <n v="5.4964714916422963E-2"/>
    <n v="-837.92100000000005"/>
    <n v="12001.268283901301"/>
    <n v="1.2687013309914619"/>
    <n v="11999.99958257031"/>
    <n v="-2.9679011248617826E-8"/>
  </r>
  <r>
    <s v="PvVpgXTKXpLEWqn"/>
    <x v="150"/>
    <n v="9641.0994636677206"/>
    <n v="186.34961305576144"/>
    <n v="201.84363230038434"/>
    <n v="1.0242406614124775"/>
    <n v="2864.9711303710938"/>
    <n v="5.2216479904018342E-2"/>
    <n v="-893.18700000000001"/>
    <n v="12001.07683939496"/>
    <n v="1.0764571413164958"/>
    <n v="12000.000382253644"/>
    <n v="6.6640280182994616E-8"/>
  </r>
  <r>
    <s v="PvVpgXTKXpLEWqn"/>
    <x v="151"/>
    <n v="9640.529627131531"/>
    <n v="192.00315310584847"/>
    <n v="200.72618568316102"/>
    <n v="0.79857400804758072"/>
    <n v="2921.3729667663574"/>
    <n v="4.96056548145134E-2"/>
    <n v="-953.78399999999999"/>
    <n v="12000.847932686898"/>
    <n v="0.84817966286209412"/>
    <n v="11999.999753024036"/>
    <n v="-5.2435798925110078E-8"/>
  </r>
  <r>
    <s v="PvVpgXTKXpLEWqn"/>
    <x v="152"/>
    <n v="9644.3208940781187"/>
    <n v="195.91178118262906"/>
    <n v="193.68494543246925"/>
    <n v="0.75864532217383385"/>
    <n v="2978.7070808410645"/>
    <n v="4.7125372308073565E-2"/>
    <n v="-1011.82"/>
    <n v="12000.804701534282"/>
    <n v="0.80577069448190741"/>
    <n v="11999.9989308398"/>
    <n v="-6.8515354390008554E-8"/>
  </r>
  <r>
    <s v="PvVpgXTKXpLEWqn"/>
    <x v="153"/>
    <n v="9648.5344111056766"/>
    <n v="193.48898776737042"/>
    <n v="213.65337519627064"/>
    <n v="0.720713060349226"/>
    <n v="3020.2794456481934"/>
    <n v="4.4769104672013782E-2"/>
    <n v="-1075.19"/>
    <n v="12000.76621971751"/>
    <n v="0.76548216502123978"/>
    <n v="12000.000737552489"/>
    <n v="1.5055940427721737E-7"/>
  </r>
  <r>
    <s v="PvVpgXTKXpLEWqn"/>
    <x v="154"/>
    <n v="9651.8188499165117"/>
    <n v="193.9366391900985"/>
    <n v="213.67830308154225"/>
    <n v="0.68467739596962929"/>
    <n v="3074.8004417419434"/>
    <n v="4.2530649065156467E-2"/>
    <n v="-1133.51"/>
    <n v="12000.724233930096"/>
    <n v="0.72720804503478575"/>
    <n v="11999.997025885061"/>
    <n v="-3.0930560002140339E-7"/>
  </r>
  <r>
    <s v="PvVpgXTKXpLEWqn"/>
    <x v="155"/>
    <n v="9652.2717216623132"/>
    <n v="195.77870377342333"/>
    <n v="237.69737672246993"/>
    <n v="0.40018479898571968"/>
    <n v="3116.0864753723145"/>
    <n v="4.0404116691206582E-2"/>
    <n v="-1201.3900000000001"/>
    <n v="12000.444277530522"/>
    <n v="0.44058891567692626"/>
    <n v="12000.003688614845"/>
    <n v="5.5522761965853817E-7"/>
  </r>
  <r>
    <s v="PvVpgXTKXpLEWqn"/>
    <x v="156"/>
    <n v="9658.3051779864472"/>
    <n v="198.66651265136898"/>
    <n v="212.04505126085132"/>
    <n v="0.38017556443810463"/>
    <n v="3170.2193641662598"/>
    <n v="3.838391081080772E-2"/>
    <n v="-1238.82"/>
    <n v="12000.416106064928"/>
    <n v="0.41855947524891235"/>
    <n v="11999.997546589679"/>
    <n v="-5.1183527316478461E-7"/>
  </r>
  <r>
    <s v="PvVpgXTKXpLEWqn"/>
    <x v="157"/>
    <n v="9659.4885106292204"/>
    <n v="203.87437668989878"/>
    <n v="212.22295949608088"/>
    <n v="0.36116677522659302"/>
    <n v="3229.5836753845215"/>
    <n v="3.6464714343310334E-2"/>
    <n v="-1304.77"/>
    <n v="12000.399522199721"/>
    <n v="0.39763148956990335"/>
    <n v="12000.001890710151"/>
    <n v="3.6201011344161316E-7"/>
  </r>
  <r>
    <s v="PvVpgXTKXpLEWqn"/>
    <x v="158"/>
    <n v="9659.5416553504765"/>
    <n v="201.81501406477764"/>
    <n v="237.83421974908561"/>
    <n v="0.20776677504181862"/>
    <n v="3265.0653686523438"/>
    <n v="3.464148000057321E-2"/>
    <n v="-1364.01"/>
    <n v="12000.246257816683"/>
    <n v="0.24240825504239183"/>
    <n v="12000.003849561641"/>
    <n v="1.6323759832737039E-7"/>
  </r>
  <r>
    <s v="PvVpgXTKXpLEWqn"/>
    <x v="159"/>
    <n v="9654.535728989169"/>
    <n v="204.52583097713068"/>
    <n v="238.61347416949866"/>
    <n v="0.19737843796610832"/>
    <n v="3312.5437202453613"/>
    <n v="3.290940512670204E-2"/>
    <n v="-1409.99"/>
    <n v="12000.22875438116"/>
    <n v="0.23028784309281036"/>
    <n v="11999.998466538067"/>
    <n v="-4.4858515391155152E-7"/>
  </r>
  <r>
    <s v="PvVpgXTKXpLEWqn"/>
    <x v="160"/>
    <n v="9650.9372139924672"/>
    <n v="211.76325701983296"/>
    <n v="218.77612155489624"/>
    <n v="0.11038676276803017"/>
    <n v="3373.1533012390137"/>
    <n v="3.1263935030438006E-2"/>
    <n v="-1454.49"/>
    <n v="12000.13989380621"/>
    <n v="0.14165069779846817"/>
    <n v="11999.998243108412"/>
    <n v="-1.8619140340625506E-8"/>
  </r>
  <r>
    <s v="PvVpgXTKXpLEWqn"/>
    <x v="161"/>
    <n v="9646.0446899924427"/>
    <n v="217.86881281575188"/>
    <n v="229.3787464145571"/>
    <n v="0.10486742481589317"/>
    <n v="3440.2450675964355"/>
    <n v="2.9700737999519333E-2"/>
    <n v="-1533.4"/>
    <n v="12000.137316819188"/>
    <n v="0.13456816281541251"/>
    <n v="12000.002748656372"/>
    <n v="3.7546238496055651E-7"/>
  </r>
  <r>
    <s v="PvVpgXTKXpLEWqn"/>
    <x v="162"/>
    <n v="9646.9478663904592"/>
    <n v="216.62889884965261"/>
    <n v="240.26918532047421"/>
    <n v="9.962405264377594E-2"/>
    <n v="3492.4266586303711"/>
    <n v="2.8215701095177792E-2"/>
    <n v="-1596.14"/>
    <n v="12000.132609190958"/>
    <n v="0.12783975373895373"/>
    <n v="12000.004769437219"/>
    <n v="1.6839836525228691E-7"/>
  </r>
  <r>
    <s v="PvVpgXTKXpLEWqn"/>
    <x v="163"/>
    <n v="9650.1100626583211"/>
    <n v="213.75635442743078"/>
    <n v="262.02366142906249"/>
    <n v="9.4642855226993561E-2"/>
    <n v="3530.0782623291016"/>
    <n v="2.6804915818502195E-2"/>
    <n v="-1655.85"/>
    <n v="12000.118340843916"/>
    <n v="0.12144777104549576"/>
    <n v="11999.99689307287"/>
    <n v="-6.5636343482555759E-7"/>
  </r>
  <r>
    <s v="PvVpgXTKXpLEWqn"/>
    <x v="164"/>
    <n v="9645.6524706417695"/>
    <n v="215.52209253096953"/>
    <n v="267.27271311357617"/>
    <n v="8.9910712093114853E-2"/>
    <n v="3585.4619483947754"/>
    <n v="2.5464670587098226E-2"/>
    <n v="-1713.79"/>
    <n v="12000.11922468109"/>
    <n v="0.11537538268021308"/>
    <n v="12000.003849298409"/>
    <n v="5.7968561173460387E-7"/>
  </r>
  <r>
    <s v="PvVpgXTKXpLEWqn"/>
    <x v="165"/>
    <n v="9643.1687525917077"/>
    <n v="218.55153999710456"/>
    <n v="248.86007473466452"/>
    <n v="8.5415173321962357E-2"/>
    <n v="3646.5371894836426"/>
    <n v="2.4191436808905564E-2"/>
    <n v="-1757.01"/>
    <n v="12000.107556807119"/>
    <n v="0.10960661013086792"/>
    <n v="11999.997950196988"/>
    <n v="-4.9159162740508577E-7"/>
  </r>
  <r>
    <s v="PvVpgXTKXpLEWqn"/>
    <x v="166"/>
    <n v="9642.9526345494669"/>
    <n v="221.70176790514961"/>
    <n v="253.0746047059074"/>
    <n v="8.1144414842128754E-2"/>
    <n v="3713.0175170898438"/>
    <n v="2.298186542611802E-2"/>
    <n v="-1830.64"/>
    <n v="12000.106524250368"/>
    <n v="0.10412628026824677"/>
    <n v="12000.0023979701"/>
    <n v="3.7064782265616714E-7"/>
  </r>
  <r>
    <s v="PvVpgXTKXpLEWqn"/>
    <x v="167"/>
    <n v="9644.3126045784447"/>
    <n v="224.41414658608846"/>
    <n v="240.4607694982551"/>
    <n v="7.7087195590138435E-2"/>
    <n v="3772.9615783691406"/>
    <n v="2.183277204312617E-2"/>
    <n v="-1882.05"/>
    <n v="12000.09909903193"/>
    <n v="9.8919967633264605E-2"/>
    <n v="12000.000179064296"/>
    <n v="-1.849087800653848E-7"/>
  </r>
  <r>
    <s v="PvVpgXTKXpLEWqn"/>
    <x v="168"/>
    <n v="9642.3198175203288"/>
    <n v="224.20593387889676"/>
    <n v="272.05683352681808"/>
    <n v="7.3232835158705711E-2"/>
    <n v="3810.8366394042969"/>
    <n v="2.0741132626426406E-2"/>
    <n v="-1949.33"/>
    <n v="12000.089224330341"/>
    <n v="9.3973967785132118E-2"/>
    <n v="11999.995250362555"/>
    <n v="-4.1072513889961471E-7"/>
  </r>
  <r>
    <s v="PvVpgXTKXpLEWqn"/>
    <x v="169"/>
    <n v="9647.7968038250692"/>
    <n v="225.13620621222071"/>
    <n v="261.99079442908987"/>
    <n v="6.9571191444993019E-2"/>
    <n v="3865.5307502746582"/>
    <n v="1.9704076432390139E-2"/>
    <n v="-2000.37"/>
    <n v="12000.084554741039"/>
    <n v="8.9275267877383158E-2"/>
    <n v="11999.995279473162"/>
    <n v="2.425884826351421E-9"/>
  </r>
  <r>
    <s v="PvVpgXTKXpLEWqn"/>
    <x v="170"/>
    <n v="9647.3150818439899"/>
    <n v="223.33722630678676"/>
    <n v="266.94609184050933"/>
    <n v="6.6092632710933685E-2"/>
    <n v="3917.4394378662109"/>
    <n v="1.8718872794124763E-2"/>
    <n v="-2054.9499999999998"/>
    <n v="12000.087837857496"/>
    <n v="8.4811505505058449E-2"/>
    <n v="12000.003026351991"/>
    <n v="6.4557348977700713E-7"/>
  </r>
  <r>
    <s v="PvVpgXTKXpLEWqn"/>
    <x v="171"/>
    <n v="9645.5524419991998"/>
    <n v="227.08514015632682"/>
    <n v="276.37367295287549"/>
    <n v="6.2788002192974091E-2"/>
    <n v="3966.2700119018555"/>
    <n v="1.778292909875745E-2"/>
    <n v="-2115.1999999999998"/>
    <n v="12000.081267010257"/>
    <n v="8.057093129173154E-2"/>
    <n v="12000.000696078965"/>
    <n v="-1.9418936980653001E-7"/>
  </r>
  <r>
    <s v="PvVpgXTKXpLEWqn"/>
    <x v="172"/>
    <n v="9642.3076368660841"/>
    <n v="230.67800091556273"/>
    <n v="240.47392586246133"/>
    <n v="5.9648601338267326E-2"/>
    <n v="4038.3548927307129"/>
    <n v="1.6893782616534736E-2"/>
    <n v="-2151.7399999999998"/>
    <n v="12000.074456374821"/>
    <n v="7.6542383954802062E-2"/>
    <n v="11999.997913990866"/>
    <n v="-2.3184066144654736E-7"/>
  </r>
  <r>
    <s v="PvVpgXTKXpLEWqn"/>
    <x v="173"/>
    <n v="9641.6504663090454"/>
    <n v="232.13782107783481"/>
    <n v="258.59563476033509"/>
    <n v="5.6666173040866852E-2"/>
    <n v="4096.5376319885254"/>
    <n v="1.6049093428591732E-2"/>
    <n v="-2228.85"/>
    <n v="12000.07155413574"/>
    <n v="7.2715266469458584E-2"/>
    <n v="11999.998838869271"/>
    <n v="7.7073213811118535E-8"/>
  </r>
  <r>
    <s v="PvVpgXTKXpLEWqn"/>
    <x v="174"/>
    <n v="9641.7900236574933"/>
    <n v="230.06378931284416"/>
    <n v="267.25798753835261"/>
    <n v="5.3832864388823509E-2"/>
    <n v="4145.277027130127"/>
    <n v="1.5246639035467524E-2"/>
    <n v="-2284.3200000000002"/>
    <n v="12000.068827638817"/>
    <n v="6.9079503424291033E-2"/>
    <n v="11999.999748135393"/>
    <n v="7.5772184082723015E-8"/>
  </r>
  <r>
    <s v="PvVpgXTKXpLEWqn"/>
    <x v="175"/>
    <n v="9645.6819657620508"/>
    <n v="233.82105210295413"/>
    <n v="260.41527465730906"/>
    <n v="4.3435759842395782E-2"/>
    <n v="4204.4633255004883"/>
    <n v="1.4484306688245852E-2"/>
    <n v="-2344.3200000000002"/>
    <n v="12000.061618022803"/>
    <n v="5.7920066530641634E-2"/>
    <n v="12000.003697956272"/>
    <n v="3.2915174674741365E-7"/>
  </r>
  <r>
    <s v="PvVpgXTKXpLEWqn"/>
    <x v="176"/>
    <n v="9654.0469268907327"/>
    <n v="231.47415235749213"/>
    <n v="269.30815937090665"/>
    <n v="4.1263971943408251E-2"/>
    <n v="4263.4814071655273"/>
    <n v="1.3760091584117617E-2"/>
    <n v="-2418.2600000000002"/>
    <n v="12000.050645784659"/>
    <n v="5.5024063527525868E-2"/>
    <n v="11999.995621721131"/>
    <n v="-6.7301938766473057E-7"/>
  </r>
  <r>
    <s v="PvVpgXTKXpLEWqn"/>
    <x v="177"/>
    <n v="9662.3660462481203"/>
    <n v="236.32532657543197"/>
    <n v="271.98912177421153"/>
    <n v="3.9200772065669298E-2"/>
    <n v="4328.7486305236816"/>
    <n v="1.3072086629108526E-2"/>
    <n v="-2499.38"/>
    <n v="12000.049125121444"/>
    <n v="5.2272858694777824E-2"/>
    <n v="11999.99685226275"/>
    <n v="1.0254517235352978E-7"/>
  </r>
  <r>
    <s v="PvVpgXTKXpLEWqn"/>
    <x v="178"/>
    <n v="9660.7920880863676"/>
    <n v="241.48047338193282"/>
    <n v="271.92356921453029"/>
    <n v="3.724073339253664E-2"/>
    <n v="4400.3956031799316"/>
    <n v="1.2418482416251209E-2"/>
    <n v="-2574.54"/>
    <n v="12000.051733862761"/>
    <n v="4.9659215808787849E-2"/>
    <n v="12000.002074646953"/>
    <n v="4.3519879766584779E-7"/>
  </r>
  <r>
    <s v="PvVpgXTKXpLEWqn"/>
    <x v="179"/>
    <n v="9659.6303451855201"/>
    <n v="238.94876671722159"/>
    <n v="273.62756101391278"/>
    <n v="3.5378697328269482E-2"/>
    <n v="4466.3919525146484"/>
    <n v="1.1797558425314492E-2"/>
    <n v="-2638.55"/>
    <n v="12000.048625431304"/>
    <n v="4.7176255753583973E-2"/>
    <n v="12000.00144917555"/>
    <n v="-5.2122607896443185E-8"/>
  </r>
  <r>
    <s v="PvVpgXTKXpLEWqn"/>
    <x v="180"/>
    <n v="9661.194801848731"/>
    <n v="245.43041920242831"/>
    <n v="251.25083955656737"/>
    <n v="3.3609761856496334E-2"/>
    <n v="4543.3093338012695"/>
    <n v="1.1207680690858979E-2"/>
    <n v="-2701.14"/>
    <n v="12000.045394408997"/>
    <n v="4.4817442547355313E-2"/>
    <n v="12000.000576966449"/>
    <n v="-7.2684082974561193E-8"/>
  </r>
  <r>
    <s v="PvVpgXTKXpLEWqn"/>
    <x v="181"/>
    <n v="9664.4030174203217"/>
    <n v="251.43444782414008"/>
    <n v="260.3300954028964"/>
    <n v="3.1929273158311844E-2"/>
    <n v="4604.9891700744629"/>
    <n v="1.0647296567185549E-2"/>
    <n v="-2781.11"/>
    <n v="12000.04673072182"/>
    <n v="4.2576569725497393E-2"/>
    <n v="12000.004154152095"/>
    <n v="2.980987894307674E-7"/>
  </r>
  <r>
    <s v="PvVpgXTKXpLEWqn"/>
    <x v="182"/>
    <n v="9667.7731416521128"/>
    <n v="252.69298775400966"/>
    <n v="245.30499386391602"/>
    <n v="5.3810109384357929E-3"/>
    <n v="4672.7970886230469"/>
    <n v="1.0114931486896239E-2"/>
    <n v="-2838.55"/>
    <n v="12000.018211893086"/>
    <n v="1.5495942425332032E-2"/>
    <n v="12000.002715950661"/>
    <n v="-1.1985007797310487E-7"/>
  </r>
  <r>
    <s v="PvVpgXTKXpLEWqn"/>
    <x v="183"/>
    <n v="9666.2062891538953"/>
    <n v="253.95993475243449"/>
    <n v="270.15451925806701"/>
    <n v="5.11196069419384E-3"/>
    <n v="4736.0291061401367"/>
    <n v="9.6091850282391533E-3"/>
    <n v="-2926.34"/>
    <n v="12000.009849304533"/>
    <n v="1.4721145722432993E-2"/>
    <n v="11999.995128158811"/>
    <n v="-6.3231584435108346E-7"/>
  </r>
  <r>
    <s v="PvVpgXTKXpLEWqn"/>
    <x v="184"/>
    <n v="9663.8264954360202"/>
    <n v="252.61834233812988"/>
    <n v="295.65821036603302"/>
    <n v="4.8563624732196331E-3"/>
    <n v="4785.7609252929688"/>
    <n v="9.1287258219381329E-3"/>
    <n v="-2997.85"/>
    <n v="12000.013973433151"/>
    <n v="1.3985088295157766E-2"/>
    <n v="11999.999988344856"/>
    <n v="4.0501566811457224E-7"/>
  </r>
  <r>
    <s v="PvVpgXTKXpLEWqn"/>
    <x v="185"/>
    <n v="9663.7784502988216"/>
    <n v="251.12099580280483"/>
    <n v="296.28432399500161"/>
    <n v="4.6135443262755871E-3"/>
    <n v="4850.5093688964844"/>
    <n v="8.6722896521678194E-3"/>
    <n v="-3061.68"/>
    <n v="12000.013138993112"/>
    <n v="1.3285833978443407E-2"/>
    <n v="11999.999853159134"/>
    <n v="-1.1265476884680936E-8"/>
  </r>
  <r>
    <s v="PvVpgXTKXpLEWqn"/>
    <x v="186"/>
    <n v="9669.8781200111844"/>
    <n v="252.03990963473916"/>
    <n v="282.29434403311461"/>
    <n v="4.3828669004142284E-3"/>
    <n v="4927.7734527587891"/>
    <n v="8.2386750545992982E-3"/>
    <n v="-3131.97"/>
    <n v="12000.015826437828"/>
    <n v="1.2621541955013527E-2"/>
    <n v="12000.003204895873"/>
    <n v="2.7931139845449593E-7"/>
  </r>
  <r>
    <s v="PvVpgXTKXpLEWqn"/>
    <x v="187"/>
    <n v="9665.5647307648323"/>
    <n v="259.29449066147208"/>
    <n v="289.62798897409812"/>
    <n v="4.1637239046394825E-3"/>
    <n v="4994.4466400146484"/>
    <n v="7.8267411117849406E-3"/>
    <n v="-3208.92"/>
    <n v="12000.013850415051"/>
    <n v="1.1990465016424423E-2"/>
    <n v="12000.001859950034"/>
    <n v="-1.1207878991559284E-7"/>
  </r>
  <r>
    <s v="PvVpgXTKXpLEWqn"/>
    <x v="188"/>
    <n v="9669.6429762457265"/>
    <n v="262.41549982503057"/>
    <n v="263.39598820742685"/>
    <n v="3.9555374532938004E-3"/>
    <n v="5081.0041732788086"/>
    <n v="7.4354041025799233E-3"/>
    <n v="-3276.45"/>
    <n v="12000.008637556992"/>
    <n v="1.1390941555873724E-2"/>
    <n v="11999.997246615436"/>
    <n v="-3.8444449024233052E-7"/>
  </r>
  <r>
    <s v="PvVpgXTKXpLEWqn"/>
    <x v="189"/>
    <n v="9678.3294090959243"/>
    <n v="265.56881270743906"/>
    <n v="247.04339468572289"/>
    <n v="3.7577606271952391E-3"/>
    <n v="5168.663215637207"/>
    <n v="7.0636338023177814E-3"/>
    <n v="-3359.59"/>
    <n v="12000.014832126293"/>
    <n v="1.082139442951302E-2"/>
    <n v="12000.004010731864"/>
    <n v="5.6367649836630562E-7"/>
  </r>
  <r>
    <s v="PvVpgXTKXpLEWqn"/>
    <x v="190"/>
    <n v="9685.2921880767972"/>
    <n v="270.33885101415217"/>
    <n v="230.22311733290553"/>
    <n v="3.5698725841939449E-3"/>
    <n v="5247.0482635498047"/>
    <n v="6.7104524132446386E-3"/>
    <n v="-3432.89"/>
    <n v="12000.01241997366"/>
    <n v="1.0280324997438584E-2"/>
    <n v="12000.002139648663"/>
    <n v="-1.5592354796201136E-7"/>
  </r>
  <r>
    <s v="PvVpgXTKXpLEWqn"/>
    <x v="191"/>
    <n v="9696.9518248867244"/>
    <n v="272.37692205049098"/>
    <n v="244.93446857761592"/>
    <n v="3.3913790248334408E-3"/>
    <n v="5316.7025299072266"/>
    <n v="6.3749296750756912E-3"/>
    <n v="-3530.96"/>
    <n v="12000.005745422059"/>
    <n v="9.766308699909132E-3"/>
    <n v="11999.995979113359"/>
    <n v="-5.1337785045291184E-7"/>
  </r>
  <r>
    <s v="PvVpgXTKXpLEWqn"/>
    <x v="192"/>
    <n v="9705.5399118196219"/>
    <n v="278.91571910795756"/>
    <n v="225.93893042393029"/>
    <n v="3.2218100968748331E-3"/>
    <n v="5408.8004913330078"/>
    <n v="6.0561832906387281E-3"/>
    <n v="-3619.19"/>
    <n v="12000.005052684517"/>
    <n v="9.2779933875135612E-3"/>
    <n v="11999.99577469113"/>
    <n v="-1.7035191479664036E-8"/>
  </r>
  <r>
    <s v="PvVpgXTKXpLEWqn"/>
    <x v="193"/>
    <n v="9712.0476913701277"/>
    <n v="286.40936750220135"/>
    <n v="203.03883972828044"/>
    <n v="3.0607194639742374E-3"/>
    <n v="5509.8721389770508"/>
    <n v="5.7533741182851372E-3"/>
    <n v="-3711.36"/>
    <n v="12000.00803757766"/>
    <n v="8.8140935822593747E-3"/>
    <n v="11999.999223484077"/>
    <n v="2.8739951352108051E-7"/>
  </r>
  <r>
    <s v="PvVpgXTKXpLEWqn"/>
    <x v="194"/>
    <n v="9712.0255746424664"/>
    <n v="292.77814321964979"/>
    <n v="233.53986600227654"/>
    <n v="2.9076836071908474E-3"/>
    <n v="5584.2054824829102"/>
    <n v="5.4657053351547802E-3"/>
    <n v="-3822.54"/>
    <n v="12000.009066347302"/>
    <n v="8.3733889423456276E-3"/>
    <n v="12000.00069295836"/>
    <n v="1.2245619807060848E-7"/>
  </r>
  <r>
    <s v="PvVpgXTKXpLEWqn"/>
    <x v="195"/>
    <n v="9714.0782350958325"/>
    <n v="296.84433251945302"/>
    <n v="219.95640590041876"/>
    <n v="2.7622994966804981E-3"/>
    <n v="5678.2558670043945"/>
    <n v="5.1924202252848772E-3"/>
    <n v="-3909.13"/>
    <n v="12000.004840520098"/>
    <n v="7.9547197219653754E-3"/>
    <n v="11999.996885800376"/>
    <n v="-3.1726314697611002E-7"/>
  </r>
  <r>
    <s v="PvVpgXTKXpLEWqn"/>
    <x v="196"/>
    <n v="9710.9392381571233"/>
    <n v="307.21763697033748"/>
    <n v="229.62712820246816"/>
    <n v="2.6241843588650227E-3"/>
    <n v="5757.6127700805664"/>
    <n v="4.9327991200698307E-3"/>
    <n v="-4005.39"/>
    <n v="12000.006773410496"/>
    <n v="7.5569834789348533E-3"/>
    <n v="11999.999216427017"/>
    <n v="1.9421893715509952E-7"/>
  </r>
  <r>
    <s v="PvVpgXTKXpLEWqn"/>
    <x v="197"/>
    <n v="9711.3540789395774"/>
    <n v="312.83247738447972"/>
    <n v="223.28705111984164"/>
    <n v="2.4929752107709646E-3"/>
    <n v="5844.764892578125"/>
    <n v="4.6861590981279733E-3"/>
    <n v="-4092.23"/>
    <n v="12000.008500022024"/>
    <n v="7.1791343088989379E-3"/>
    <n v="12000.001320887715"/>
    <n v="1.7537173624404545E-7"/>
  </r>
  <r>
    <s v="PvVpgXTKXpLEWqn"/>
    <x v="198"/>
    <n v="9714.9527527401224"/>
    <n v="322.06745771900751"/>
    <n v="180.63216548971832"/>
    <n v="2.3683265317231417E-3"/>
    <n v="5951.9394607543945"/>
    <n v="4.4518511749629397E-3"/>
    <n v="-4169.58"/>
    <n v="12000.011836703243"/>
    <n v="6.8201777066860814E-3"/>
    <n v="12000.005016525536"/>
    <n v="3.0796978456315571E-7"/>
  </r>
  <r>
    <s v="PvVpgXTKXpLEWqn"/>
    <x v="199"/>
    <n v="9722.5091457180679"/>
    <n v="322.50904040411115"/>
    <n v="188.87730201985687"/>
    <n v="2.2499100305140018E-3"/>
    <n v="6039.3999786376953"/>
    <n v="4.229258542181924E-3"/>
    <n v="-4273.29"/>
    <n v="12000.00546677973"/>
    <n v="6.4791685726959258E-3"/>
    <n v="11999.998987611158"/>
    <n v="-5.0240932147893602E-7"/>
  </r>
  <r>
    <s v="PvVpgXTKXpLEWqn"/>
    <x v="200"/>
    <n v="9726.386472100392"/>
    <n v="321.30878757685423"/>
    <n v="216.66042005084455"/>
    <n v="0"/>
    <n v="6110.1234664916992"/>
    <n v="4.0177957380365115E-3"/>
    <n v="-4374.4799999999996"/>
    <n v="11999.99914621979"/>
    <n v="4.0177957380365115E-3"/>
    <n v="11999.995128424052"/>
    <n v="-3.2159895257954929E-7"/>
  </r>
  <r>
    <s v="PvVpgXTKXpLEWqn"/>
    <x v="201"/>
    <n v="9725.3838126393966"/>
    <n v="330.24149172566831"/>
    <n v="171.16547088301741"/>
    <n v="0"/>
    <n v="6223.982795715332"/>
    <n v="3.8169058625499019E-3"/>
    <n v="-4450.7700000000004"/>
    <n v="12000.003570963414"/>
    <n v="3.8169058625499019E-3"/>
    <n v="11999.999754057551"/>
    <n v="3.8546961467211815E-7"/>
  </r>
  <r>
    <s v="PvVpgXTKXpLEWqn"/>
    <x v="202"/>
    <n v="9734.0354726800579"/>
    <n v="335.33719436265528"/>
    <n v="178.29641236271709"/>
    <n v="0"/>
    <n v="6326.1071395874023"/>
    <n v="3.6260605975257931E-3"/>
    <n v="-4573.7700000000004"/>
    <n v="12000.006218992832"/>
    <n v="3.6260605975257931E-3"/>
    <n v="12000.002592932235"/>
    <n v="2.3657289505152335E-7"/>
  </r>
  <r>
    <s v="PvVpgXTKXpLEWqn"/>
    <x v="203"/>
    <n v="9738.6108907544985"/>
    <n v="337.96933976374567"/>
    <n v="193.09956930950284"/>
    <n v="0"/>
    <n v="6400.8419876098633"/>
    <n v="3.4447575744707137E-3"/>
    <n v="-4670.5200000000004"/>
    <n v="12000.00178743761"/>
    <n v="3.4447575744707137E-3"/>
    <n v="11999.998342680035"/>
    <n v="-3.5418760668814997E-7"/>
  </r>
  <r>
    <s v="PvVpgXTKXpLEWqn"/>
    <x v="204"/>
    <n v="9747.1633734812494"/>
    <n v="346.41212022281252"/>
    <n v="141.03128623217344"/>
    <n v="0"/>
    <n v="6534.1187744140625"/>
    <n v="3.2725197543186368E-3"/>
    <n v="-4768.72"/>
    <n v="12000.005554350297"/>
    <n v="3.2725197543186368E-3"/>
    <n v="12000.002281830542"/>
    <n v="3.2826258755669357E-7"/>
  </r>
  <r>
    <s v="PvVpgXTKXpLEWqn"/>
    <x v="205"/>
    <n v="9748.8021702528713"/>
    <n v="350.69640372134745"/>
    <n v="156.5273495092988"/>
    <n v="0"/>
    <n v="6633.9456024169922"/>
    <n v="3.1088937339518452E-3"/>
    <n v="-4889.97"/>
    <n v="12000.001525900509"/>
    <n v="3.1088937339518452E-3"/>
    <n v="11999.998417006775"/>
    <n v="-3.2206858602279453E-7"/>
  </r>
  <r>
    <s v="PvVpgXTKXpLEWqn"/>
    <x v="206"/>
    <n v="9748.5662508700043"/>
    <n v="349.06801307201385"/>
    <n v="195.11262536328286"/>
    <n v="0"/>
    <n v="6703.9173736572266"/>
    <n v="2.9534490740843466E-3"/>
    <n v="-4996.66"/>
    <n v="12000.004262962528"/>
    <n v="2.9534490740843466E-3"/>
    <n v="12000.001309513453"/>
    <n v="2.410422550447322E-7"/>
  </r>
  <r>
    <s v="PvVpgXTKXpLEWqn"/>
    <x v="207"/>
    <n v="9742.9082757858559"/>
    <n v="348.94305715709925"/>
    <n v="193.68973817303777"/>
    <n v="0"/>
    <n v="6782.287841796875"/>
    <n v="2.8057765466655837E-3"/>
    <n v="-5067.83"/>
    <n v="11999.998912912868"/>
    <n v="2.8057765466655837E-3"/>
    <n v="11999.996107136321"/>
    <n v="-4.3353138035051586E-7"/>
  </r>
  <r>
    <s v="PvVpgXTKXpLEWqn"/>
    <x v="208"/>
    <n v="9737.0179535388015"/>
    <n v="345.39712998270988"/>
    <n v="213.6195112913847"/>
    <n v="0"/>
    <n v="6858.5665283203125"/>
    <n v="2.6654877701730584E-3"/>
    <n v="-5154.6000000000004"/>
    <n v="12000.001123133208"/>
    <n v="2.6654877701730584E-3"/>
    <n v="11999.998457645437"/>
    <n v="1.9587582311686447E-7"/>
  </r>
  <r>
    <s v="PvVpgXTKXpLEWqn"/>
    <x v="209"/>
    <n v="9739.7264022743329"/>
    <n v="350.64489889144897"/>
    <n v="184.64006976038218"/>
    <n v="0"/>
    <n v="6962.3629531860352"/>
    <n v="2.5322133560621296E-3"/>
    <n v="-5237.37"/>
    <n v="12000.0043241122"/>
    <n v="2.5322133560621296E-3"/>
    <n v="12000.001791898845"/>
    <n v="2.7785448630801568E-7"/>
  </r>
  <r>
    <s v="PvVpgXTKXpLEWqn"/>
    <x v="210"/>
    <n v="9745.4211552552879"/>
    <n v="344.45449490100145"/>
    <n v="207.31846789922565"/>
    <n v="0"/>
    <n v="7049.2294616699219"/>
    <n v="2.405602703220211E-3"/>
    <n v="-5346.42"/>
    <n v="12000.003579725437"/>
    <n v="2.405602703220211E-3"/>
    <n v="12000.001174122734"/>
    <n v="-5.1481334972791615E-8"/>
  </r>
  <r>
    <s v="PvVpgXTKXpLEWqn"/>
    <x v="211"/>
    <n v="9745.7213532479946"/>
    <n v="342.29177310690284"/>
    <n v="227.97631681710482"/>
    <n v="0"/>
    <n v="7138.6681976318359"/>
    <n v="2.2853225509607E-3"/>
    <n v="-5454.66"/>
    <n v="11999.997640803838"/>
    <n v="2.2853225509607E-3"/>
    <n v="11999.995355481287"/>
    <n v="-4.8488673975999319E-7"/>
  </r>
  <r>
    <s v="PvVpgXTKXpLEWqn"/>
    <x v="212"/>
    <n v="9746.4333834337303"/>
    <n v="346.5219301097095"/>
    <n v="207.82469342090189"/>
    <n v="0"/>
    <n v="7234.4521789550781"/>
    <n v="2.1710564215027262E-3"/>
    <n v="-5535.23"/>
    <n v="12000.00218591942"/>
    <n v="2.1710564215027262E-3"/>
    <n v="12000.000014862999"/>
    <n v="3.88281959473602E-7"/>
  </r>
  <r>
    <s v="PvVpgXTKXpLEWqn"/>
    <x v="213"/>
    <n v="9744.6108079474652"/>
    <n v="345.6049216426909"/>
    <n v="217.16269384603947"/>
    <n v="0"/>
    <n v="7315.405403137207"/>
    <n v="2.0625036331693991E-3"/>
    <n v="-5622.78"/>
    <n v="12000.003826573404"/>
    <n v="2.0625036331693991E-3"/>
    <n v="12000.00176406977"/>
    <n v="1.4576723073034259E-7"/>
  </r>
  <r>
    <s v="PvVpgXTKXpLEWqn"/>
    <x v="214"/>
    <n v="9741.4401170477649"/>
    <n v="341.77671284601092"/>
    <n v="215.63562951702625"/>
    <n v="0"/>
    <n v="7398.7902603149414"/>
    <n v="1.9593784481912735E-3"/>
    <n v="-5697.64"/>
    <n v="12000.002719725744"/>
    <n v="1.9593784481912735E-3"/>
    <n v="12000.000760347295"/>
    <n v="-8.3643527215571112E-8"/>
  </r>
  <r>
    <s v="PvVpgXTKXpLEWqn"/>
    <x v="215"/>
    <n v="9737.6287509537069"/>
    <n v="338.83805541991023"/>
    <n v="235.08712252229452"/>
    <n v="0"/>
    <n v="7486.0105133056641"/>
    <n v="1.861409501543676E-3"/>
    <n v="-5797.56"/>
    <n v="12000.004442201574"/>
    <n v="1.861409501543676E-3"/>
    <n v="12000.002580792072"/>
    <n v="1.5170372180683955E-7"/>
  </r>
  <r>
    <s v="PvVpgXTKXpLEWqn"/>
    <x v="216"/>
    <n v="9742.0948451597942"/>
    <n v="337.62152227031766"/>
    <n v="244.41456774435937"/>
    <n v="0"/>
    <n v="7570.9228286743164"/>
    <n v="1.7683390415186295E-3"/>
    <n v="-5895.05"/>
    <n v="12000.003763848788"/>
    <n v="1.7683390415186295E-3"/>
    <n v="12000.001995509747"/>
    <n v="-4.8773516558853203E-8"/>
  </r>
  <r>
    <s v="PvVpgXTKXpLEWqn"/>
    <x v="217"/>
    <n v="9747.7983550028875"/>
    <n v="335.88707301300019"/>
    <n v="252.29242307506502"/>
    <n v="0"/>
    <n v="7657.4229736328125"/>
    <n v="1.6799220693428651E-3"/>
    <n v="-5993.4"/>
    <n v="12000.000824723766"/>
    <n v="1.6799220693428651E-3"/>
    <n v="11999.999144801695"/>
    <n v="-2.3755896483290684E-7"/>
  </r>
  <r>
    <s v="PvVpgXTKXpLEWqn"/>
    <x v="218"/>
    <n v="9749.5132612818852"/>
    <n v="347.12148053944111"/>
    <n v="208.49952630978078"/>
    <n v="0"/>
    <n v="7782.3145751953125"/>
    <n v="1.5959259599185316E-3"/>
    <n v="-6087.45"/>
    <n v="11999.998843326419"/>
    <n v="1.5959259599185316E-3"/>
    <n v="11999.997247400459"/>
    <n v="-1.5811678100163817E-7"/>
  </r>
  <r>
    <s v="PvVpgXTKXpLEWqn"/>
    <x v="219"/>
    <n v="9761.7299431559513"/>
    <n v="349.60283685661852"/>
    <n v="211.97193131991662"/>
    <n v="0"/>
    <n v="7882.1925659179688"/>
    <n v="1.5161296887526987E-3"/>
    <n v="-6205.5"/>
    <n v="11999.997277250455"/>
    <n v="1.5161296887526987E-3"/>
    <n v="11999.995761120766"/>
    <n v="-1.2385666947611895E-7"/>
  </r>
  <r>
    <s v="PvVpgXTKXpLEWqn"/>
    <x v="220"/>
    <n v="9768.0661680191697"/>
    <n v="359.89429660141468"/>
    <n v="197.02353994362056"/>
    <n v="0"/>
    <n v="7991.4404449462891"/>
    <n v="1.4403231652977411E-3"/>
    <n v="-6316.42"/>
    <n v="12000.004449510494"/>
    <n v="1.4403231652977411E-3"/>
    <n v="12000.003009187329"/>
    <n v="6.0400576029628894E-7"/>
  </r>
  <r>
    <s v="PvVpgXTKXpLEWqn"/>
    <x v="221"/>
    <n v="9785.8493176712709"/>
    <n v="362.94918203167617"/>
    <n v="182.87946782633662"/>
    <n v="0"/>
    <n v="8104.5650634765625"/>
    <n v="1.368307036045735E-3"/>
    <n v="-6436.24"/>
    <n v="12000.003031005848"/>
    <n v="1.368307036045735E-3"/>
    <n v="12000.001662698813"/>
    <n v="-1.1220734819072931E-7"/>
  </r>
  <r>
    <s v="PvVpgXTKXpLEWqn"/>
    <x v="222"/>
    <n v="9798.9019612700213"/>
    <n v="358.74525748379529"/>
    <n v="225.1422890778631"/>
    <n v="0"/>
    <n v="8183.7760009765625"/>
    <n v="1.2998916681681294E-3"/>
    <n v="-6566.56"/>
    <n v="12000.005508808241"/>
    <n v="1.2998916681681294E-3"/>
    <n v="12000.004208916573"/>
    <n v="2.1218478396534124E-7"/>
  </r>
  <r>
    <s v="PvVpgXTKXpLEWqn"/>
    <x v="223"/>
    <n v="9801.2671574621927"/>
    <n v="366.40919174067676"/>
    <n v="183.69389464985579"/>
    <n v="0"/>
    <n v="8311.2255859375"/>
    <n v="1.2348970940365689E-3"/>
    <n v="-6662.59"/>
    <n v="12000.005829790225"/>
    <n v="1.2348970940365689E-3"/>
    <n v="12000.004594893131"/>
    <n v="3.2164702012948965E-8"/>
  </r>
  <r>
    <s v="PvVpgXTKXpLEWqn"/>
    <x v="224"/>
    <n v="9799.212117604271"/>
    <n v="374.35198248364031"/>
    <n v="197.10687579261139"/>
    <n v="0"/>
    <n v="8419.7895050048828"/>
    <n v="1.1731522340596712E-3"/>
    <n v="-6790.46"/>
    <n v="12000.000480885406"/>
    <n v="1.1731522340596712E-3"/>
    <n v="11999.999307733173"/>
    <n v="-4.40596494510892E-7"/>
  </r>
  <r>
    <s v="PvVpgXTKXpLEWqn"/>
    <x v="225"/>
    <n v="9801.0414663820411"/>
    <n v="379.47421236196533"/>
    <n v="189.19185784831643"/>
    <n v="0"/>
    <n v="8525.9402465820313"/>
    <n v="1.1144946251988586E-3"/>
    <n v="-6895.65"/>
    <n v="11999.997783174354"/>
    <n v="1.1144946251988586E-3"/>
    <n v="11999.996668679729"/>
    <n v="-2.1992113297120142E-7"/>
  </r>
  <r>
    <s v="PvVpgXTKXpLEWqn"/>
    <x v="226"/>
    <n v="9811.7839711327106"/>
    <n v="377.71469810279086"/>
    <n v="228.29743235884234"/>
    <n v="0"/>
    <n v="8600.2048873901367"/>
    <n v="1.0587698798190104E-3"/>
    <n v="-7018"/>
    <n v="12000.000988984481"/>
    <n v="1.0587698798190104E-3"/>
    <n v="11999.999930214601"/>
    <n v="2.7179464812121523E-7"/>
  </r>
  <r>
    <s v="PvVpgXTKXpLEWqn"/>
    <x v="227"/>
    <n v="9825.5586300502182"/>
    <n v="377.92686915630475"/>
    <n v="202.03493467438966"/>
    <n v="0"/>
    <n v="8698.9037780761719"/>
    <n v="1.0058314196612628E-3"/>
    <n v="-7104.42"/>
    <n v="12000.004211957084"/>
    <n v="1.0058314196612628E-3"/>
    <n v="12000.003206125664"/>
    <n v="2.7299259031110523E-7"/>
  </r>
  <r>
    <s v="PvVpgXTKXpLEWqn"/>
    <x v="228"/>
    <n v="9828.5662969937548"/>
    <n v="382.74463557265699"/>
    <n v="191.32681798003614"/>
    <n v="0"/>
    <n v="8806.6838150024414"/>
    <n v="9.5553983783247531E-4"/>
    <n v="-7209.32"/>
    <n v="12000.00156554889"/>
    <n v="9.5553983783247531E-4"/>
    <n v="12000.000610009052"/>
    <n v="-2.1634299318673555E-7"/>
  </r>
  <r>
    <s v="PvVpgXTKXpLEWqn"/>
    <x v="229"/>
    <n v="9831.4516842742451"/>
    <n v="380.37957914173603"/>
    <n v="215.44607331044972"/>
    <n v="0"/>
    <n v="8894.7113037109375"/>
    <n v="9.07762853330496E-4"/>
    <n v="-7321.99"/>
    <n v="11999.998640437369"/>
    <n v="9.07762853330496E-4"/>
    <n v="11999.997732674516"/>
    <n v="-2.3977786589579608E-7"/>
  </r>
  <r>
    <s v="PvVpgXTKXpLEWqn"/>
    <x v="230"/>
    <n v="9843.6792509796214"/>
    <n v="385.12645282782614"/>
    <n v="148.9919609669596"/>
    <n v="0"/>
    <n v="9035.2411346435547"/>
    <n v="8.6237469804473221E-4"/>
    <n v="-7413.04"/>
    <n v="11999.998799417961"/>
    <n v="8.6237469804473221E-4"/>
    <n v="11999.997937043263"/>
    <n v="1.7030732157863326E-8"/>
  </r>
  <r>
    <s v="PvVpgXTKXpLEWqn"/>
    <x v="231"/>
    <n v="9854.3536567252595"/>
    <n v="377.45916939899325"/>
    <n v="200.95521021727473"/>
    <n v="0"/>
    <n v="9126.8363571166992"/>
    <n v="8.1925595486609382E-4"/>
    <n v="-7559.6"/>
    <n v="12000.004393458226"/>
    <n v="8.1925595486609382E-4"/>
    <n v="12000.003574202272"/>
    <n v="4.6976333156756311E-7"/>
  </r>
  <r>
    <s v="PvVpgXTKXpLEWqn"/>
    <x v="232"/>
    <n v="9856.8847638231236"/>
    <n v="384.35785474069417"/>
    <n v="151.17215872183442"/>
    <n v="0"/>
    <n v="9244.9322891235352"/>
    <n v="7.7829316751376609E-4"/>
    <n v="-7637.35"/>
    <n v="11999.997066409187"/>
    <n v="7.7829316751376609E-4"/>
    <n v="11999.996288116019"/>
    <n v="-6.0717367356133423E-7"/>
  </r>
  <r>
    <s v="PvVpgXTKXpLEWqn"/>
    <x v="233"/>
    <n v="9875.5980254882015"/>
    <n v="382.75750557146966"/>
    <n v="144.52833420224488"/>
    <n v="0"/>
    <n v="9352.9453201293945"/>
    <n v="7.3937852516792191E-4"/>
    <n v="-7755.83"/>
    <n v="11999.999185391311"/>
    <n v="7.3937852516792191E-4"/>
    <n v="11999.998446012785"/>
    <n v="1.7982478617284414E-7"/>
  </r>
  <r>
    <s v="PvVpgXTKXpLEWqn"/>
    <x v="234"/>
    <n v="9895.4484073435888"/>
    <n v="388.10357975773513"/>
    <n v="99.564323920756578"/>
    <n v="0"/>
    <n v="9484.5241012573242"/>
    <n v="7.0240957415990124E-4"/>
    <n v="-7867.64"/>
    <n v="12000.000412279405"/>
    <n v="7.0240957415990124E-4"/>
    <n v="11999.999709869831"/>
    <n v="1.0532143424057949E-7"/>
  </r>
  <r>
    <s v="PvVpgXTKXpLEWqn"/>
    <x v="235"/>
    <n v="9909.1022815947654"/>
    <n v="395.34423960931599"/>
    <n v="136.11861955188215"/>
    <n v="0"/>
    <n v="9579.9938430786133"/>
    <n v="6.6728911474456254E-4"/>
    <n v="-8020.56"/>
    <n v="11999.998983834575"/>
    <n v="6.6728911474456254E-4"/>
    <n v="11999.998316545461"/>
    <n v="-1.161103669877761E-7"/>
  </r>
  <r>
    <s v="PvVpgXTKXpLEWqn"/>
    <x v="236"/>
    <n v="9920.9022141236346"/>
    <n v="406.0816125459969"/>
    <n v="96.46279417630285"/>
    <n v="0"/>
    <n v="9728.5513687133789"/>
    <n v="6.3392464653588831E-4"/>
    <n v="-8152"/>
    <n v="11999.997989559313"/>
    <n v="6.3392464653588831E-4"/>
    <n v="11999.997355634667"/>
    <n v="-8.0075910791066462E-8"/>
  </r>
  <r>
    <s v="PvVpgXTKXpLEWqn"/>
    <x v="237"/>
    <n v="9931.2260419727536"/>
    <n v="408.38846364617348"/>
    <n v="135.14504000917077"/>
    <n v="0"/>
    <n v="9832.7026672363281"/>
    <n v="6.0222842057555681E-4"/>
    <n v="-8307.4599999999991"/>
    <n v="12000.002212864427"/>
    <n v="6.0222842057555681E-4"/>
    <n v="12000.001610636005"/>
    <n v="3.5458352298789464E-7"/>
  </r>
  <r>
    <s v="PvVpgXTKXpLEWqn"/>
    <x v="238"/>
    <n v="9944.7025968530215"/>
    <n v="421.78021502494812"/>
    <n v="70.501125866081566"/>
    <n v="0"/>
    <n v="9990.2125473022461"/>
    <n v="5.7211700095649576E-4"/>
    <n v="-8427.2000000000007"/>
    <n v="11999.996485046297"/>
    <n v="5.7211700095649576E-4"/>
    <n v="11999.995912929295"/>
    <n v="-4.7480882880979181E-7"/>
  </r>
  <r>
    <s v="PvVpgXTKXpLEWqn"/>
    <x v="239"/>
    <n v="9954.9010245092213"/>
    <n v="419.66834126412868"/>
    <n v="134.61505675408989"/>
    <n v="0"/>
    <n v="10082.089057922363"/>
    <n v="5.4351114386008703E-4"/>
    <n v="-8591.27"/>
    <n v="12000.003480449803"/>
    <n v="5.4351114386008703E-4"/>
    <n v="12000.002936938659"/>
    <n v="5.8533431301910355E-7"/>
  </r>
  <r>
    <s v="PvVpgXTKXpLEWqn"/>
    <x v="240"/>
    <n v="9967.3132216795348"/>
    <n v="424.27228656411171"/>
    <n v="89.685138514731079"/>
    <n v="0"/>
    <n v="10216.07593536377"/>
    <n v="5.1633559496622183E-4"/>
    <n v="-8697.35"/>
    <n v="11999.996582122147"/>
    <n v="5.1633559496622183E-4"/>
    <n v="11999.996065786552"/>
    <n v="-5.7259586883073865E-7"/>
  </r>
  <r>
    <s v="PvVpgXTKXpLEWqn"/>
    <x v="241"/>
    <n v="9981.0761117691873"/>
    <n v="427.0472641736269"/>
    <n v="106.12463863007724"/>
    <n v="0"/>
    <n v="10335.747550964355"/>
    <n v="4.9051881683226384E-4"/>
    <n v="-8850"/>
    <n v="11999.995565537247"/>
    <n v="4.9051881683226384E-4"/>
    <n v="11999.995075018431"/>
    <n v="-8.2564037162669024E-8"/>
  </r>
  <r>
    <s v="PvVpgXTKXpLEWqn"/>
    <x v="242"/>
    <n v="9999.8282399233431"/>
    <n v="435.56387121975422"/>
    <n v="89.999448271468282"/>
    <n v="0"/>
    <n v="10464.695030212402"/>
    <n v="4.6599288111792703E-4"/>
    <n v="-8990.09"/>
    <n v="11999.996589626968"/>
    <n v="4.6599288111792703E-4"/>
    <n v="11999.996123634086"/>
    <n v="8.7384673719270722E-8"/>
  </r>
  <r>
    <s v="PvVpgXTKXpLEWqn"/>
    <x v="243"/>
    <n v="10015.131542176707"/>
    <n v="431.08075922727585"/>
    <n v="131.0183102209121"/>
    <n v="0"/>
    <n v="10562.897239685059"/>
    <n v="4.4269321620049595E-4"/>
    <n v="-9140.1299999999992"/>
    <n v="11999.997851309954"/>
    <n v="4.4269321620049595E-4"/>
    <n v="11999.997408616739"/>
    <n v="1.0708192221819957E-7"/>
  </r>
  <r>
    <s v="PvVpgXTKXpLEWqn"/>
    <x v="244"/>
    <n v="10023.51281330944"/>
    <n v="449.2527277842164"/>
    <n v="57.744739468675107"/>
    <n v="0"/>
    <n v="10729.110214233398"/>
    <n v="4.205585612453433E-4"/>
    <n v="-9259.6200000000008"/>
    <n v="12000.00049479573"/>
    <n v="4.205585612453433E-4"/>
    <n v="12000.000074237169"/>
    <n v="2.2213508388269076E-7"/>
  </r>
  <r>
    <s v="PvVpgXTKXpLEWqn"/>
    <x v="245"/>
    <n v="10031.713990469696"/>
    <n v="456.00481732934713"/>
    <n v="63.57943800650537"/>
    <n v="0"/>
    <n v="10873.97688293457"/>
    <n v="3.9953063605935313E-4"/>
    <n v="-9425.27"/>
    <n v="12000.005128740118"/>
    <n v="3.9953063605935313E-4"/>
    <n v="12000.004729209482"/>
    <n v="3.8791435708063204E-7"/>
  </r>
  <r>
    <s v="PvVpgXTKXpLEWqn"/>
    <x v="246"/>
    <n v="10028.912323036231"/>
    <n v="458.90503283170983"/>
    <n v="123.74695074744523"/>
    <n v="0"/>
    <n v="10967.390045166016"/>
    <n v="3.7955410175527504E-4"/>
    <n v="-9578.9500000000007"/>
    <n v="12000.004351781401"/>
    <n v="3.7955410175527504E-4"/>
    <n v="12000.0039722273"/>
    <n v="-6.3081823653554636E-8"/>
  </r>
  <r>
    <s v="PvVpgXTKXpLEWqn"/>
    <x v="247"/>
    <n v="10037.599604872172"/>
    <n v="452.77435520553263"/>
    <n v="116.45531690306962"/>
    <n v="0"/>
    <n v="11069.728759765625"/>
    <n v="3.6057639579212264E-4"/>
    <n v="-9676.56"/>
    <n v="11999.9980367464"/>
    <n v="3.6057639579212264E-4"/>
    <n v="11999.997676170004"/>
    <n v="-5.2467126765431971E-7"/>
  </r>
  <r>
    <s v="PvVpgXTKXpLEWqn"/>
    <x v="248"/>
    <n v="10041.582009897567"/>
    <n v="455.59285415179329"/>
    <n v="112.59008133225143"/>
    <n v="0"/>
    <n v="11189.445831298828"/>
    <n v="3.425475673566325E-4"/>
    <n v="-9799.2099999999991"/>
    <n v="12000.000776680441"/>
    <n v="3.425475673566325E-4"/>
    <n v="12000.000434132873"/>
    <n v="2.2983028369338854E-7"/>
  </r>
  <r>
    <s v="PvVpgXTKXpLEWqn"/>
    <x v="249"/>
    <n v="10060.605649961857"/>
    <n v="448.86862301116344"/>
    <n v="127.77093027345836"/>
    <n v="0"/>
    <n v="11312.262222290039"/>
    <n v="3.254201933486911E-4"/>
    <n v="-9949.51"/>
    <n v="11999.997425536518"/>
    <n v="3.254201933486911E-4"/>
    <n v="11999.997100116325"/>
    <n v="-2.7783470235576146E-7"/>
  </r>
  <r>
    <s v="PvVpgXTKXpLEWqn"/>
    <x v="250"/>
    <n v="10071.529296217486"/>
    <n v="460.48587345366832"/>
    <n v="69.61617199331522"/>
    <n v="0"/>
    <n v="11481.421051025391"/>
    <n v="3.0914919250335515E-4"/>
    <n v="-10083.1"/>
    <n v="11999.95239268986"/>
    <n v="3.0914919250335515E-4"/>
    <n v="11999.952083540667"/>
    <n v="-3.7513822113144357E-6"/>
  </r>
  <r>
    <s v="PvVpgXTKXpLEWqn"/>
    <x v="251"/>
    <n v="10075.136760890018"/>
    <n v="462.0935878008604"/>
    <n v="142.61418937146664"/>
    <n v="0"/>
    <n v="11597.977432250977"/>
    <n v="2.9369173273607885E-4"/>
    <n v="-10277.799999999999"/>
    <n v="12000.021970313323"/>
    <n v="2.9369173273607885E-4"/>
    <n v="12000.021676621589"/>
    <n v="5.7994465676447504E-6"/>
  </r>
  <r>
    <s v="PvVpgXTKXpLEWqn"/>
    <x v="252"/>
    <n v="10080.68576922387"/>
    <n v="467.10390183329582"/>
    <n v="143.41274727880955"/>
    <n v="0"/>
    <n v="11734.47135925293"/>
    <n v="2.7900714985662489E-4"/>
    <n v="-10425.700000000001"/>
    <n v="11999.973777588904"/>
    <n v="2.7900714985662489E-4"/>
    <n v="11999.973498581754"/>
    <n v="-4.0148294006003837E-6"/>
  </r>
  <r>
    <s v="PvVpgXTKXpLEWqn"/>
    <x v="253"/>
    <n v="10083.687598822784"/>
    <n v="473.43925436958671"/>
    <n v="161.00696837157011"/>
    <n v="0"/>
    <n v="11862.078186035156"/>
    <n v="2.6505678022203938E-4"/>
    <n v="-10580.2"/>
    <n v="12000.012007599096"/>
    <n v="2.6505678022203938E-4"/>
    <n v="12000.011742542316"/>
    <n v="3.1870037517922611E-6"/>
  </r>
  <r>
    <s v="PvVpgXTKXpLEWqn"/>
    <x v="254"/>
    <n v="10089.685487487703"/>
    <n v="493.73682208172977"/>
    <n v="104.89183581387624"/>
    <n v="0"/>
    <n v="12033.401184082031"/>
    <n v="2.5180395175539161E-4"/>
    <n v="-10721.7"/>
    <n v="12000.015329465339"/>
    <n v="2.5180395175539161E-4"/>
    <n v="12000.015077661388"/>
    <n v="2.7792631729361972E-7"/>
  </r>
  <r>
    <s v="PvVpgXTKXpLEWqn"/>
    <x v="255"/>
    <n v="10107.672584520362"/>
    <n v="491.25348199158907"/>
    <n v="142.29929406102747"/>
    <n v="0"/>
    <n v="12156.281784057617"/>
    <n v="2.3921374781821214E-4"/>
    <n v="-10897.5"/>
    <n v="12000.007144630596"/>
    <n v="2.3921374781821214E-4"/>
    <n v="12000.006905416847"/>
    <n v="-6.8101952277466182E-7"/>
  </r>
  <r>
    <s v="PvVpgXTKXpLEWqn"/>
    <x v="256"/>
    <n v="10127.474153738935"/>
    <n v="502.20742872543633"/>
    <n v="75.630080979317427"/>
    <n v="0"/>
    <n v="12341.149658203125"/>
    <n v="2.2725306075699336E-4"/>
    <n v="-11046.5"/>
    <n v="11999.961321646813"/>
    <n v="2.2725306075699336E-4"/>
    <n v="11999.961094393753"/>
    <n v="-3.8175830610054362E-6"/>
  </r>
  <r>
    <s v="PvVpgXTKXpLEWqn"/>
    <x v="257"/>
    <n v="10146.931871306617"/>
    <n v="503.56760290265083"/>
    <n v="109.16348241828382"/>
    <n v="0"/>
    <n v="12493.15803527832"/>
    <n v="2.1589041091374384E-4"/>
    <n v="-11252.8"/>
    <n v="12000.020991905873"/>
    <n v="2.1589041091374384E-4"/>
    <n v="12000.020776015461"/>
    <n v="4.9734846003790523E-6"/>
  </r>
  <r>
    <s v="PvVpgXTKXpLEWqn"/>
    <x v="258"/>
    <n v="10159.563564371783"/>
    <n v="510.45590853691101"/>
    <n v="97.28386839106679"/>
    <n v="0"/>
    <n v="12650.956878662109"/>
    <n v="2.0509588500772225E-4"/>
    <n v="-11418.3"/>
    <n v="11999.960219961871"/>
    <n v="2.0509588500772225E-4"/>
    <n v="11999.960014865987"/>
    <n v="-5.0634203563326707E-6"/>
  </r>
  <r>
    <s v="PvVpgXTKXpLEWqn"/>
    <x v="259"/>
    <n v="10171.586329290178"/>
    <n v="512.67389848828316"/>
    <n v="111.46487063611858"/>
    <n v="0"/>
    <n v="12783.035049438477"/>
    <n v="1.9484109111544967E-4"/>
    <n v="-11578.8"/>
    <n v="11999.960147853057"/>
    <n v="1.9484109111544967E-4"/>
    <n v="11999.959953011965"/>
    <n v="-5.1545189228008326E-9"/>
  </r>
  <r>
    <s v="PvVpgXTKXpLEWqn"/>
    <x v="260"/>
    <n v="10173.92983322544"/>
    <n v="519.65571777522564"/>
    <n v="124.37549433670938"/>
    <n v="0"/>
    <n v="12914.92350769043"/>
    <n v="1.8509904009533784E-4"/>
    <n v="-11732.9"/>
    <n v="11999.984553027805"/>
    <n v="1.8509904009533784E-4"/>
    <n v="11999.984367928766"/>
    <n v="2.0345831899248878E-6"/>
  </r>
  <r>
    <s v="PvVpgXTKXpLEWqn"/>
    <x v="261"/>
    <n v="10180.239792592125"/>
    <n v="526.22176215425134"/>
    <n v="110.91470854450017"/>
    <n v="0"/>
    <n v="13060.769515991211"/>
    <n v="1.7584408743687163E-4"/>
    <n v="-11878.1"/>
    <n v="12000.045779282087"/>
    <n v="1.7584408743687163E-4"/>
    <n v="12000.045603438"/>
    <n v="5.1029657504031434E-6"/>
  </r>
  <r>
    <s v="PvVpgXTKXpLEWqn"/>
    <x v="262"/>
    <n v="10181.656259977724"/>
    <n v="533.61633738130331"/>
    <n v="142.25660929642618"/>
    <n v="0"/>
    <n v="13180.521255493164"/>
    <n v="1.6705187982779535E-4"/>
    <n v="-12038"/>
    <n v="12000.050462148618"/>
    <n v="1.6705187982779535E-4"/>
    <n v="12000.050295096738"/>
    <n v="3.9097007564770081E-7"/>
  </r>
  <r>
    <s v="PvVpgXTKXpLEWqn"/>
    <x v="263"/>
    <n v="10189.368640650762"/>
    <n v="529.58525733649731"/>
    <n v="143.06495852023363"/>
    <n v="0"/>
    <n v="13304.554626464844"/>
    <n v="1.5869929205791777E-4"/>
    <n v="-12166.6"/>
    <n v="11999.973482972337"/>
    <n v="1.5869929205791777E-4"/>
    <n v="11999.973324273045"/>
    <n v="-6.4142084241769481E-6"/>
  </r>
  <r>
    <s v="PvVpgXTKXpLEWqn"/>
    <x v="264"/>
    <n v="10189.65106480848"/>
    <n v="534.69720797613263"/>
    <n v="143.34043645486236"/>
    <n v="0"/>
    <n v="13444.189895629883"/>
    <n v="1.5076432612204371E-4"/>
    <n v="-12311.9"/>
    <n v="11999.978604869359"/>
    <n v="1.5076432612204371E-4"/>
    <n v="11999.978454105032"/>
    <n v="4.2748694917271735E-7"/>
  </r>
  <r>
    <s v="PvVpgXTKXpLEWqn"/>
    <x v="265"/>
    <n v="10187.112600183362"/>
    <n v="538.21929978276603"/>
    <n v="171.97018617764115"/>
    <n v="0"/>
    <n v="13563.027618408203"/>
    <n v="1.4322610849148987E-4"/>
    <n v="-12460.3"/>
    <n v="12000.029704551973"/>
    <n v="1.4322610849148987E-4"/>
    <n v="12000.029561325864"/>
    <n v="4.2589427162731397E-6"/>
  </r>
  <r>
    <s v="PvVpgXTKXpLEWqn"/>
    <x v="266"/>
    <n v="10180.783333430081"/>
    <n v="548.68472204986028"/>
    <n v="155.22664738073945"/>
    <n v="0"/>
    <n v="13690.983764648438"/>
    <n v="1.3606480206362903E-4"/>
    <n v="-12575.7"/>
    <n v="11999.978467509118"/>
    <n v="1.3606480206362903E-4"/>
    <n v="11999.978331444316"/>
    <n v="-4.2691462789345991E-6"/>
  </r>
  <r>
    <s v="PvVpgXTKXpLEWqn"/>
    <x v="267"/>
    <n v="10192.066205032417"/>
    <n v="546.72700143419206"/>
    <n v="195.8279414921999"/>
    <n v="0"/>
    <n v="13792.394165039063"/>
    <n v="1.292615613124326E-4"/>
    <n v="-12727"/>
    <n v="12000.015312997872"/>
    <n v="1.292615613124326E-4"/>
    <n v="12000.01518373631"/>
    <n v="3.0710298781766454E-6"/>
  </r>
  <r>
    <s v="PvVpgXTKXpLEWqn"/>
    <x v="268"/>
    <n v="10213.082025829484"/>
    <n v="554.65190225094557"/>
    <n v="108.00765843782574"/>
    <n v="0"/>
    <n v="13981.055145263672"/>
    <n v="1.2279848539265004E-4"/>
    <n v="-12856.8"/>
    <n v="11999.996731781928"/>
    <n v="1.2279848539265004E-4"/>
    <n v="11999.996608983443"/>
    <n v="-1.547894113662629E-6"/>
  </r>
  <r>
    <s v="PvVpgXTKXpLEWqn"/>
    <x v="269"/>
    <n v="10224.111762170694"/>
    <n v="559.87246205843985"/>
    <n v="155.02527924999595"/>
    <n v="0"/>
    <n v="14126.141586303711"/>
    <n v="1.1665855703313355E-4"/>
    <n v="-13065.2"/>
    <n v="11999.95108978284"/>
    <n v="1.1665855703313355E-4"/>
    <n v="11999.950973124283"/>
    <n v="-3.8029893379976087E-6"/>
  </r>
  <r>
    <s v="PvVpgXTKXpLEWqn"/>
    <x v="270"/>
    <n v="10242.804614738634"/>
    <n v="562.68346106447279"/>
    <n v="131.93421041220427"/>
    <n v="0"/>
    <n v="14290.696960449219"/>
    <n v="1.1082563418085556E-4"/>
    <n v="-13228.1"/>
    <n v="12000.019246664529"/>
    <n v="1.1082563418085556E-4"/>
    <n v="12000.019135838895"/>
    <n v="5.6802494245999924E-6"/>
  </r>
  <r>
    <s v="PvVpgXTKXpLEWqn"/>
    <x v="271"/>
    <n v="10259.556192325443"/>
    <n v="568.95563517650589"/>
    <n v="124.64705666713417"/>
    <n v="0"/>
    <n v="14459.1611328125"/>
    <n v="1.0528434972911782E-4"/>
    <n v="-13412.3"/>
    <n v="12000.020016981583"/>
    <n v="1.0528434972911782E-4"/>
    <n v="12000.019911697234"/>
    <n v="6.465475843597801E-8"/>
  </r>
  <r>
    <s v="PvVpgXTKXpLEWqn"/>
    <x v="272"/>
    <n v="10282.64061832591"/>
    <n v="572.07878922764212"/>
    <n v="121.23008361458778"/>
    <n v="0"/>
    <n v="14619.300445556641"/>
    <n v="1.0002013203802562E-4"/>
    <n v="-13595.2"/>
    <n v="12000.049936724779"/>
    <n v="1.0002013203802562E-4"/>
    <n v="12000.049836704648"/>
    <n v="2.4937464797591957E-6"/>
  </r>
  <r>
    <s v="PvVpgXTKXpLEWqn"/>
    <x v="273"/>
    <n v="10292.077567965724"/>
    <n v="600.56065041944385"/>
    <n v="17.72650583833456"/>
    <n v="0"/>
    <n v="14849.464813232422"/>
    <n v="9.5019124955797452E-5"/>
    <n v="-13759.8"/>
    <n v="12000.029537455925"/>
    <n v="9.5019124955797452E-5"/>
    <n v="12000.0294424368"/>
    <n v="-1.6995152624099674E-6"/>
  </r>
  <r>
    <s v="PvVpgXTKXpLEWqn"/>
    <x v="274"/>
    <n v="10318.131969931768"/>
    <n v="597.6108875721693"/>
    <n v="87.276059390511364"/>
    <n v="0"/>
    <n v="15005.388305664063"/>
    <n v="9.0268169401497289E-5"/>
    <n v="-14008.4"/>
    <n v="12000.007222558512"/>
    <n v="9.0268169401497289E-5"/>
    <n v="12000.007132290342"/>
    <n v="-1.8591743099483082E-6"/>
  </r>
  <r>
    <s v="PvVpgXTKXpLEWqn"/>
    <x v="275"/>
    <n v="10335.426069845213"/>
    <n v="594.75367232039571"/>
    <n v="126.46401889435947"/>
    <n v="0"/>
    <n v="15127.387985229492"/>
    <n v="8.575476164196516E-5"/>
    <n v="-14184"/>
    <n v="12000.03174628946"/>
    <n v="8.575476164196516E-5"/>
    <n v="12000.031660534698"/>
    <n v="2.0440191481618797E-6"/>
  </r>
  <r>
    <s v="PvVpgXTKXpLEWqn"/>
    <x v="276"/>
    <n v="10355.397141164285"/>
    <n v="600.88918312359601"/>
    <n v="78.142422175034881"/>
    <n v="0"/>
    <n v="15297.920104980469"/>
    <n v="8.1467024841685998E-5"/>
    <n v="-14332.3"/>
    <n v="12000.048851443386"/>
    <n v="8.1467024841685998E-5"/>
    <n v="12000.04876997636"/>
    <n v="1.4257830434072361E-6"/>
  </r>
  <r>
    <s v="PvVpgXTKXpLEWqn"/>
    <x v="277"/>
    <n v="10363.43794608285"/>
    <n v="616.53601850289851"/>
    <n v="77.054133087396622"/>
    <n v="0"/>
    <n v="15486.680084228516"/>
    <n v="7.7393672086145671E-5"/>
    <n v="-14543.7"/>
    <n v="12000.00818190166"/>
    <n v="7.7393672086145671E-5"/>
    <n v="12000.008104507988"/>
    <n v="-3.3887752584060848E-6"/>
  </r>
  <r>
    <s v="PvVpgXTKXpLEWqn"/>
    <x v="278"/>
    <n v="10375.875461600313"/>
    <n v="609.24874325841665"/>
    <n v="125.28376989951357"/>
    <n v="0"/>
    <n v="15619.871810913086"/>
    <n v="7.3523988191936951E-5"/>
    <n v="-14730.3"/>
    <n v="11999.97978567133"/>
    <n v="7.3523988191936951E-5"/>
    <n v="11999.979712147342"/>
    <n v="-2.3660284558246758E-6"/>
  </r>
  <r>
    <s v="PvVpgXTKXpLEWqn"/>
    <x v="279"/>
    <n v="10385.866474632057"/>
    <n v="616.58907858282328"/>
    <n v="78.225316463969648"/>
    <n v="0"/>
    <n v="15783.79508972168"/>
    <n v="6.9847791110078106E-5"/>
    <n v="-14864.5"/>
    <n v="11999.97595940053"/>
    <n v="6.9847791110078106E-5"/>
    <n v="11999.975889552739"/>
    <n v="-3.1855008875147917E-7"/>
  </r>
  <r>
    <s v="PvVpgXTKXpLEWqn"/>
    <x v="280"/>
    <n v="10405.035076312604"/>
    <n v="606.67947712144814"/>
    <n v="125.0271168500185"/>
    <n v="0"/>
    <n v="15902.551254272461"/>
    <n v="6.6355400122120045E-5"/>
    <n v="-15039.3"/>
    <n v="11999.992924556533"/>
    <n v="6.6355400122120045E-5"/>
    <n v="11999.992858201133"/>
    <n v="1.4140568738163495E-6"/>
  </r>
  <r>
    <s v="PvVpgXTKXpLEWqn"/>
    <x v="281"/>
    <n v="10417.307714067545"/>
    <n v="606.28392895776778"/>
    <n v="117.34991745837033"/>
    <n v="0"/>
    <n v="16042.095611572266"/>
    <n v="6.303762845050187E-5"/>
    <n v="-15183"/>
    <n v="12000.037172055949"/>
    <n v="6.303762845050187E-5"/>
    <n v="12000.03710901832"/>
    <n v="3.6875702935645904E-6"/>
  </r>
  <r>
    <s v="PvVpgXTKXpLEWqn"/>
    <x v="282"/>
    <n v="10425.327914611844"/>
    <n v="608.86031430680305"/>
    <n v="137.54194578155875"/>
    <n v="0"/>
    <n v="16175.999359130859"/>
    <n v="5.9885748072474598E-5"/>
    <n v="-15347.7"/>
    <n v="12000.029533831064"/>
    <n v="5.9885748072474598E-5"/>
    <n v="12000.029473945317"/>
    <n v="-6.3625411605983118E-7"/>
  </r>
  <r>
    <s v="PvVpgXTKXpLEWqn"/>
    <x v="283"/>
    <n v="10442.859267049003"/>
    <n v="602.92450514224765"/>
    <n v="133.58164596557617"/>
    <n v="0"/>
    <n v="16314.93896484375"/>
    <n v="5.6891461042596347E-5"/>
    <n v="-15494.3"/>
    <n v="12000.004383000578"/>
    <n v="5.6891461042596347E-5"/>
    <n v="12000.004326109118"/>
    <n v="-2.0956478693490155E-6"/>
  </r>
  <r>
    <s v="PvVpgXTKXpLEWqn"/>
    <x v="284"/>
    <n v="10453.589794370579"/>
    <n v="607.90599146299064"/>
    <n v="120.59292837779503"/>
    <n v="0"/>
    <n v="16451.0263671875"/>
    <n v="5.4046889033543266E-5"/>
    <n v="-15633.1"/>
    <n v="12000.015081398864"/>
    <n v="5.4046889033543266E-5"/>
    <n v="12000.015027351976"/>
    <n v="8.9176991657780036E-7"/>
  </r>
  <r>
    <s v="PvVpgXTKXpLEWqn"/>
    <x v="285"/>
    <n v="10465.375705122191"/>
    <n v="633.41412518173456"/>
    <n v="9.995052594691515"/>
    <n v="0"/>
    <n v="16678.843017578125"/>
    <n v="5.1344543123832409E-5"/>
    <n v="-15787.6"/>
    <n v="12000.027900476742"/>
    <n v="5.1344543123832409E-5"/>
    <n v="12000.027849132199"/>
    <n v="1.0684803473104409E-6"/>
  </r>
  <r>
    <s v="PvVpgXTKXpLEWqn"/>
    <x v="286"/>
    <n v="10482.581901879748"/>
    <n v="627.61940962076187"/>
    <n v="136.45989433303475"/>
    <n v="0"/>
    <n v="16802.640350341797"/>
    <n v="4.877731512920036E-5"/>
    <n v="-16049.3"/>
    <n v="12000.001556175343"/>
    <n v="4.877731512920036E-5"/>
    <n v="12000.001507398027"/>
    <n v="-2.1951394199026808E-6"/>
  </r>
  <r>
    <s v="PvVpgXTKXpLEWqn"/>
    <x v="287"/>
    <n v="10502.960764552816"/>
    <n v="630.33883010596037"/>
    <n v="86.055964849889278"/>
    <n v="0"/>
    <n v="16971.113983154297"/>
    <n v="4.6338450204075343E-5"/>
    <n v="-16190.5"/>
    <n v="11999.969542662962"/>
    <n v="4.6338450204075343E-5"/>
    <n v="11999.969496324513"/>
    <n v="-2.6675891243721495E-6"/>
  </r>
  <r>
    <s v="PvVpgXTKXpLEWqn"/>
    <x v="288"/>
    <n v="10526.662095059757"/>
    <n v="621.47009574621916"/>
    <n v="150.22559175267816"/>
    <n v="0"/>
    <n v="17100.280303955078"/>
    <n v="4.4021529433280193E-5"/>
    <n v="-16398.599999999999"/>
    <n v="12000.038086513734"/>
    <n v="4.4021529433280193E-5"/>
    <n v="12000.038042492204"/>
    <n v="5.7121951611005528E-6"/>
  </r>
  <r>
    <s v="PvVpgXTKXpLEWqn"/>
    <x v="289"/>
    <n v="10552.68562128098"/>
    <n v="626.5113759636879"/>
    <n v="95.329164506867528"/>
    <n v="0"/>
    <n v="17292.686614990234"/>
    <n v="4.182045205425311E-5"/>
    <n v="-16567.2"/>
    <n v="12000.012776741769"/>
    <n v="4.182045205425311E-5"/>
    <n v="12000.012734921316"/>
    <n v="-2.1089575548138839E-6"/>
  </r>
  <r>
    <s v="PvVpgXTKXpLEWqn"/>
    <x v="290"/>
    <n v="10579.555185301986"/>
    <n v="629.21790281683207"/>
    <n v="87.285580926341936"/>
    <n v="0"/>
    <n v="17471.362243652344"/>
    <n v="3.9729428749524232E-5"/>
    <n v="-16767.400000000001"/>
    <n v="12000.020912697502"/>
    <n v="3.9729428749524232E-5"/>
    <n v="12000.020872968074"/>
    <n v="6.7816984339330588E-7"/>
  </r>
  <r>
    <s v="PvVpgXTKXpLEWqn"/>
    <x v="291"/>
    <n v="10601.264993794961"/>
    <n v="636.46582052111626"/>
    <n v="76.773123741149902"/>
    <n v="0"/>
    <n v="17647.947113037109"/>
    <n v="3.7742957744058003E-5"/>
    <n v="-16962.5"/>
    <n v="11999.951051094336"/>
    <n v="3.7742957744058003E-5"/>
    <n v="11999.95101335138"/>
    <n v="-5.8216245983899739E-6"/>
  </r>
  <r>
    <s v="PvVpgXTKXpLEWqn"/>
    <x v="292"/>
    <n v="10622.076735259558"/>
    <n v="648.38423048332334"/>
    <n v="48.309319954365492"/>
    <n v="0"/>
    <n v="17844.735977172852"/>
    <n v="3.5855809670692906E-5"/>
    <n v="-17163.5"/>
    <n v="12000.006262870098"/>
    <n v="3.5855809670692906E-5"/>
    <n v="12000.006227014288"/>
    <n v="4.6011573586746124E-6"/>
  </r>
  <r>
    <s v="PvVpgXTKXpLEWqn"/>
    <x v="293"/>
    <n v="10640.338066777273"/>
    <n v="653.15324347093701"/>
    <n v="90.841848149895668"/>
    <n v="0"/>
    <n v="18013.699356079102"/>
    <n v="3.4063019541008543E-5"/>
    <n v="-17398"/>
    <n v="12000.032514477207"/>
    <n v="3.4063019541008543E-5"/>
    <n v="12000.032480414187"/>
    <n v="2.187782189633225E-6"/>
  </r>
  <r>
    <s v="PvVpgXTKXpLEWqn"/>
    <x v="294"/>
    <n v="10663.806236002827"/>
    <n v="659.55145506933331"/>
    <n v="74.385411874391139"/>
    <n v="0"/>
    <n v="18193.465347290039"/>
    <n v="3.2359868114895107E-5"/>
    <n v="-17591.2"/>
    <n v="12000.00845023659"/>
    <n v="3.2359868114895107E-5"/>
    <n v="12000.008417876721"/>
    <n v="-2.0052060279995843E-6"/>
  </r>
  <r>
    <s v="PvVpgXTKXpLEWqn"/>
    <x v="295"/>
    <n v="10680.610888883093"/>
    <n v="667.25237026810646"/>
    <n v="97.748400868847966"/>
    <n v="0"/>
    <n v="18349.100479125977"/>
    <n v="3.0741874681439185E-5"/>
    <n v="-17794.7"/>
    <n v="12000.012139146023"/>
    <n v="3.0741874681439185E-5"/>
    <n v="12000.012108404149"/>
    <n v="3.0754373669950041E-7"/>
  </r>
  <r>
    <s v="PvVpgXTKXpLEWqn"/>
    <x v="296"/>
    <n v="10704.1276308503"/>
    <n v="676.46584937721491"/>
    <n v="65.719764170236886"/>
    <n v="0"/>
    <n v="18525.101150512695"/>
    <n v="2.9204780901181948E-5"/>
    <n v="-17971.400000000001"/>
    <n v="12000.014394910446"/>
    <n v="2.9204780901181948E-5"/>
    <n v="12000.014365705665"/>
    <n v="1.8810826984960727E-7"/>
  </r>
  <r>
    <s v="PvVpgXTKXpLEWqn"/>
    <x v="297"/>
    <n v="10721.127543726237"/>
    <n v="692.63476661592722"/>
    <n v="24.240048602223396"/>
    <n v="0"/>
    <n v="18749.319107055664"/>
    <n v="2.7744542506979997E-5"/>
    <n v="-18187.3"/>
    <n v="12000.021466000053"/>
    <n v="2.7744542506979997E-5"/>
    <n v="12000.02143825551"/>
    <n v="5.8937844804596295E-7"/>
  </r>
  <r>
    <s v="PvVpgXTKXpLEWqn"/>
    <x v="298"/>
    <n v="10741.666432990751"/>
    <n v="702.18735530995764"/>
    <n v="49.282890446484089"/>
    <n v="0"/>
    <n v="18961.205993652344"/>
    <n v="2.6357314823144407E-5"/>
    <n v="-18454.3"/>
    <n v="12000.042672399537"/>
    <n v="2.6357314823144407E-5"/>
    <n v="12000.042646042222"/>
    <n v="1.7673124019790265E-6"/>
  </r>
  <r>
    <s v="PvVpgXTKXpLEWqn"/>
    <x v="299"/>
    <n v="10766.688422020641"/>
    <n v="709.00655954354443"/>
    <n v="55.609503757208586"/>
    <n v="0"/>
    <n v="19147.719329833984"/>
    <n v="2.5039449127461921E-5"/>
    <n v="-18679"/>
    <n v="12000.023815155379"/>
    <n v="2.5039449127461921E-5"/>
    <n v="12000.023790115929"/>
    <n v="-1.5713216069412894E-6"/>
  </r>
  <r>
    <s v="PvVpgXTKXpLEWqn"/>
    <x v="300"/>
    <n v="10781.898311671277"/>
    <n v="736.1390306497924"/>
    <n v="0.24844016134738922"/>
    <n v="0"/>
    <n v="19370.628051757813"/>
    <n v="2.3787476720826817E-5"/>
    <n v="-18888.900000000001"/>
    <n v="12000.013834240228"/>
    <n v="2.3787476720826817E-5"/>
    <n v="12000.01381045275"/>
    <n v="-8.3163694952759215E-7"/>
  </r>
  <r>
    <s v="PvVpgXTKXpLEWqn"/>
    <x v="301"/>
    <n v="10817.454882615246"/>
    <n v="741.74827546573943"/>
    <n v="28.381304401904345"/>
    <n v="0"/>
    <n v="19573.038879394531"/>
    <n v="2.2598103043947049E-5"/>
    <n v="-19160.599999999999"/>
    <n v="12000.023341877422"/>
    <n v="2.2598103043947049E-5"/>
    <n v="12000.023319279318"/>
    <n v="7.9240130212987481E-7"/>
  </r>
  <r>
    <s v="PvVpgXTKXpLEWqn"/>
    <x v="302"/>
    <n v="10830.545222882181"/>
    <n v="770.1963652963168"/>
    <n v="-14.23724303022027"/>
    <n v="0"/>
    <n v="19814.833740234375"/>
    <n v="2.1468198255547577E-5"/>
    <n v="-19401.3"/>
    <n v="12000.038085382654"/>
    <n v="2.1468198255547577E-5"/>
    <n v="12000.038063914455"/>
    <n v="1.2287172070912789E-6"/>
  </r>
  <r>
    <s v="PvVpgXTKXpLEWqn"/>
    <x v="303"/>
    <n v="10850.044710222166"/>
    <n v="774.39209629414836"/>
    <n v="42.676749426871538"/>
    <n v="0"/>
    <n v="19987.269897460938"/>
    <n v="2.0394787490829458E-5"/>
    <n v="-19654.400000000001"/>
    <n v="11999.983453404122"/>
    <n v="2.0394787490829458E-5"/>
    <n v="11999.983433009334"/>
    <n v="-4.5525609859708993E-6"/>
  </r>
  <r>
    <s v="PvVpgXTKXpLEWqn"/>
    <x v="304"/>
    <n v="10867.492044348968"/>
    <n v="786.16503809392452"/>
    <n v="52.463312102481723"/>
    <n v="0"/>
    <n v="20170.181762695313"/>
    <n v="1.9375048424308261E-5"/>
    <n v="-19876.3"/>
    <n v="12000.002157240688"/>
    <n v="1.9375048424308261E-5"/>
    <n v="12000.002137865638"/>
    <n v="1.5587401773764498E-6"/>
  </r>
  <r>
    <s v="PvVpgXTKXpLEWqn"/>
    <x v="305"/>
    <n v="10889.172932658577"/>
    <n v="813.42085957527161"/>
    <n v="-68.371763719245791"/>
    <n v="0"/>
    <n v="20473.415496826172"/>
    <n v="1.8406295765771574E-5"/>
    <n v="-20107.599999999999"/>
    <n v="12000.037525340776"/>
    <n v="1.8406295765771574E-5"/>
    <n v="12000.037506934481"/>
    <n v="2.9474218783409611E-6"/>
  </r>
  <r>
    <s v="PvVpgXTKXpLEWqn"/>
    <x v="306"/>
    <n v="10916.949058527243"/>
    <n v="798.99039775878191"/>
    <n v="97.299591142684221"/>
    <n v="0"/>
    <n v="20626.203399658203"/>
    <n v="1.7485981260279004E-5"/>
    <n v="-20439.400000000001"/>
    <n v="12000.042447086911"/>
    <n v="1.7485981260279004E-5"/>
    <n v="12000.04242960093"/>
    <n v="4.1022092189813009E-7"/>
  </r>
  <r>
    <s v="PvVpgXTKXpLEWqn"/>
    <x v="307"/>
    <n v="10930.932986257947"/>
    <n v="799.91746767424047"/>
    <n v="120.18224183470011"/>
    <n v="0"/>
    <n v="20781.589996337891"/>
    <n v="1.6611682205791567E-5"/>
    <n v="-20632.599999999999"/>
    <n v="12000.02269210478"/>
    <n v="1.6611682205791567E-5"/>
    <n v="12000.022675493097"/>
    <n v="-1.6461698321146301E-6"/>
  </r>
  <r>
    <s v="PvVpgXTKXpLEWqn"/>
    <x v="308"/>
    <n v="10950.156300442759"/>
    <n v="812.26881184242666"/>
    <n v="72.602496914565563"/>
    <n v="0"/>
    <n v="20992.77099609375"/>
    <n v="1.5781097637557195E-5"/>
    <n v="-20827.8"/>
    <n v="11999.998605293502"/>
    <n v="1.5781097637557195E-5"/>
    <n v="11999.998589512405"/>
    <n v="-2.0071612649719128E-6"/>
  </r>
  <r>
    <s v="PvVpgXTKXpLEWqn"/>
    <x v="309"/>
    <n v="10979.019850633922"/>
    <n v="832.53491484932601"/>
    <n v="17.811436645686626"/>
    <n v="0"/>
    <n v="21252.815856933594"/>
    <n v="1.4992043418260437E-5"/>
    <n v="-21082.2"/>
    <n v="11999.982059062528"/>
    <n v="1.4992043418260437E-5"/>
    <n v="11999.982044070484"/>
    <n v="-1.3787869888037818E-6"/>
  </r>
  <r>
    <s v="PvVpgXTKXpLEWqn"/>
    <x v="310"/>
    <n v="11013.265034582"/>
    <n v="851.91680398583412"/>
    <n v="-34.512039691209793"/>
    <n v="0"/>
    <n v="21521.111572265625"/>
    <n v="1.4242441132239492E-5"/>
    <n v="-21351.8"/>
    <n v="11999.98137114225"/>
    <n v="1.4242441132239492E-5"/>
    <n v="11999.981356899809"/>
    <n v="-5.7264308628290905E-8"/>
  </r>
  <r>
    <s v="PvVpgXTKXpLEWqn"/>
    <x v="311"/>
    <n v="11049.572824163653"/>
    <n v="848.87914419174194"/>
    <n v="70.776557918637991"/>
    <n v="0"/>
    <n v="21703.849548339844"/>
    <n v="1.353031930761972E-5"/>
    <n v="-21673.1"/>
    <n v="11999.978074613879"/>
    <n v="1.353031930761972E-5"/>
    <n v="11999.978061083559"/>
    <n v="-2.7465178087382469E-7"/>
  </r>
  <r>
    <s v="PvVpgXTKXpLEWqn"/>
    <x v="312"/>
    <n v="11072.792593836144"/>
    <n v="877.56646728515625"/>
    <n v="-28.030368313193321"/>
    <n v="0"/>
    <n v="21964.677490234375"/>
    <n v="1.2853802630274913E-5"/>
    <n v="-21887"/>
    <n v="12000.006183042482"/>
    <n v="1.2853802630274913E-5"/>
    <n v="12000.006170188679"/>
    <n v="2.3424297093121993E-6"/>
  </r>
  <r>
    <s v="PvVpgXTKXpLEWqn"/>
    <x v="313"/>
    <n v="11106.352290755429"/>
    <n v="884.21068501472473"/>
    <n v="21.633850075304508"/>
    <n v="0"/>
    <n v="22186.391448974609"/>
    <n v="1.2211112739635155E-5"/>
    <n v="-22198.6"/>
    <n v="11999.988274820069"/>
    <n v="1.2211112739635155E-5"/>
    <n v="11999.988262608957"/>
    <n v="-1.4922975428710572E-6"/>
  </r>
  <r>
    <s v="PvVpgXTKXpLEWqn"/>
    <x v="314"/>
    <n v="11119.58108509687"/>
    <n v="923.73049251362681"/>
    <n v="-58.819112710654736"/>
    <n v="0"/>
    <n v="22470.441711425781"/>
    <n v="1.1600557318303117E-5"/>
    <n v="-22454.9"/>
    <n v="12000.034176325622"/>
    <n v="1.1600557318303117E-5"/>
    <n v="12000.034164725064"/>
    <n v="3.8251800837940664E-6"/>
  </r>
  <r>
    <s v="PvVpgXTKXpLEWqn"/>
    <x v="315"/>
    <n v="11147.474300863396"/>
    <n v="926.21667424961925"/>
    <n v="21.353655807673931"/>
    <n v="0"/>
    <n v="22677.715087890625"/>
    <n v="1.1020529562699721E-5"/>
    <n v="-22772.799999999999"/>
    <n v="11999.959718811315"/>
    <n v="1.1020529562699721E-5"/>
    <n v="11999.959707790786"/>
    <n v="-6.2047268579723536E-6"/>
  </r>
  <r>
    <s v="PvVpgXTKXpLEWqn"/>
    <x v="316"/>
    <n v="11165.58542412956"/>
    <n v="943.66444156039506"/>
    <n v="11.197515428066254"/>
    <n v="0"/>
    <n v="22896.869720458984"/>
    <n v="1.046950304939287E-5"/>
    <n v="-23017.3"/>
    <n v="12000.017101577007"/>
    <n v="1.046950304939287E-5"/>
    <n v="12000.017091107504"/>
    <n v="4.7819591162401309E-6"/>
  </r>
  <r>
    <s v="PvVpgXTKXpLEWqn"/>
    <x v="317"/>
    <n v="11191.306538620498"/>
    <n v="963.53668075799942"/>
    <n v="-34.181705985218287"/>
    <n v="0"/>
    <n v="23150.615661621094"/>
    <n v="9.9460278484286846E-6"/>
    <n v="-23271.3"/>
    <n v="11999.977175014374"/>
    <n v="9.9460278484286846E-6"/>
    <n v="11999.977165068345"/>
    <n v="-3.3271651911359612E-6"/>
  </r>
  <r>
    <s v="PvVpgXTKXpLEWqn"/>
    <x v="318"/>
    <n v="11230.712004202604"/>
    <n v="961.23113113641739"/>
    <n v="-8.9367827698588371"/>
    <n v="0"/>
    <n v="23380.326995849609"/>
    <n v="9.4487262316533815E-6"/>
    <n v="-23563.3"/>
    <n v="12000.033348418776"/>
    <n v="9.4487262316533815E-6"/>
    <n v="12000.03333897005"/>
    <n v="4.6811673832802825E-6"/>
  </r>
  <r>
    <s v="PvVpgXTKXpLEWqn"/>
    <x v="319"/>
    <n v="11249.50849022828"/>
    <n v="965.67893172800541"/>
    <n v="66.247075192630291"/>
    <n v="0"/>
    <n v="23551.299285888672"/>
    <n v="8.9762898518586098E-6"/>
    <n v="-23832.7"/>
    <n v="12000.03378303759"/>
    <n v="8.9762898518586098E-6"/>
    <n v="12000.033774061299"/>
    <n v="3.6257503444048211E-8"/>
  </r>
  <r>
    <s v="PvVpgXTKXpLEWqn"/>
    <x v="320"/>
    <n v="11285.397247387747"/>
    <n v="972.11393566429615"/>
    <n v="10.079990401864052"/>
    <n v="0"/>
    <n v="23769.545715332031"/>
    <n v="8.5274756145281572E-6"/>
    <n v="-24037.1"/>
    <n v="12000.036888785944"/>
    <n v="8.5274756145281572E-6"/>
    <n v="12000.036880258469"/>
    <n v="2.5884903553929917E-7"/>
  </r>
  <r>
    <s v="PvVpgXTKXpLEWqn"/>
    <x v="321"/>
    <n v="11321.49723295333"/>
    <n v="979.71711665391922"/>
    <n v="13.889080007560551"/>
    <n v="0"/>
    <n v="23982.206665039063"/>
    <n v="8.1011016170862149E-6"/>
    <n v="-24297.3"/>
    <n v="12000.010094653877"/>
    <n v="8.1011016170862149E-6"/>
    <n v="12000.010086552775"/>
    <n v="-2.2328019456674397E-6"/>
  </r>
  <r>
    <s v="PvVpgXTKXpLEWqn"/>
    <x v="322"/>
    <n v="11336.404823894438"/>
    <n v="1007.6486228555441"/>
    <n v="-15.64676109328866"/>
    <n v="0"/>
    <n v="24226.813446044922"/>
    <n v="7.6960465129616296E-6"/>
    <n v="-24555.200000000001"/>
    <n v="12000.020131701614"/>
    <n v="7.6960465129616296E-6"/>
    <n v="12000.020124005569"/>
    <n v="8.3645369630680477E-7"/>
  </r>
  <r>
    <s v="PvVpgXTKXpLEWqn"/>
    <x v="323"/>
    <n v="11370.763823132496"/>
    <n v="1007.9719675630331"/>
    <n v="22.074610393494368"/>
    <n v="0"/>
    <n v="24434.758697509766"/>
    <n v="7.3112444951561883E-6"/>
    <n v="-24835.599999999999"/>
    <n v="11999.969098598791"/>
    <n v="7.3112444951561883E-6"/>
    <n v="11999.969091287547"/>
    <n v="-4.2527193699903876E-6"/>
  </r>
  <r>
    <s v="PvVpgXTKXpLEWqn"/>
    <x v="324"/>
    <n v="11397.43923709495"/>
    <n v="1018.7902437821031"/>
    <n v="3.4225020557641983E-2"/>
    <n v="0"/>
    <n v="24677.977813720703"/>
    <n v="6.9456821449875861E-6"/>
    <n v="-25094.2"/>
    <n v="12000.041519618313"/>
    <n v="6.9456821449875861E-6"/>
    <n v="12000.041512672631"/>
    <n v="6.0351309685291454E-6"/>
  </r>
  <r>
    <s v="PvVpgXTKXpLEWqn"/>
    <x v="325"/>
    <n v="11433.218107922003"/>
    <n v="1018.5873524323106"/>
    <n v="10.068387031555176"/>
    <n v="0"/>
    <n v="24912.50390625"/>
    <n v="6.5983980093164973E-6"/>
    <n v="-25374.400000000001"/>
    <n v="11999.977753635867"/>
    <n v="6.5983980093164973E-6"/>
    <n v="11999.977747037468"/>
    <n v="-5.3137845478223866E-6"/>
  </r>
  <r>
    <s v="PvVpgXTKXpLEWqn"/>
    <x v="326"/>
    <n v="11453.568449565675"/>
    <n v="1032.9042012766004"/>
    <n v="6.7168596835108474"/>
    <n v="0"/>
    <n v="25150.216186523438"/>
    <n v="6.2684781418909097E-6"/>
    <n v="-25643.4"/>
    <n v="12000.005697049222"/>
    <n v="6.2684781418909097E-6"/>
    <n v="12000.005690780745"/>
    <n v="2.3286495913765748E-6"/>
  </r>
  <r>
    <s v="PvVpgXTKXpLEWqn"/>
    <x v="327"/>
    <n v="11487.23436910403"/>
    <n v="1037.3190391138196"/>
    <n v="2.4854979421943426"/>
    <n v="0"/>
    <n v="25390.905914306641"/>
    <n v="5.955054273698579E-6"/>
    <n v="-25917.9"/>
    <n v="12000.044820466683"/>
    <n v="5.955054273698579E-6"/>
    <n v="12000.044814511628"/>
    <n v="3.2603093607086464E-6"/>
  </r>
  <r>
    <s v="PvVpgXTKXpLEWqn"/>
    <x v="328"/>
    <n v="11518.69616243802"/>
    <n v="1026.7235656455159"/>
    <n v="81.017341662198305"/>
    <n v="0"/>
    <n v="25557.221740722656"/>
    <n v="5.6573014628469309E-6"/>
    <n v="-26183.7"/>
    <n v="11999.95881046839"/>
    <n v="5.6573014628469309E-6"/>
    <n v="11999.958804811089"/>
    <n v="-7.1674482777783766E-6"/>
  </r>
  <r>
    <s v="PvVpgXTKXpLEWqn"/>
    <x v="329"/>
    <n v="11550.652232086286"/>
    <n v="1033.9338384345174"/>
    <n v="31.166336830705404"/>
    <n v="0"/>
    <n v="25781.362640380859"/>
    <n v="5.3744364389984867E-6"/>
    <n v="-26397.1"/>
    <n v="12000.01504773237"/>
    <n v="5.3744364389984867E-6"/>
    <n v="12000.015042357933"/>
    <n v="4.6864783254108033E-6"/>
  </r>
  <r>
    <s v="PvVpgXTKXpLEWqn"/>
    <x v="330"/>
    <n v="11586.40203710366"/>
    <n v="1049.3299216777086"/>
    <n v="-58.089784938842058"/>
    <n v="0"/>
    <n v="26080.926666259766"/>
    <n v="5.1057145444843854E-6"/>
    <n v="-26658.6"/>
    <n v="11999.968840102294"/>
    <n v="5.1057145444843854E-6"/>
    <n v="11999.96883499658"/>
    <n v="-3.8506086191825162E-6"/>
  </r>
  <r>
    <s v="PvVpgXTKXpLEWqn"/>
    <x v="331"/>
    <n v="11613.65293023744"/>
    <n v="1060.5169504731894"/>
    <n v="-10.023077806457877"/>
    <n v="0"/>
    <n v="26331.383117675781"/>
    <n v="4.8504288621131764E-6"/>
    <n v="-26995.5"/>
    <n v="12000.029920579953"/>
    <n v="4.8504288621131764E-6"/>
    <n v="12000.029915729525"/>
    <n v="5.0900742980530822E-6"/>
  </r>
  <r>
    <s v="PvVpgXTKXpLEWqn"/>
    <x v="332"/>
    <n v="11648.164728909498"/>
    <n v="1065.9831238538027"/>
    <n v="24.825438560917974"/>
    <n v="0"/>
    <n v="26564.791290283203"/>
    <n v="4.6079074600413605E-6"/>
    <n v="-27303.8"/>
    <n v="11999.964581607423"/>
    <n v="4.6079074600413605E-6"/>
    <n v="11999.964576999515"/>
    <n v="-5.4448805935081168E-6"/>
  </r>
  <r>
    <s v="PvVpgXTKXpLEWqn"/>
    <x v="333"/>
    <n v="11682.133105552872"/>
    <n v="1071.6985313147306"/>
    <n v="31.280722610652447"/>
    <n v="0"/>
    <n v="26794.319213867188"/>
    <n v="4.3775120417421931E-6"/>
    <n v="-27579.4"/>
    <n v="12000.031573345441"/>
    <n v="4.3775120417421931E-6"/>
    <n v="12000.031568967928"/>
    <n v="5.5826805140934965E-6"/>
  </r>
  <r>
    <s v="PvVpgXTKXpLEWqn"/>
    <x v="334"/>
    <n v="11723.266968483105"/>
    <n v="1078.7549175173044"/>
    <n v="15.360237525776029"/>
    <n v="0"/>
    <n v="27029.779052734375"/>
    <n v="4.1586363810353077E-6"/>
    <n v="-27847.200000000001"/>
    <n v="11999.96117626056"/>
    <n v="4.1586363810353077E-6"/>
    <n v="11999.961172101923"/>
    <n v="-5.8663900674993386E-6"/>
  </r>
  <r>
    <s v="PvVpgXTKXpLEWqn"/>
    <x v="335"/>
    <n v="11774.016576326685"/>
    <n v="1084.4937593489885"/>
    <n v="-28.481115598231554"/>
    <n v="0"/>
    <n v="27301.203033447266"/>
    <n v="3.9507046665221424E-6"/>
    <n v="-28131.200000000001"/>
    <n v="12000.032253524707"/>
    <n v="3.9507046665221424E-6"/>
    <n v="12000.032249574002"/>
    <n v="5.9231418385596868E-6"/>
  </r>
  <r>
    <s v="PvVpgXTKXpLEWqn"/>
    <x v="336"/>
    <n v="11809.669755180192"/>
    <n v="1106.1179242730141"/>
    <n v="-66.246136395260692"/>
    <n v="0"/>
    <n v="27602.228790283203"/>
    <n v="3.7531694818682126E-6"/>
    <n v="-28451.8"/>
    <n v="11999.970333341149"/>
    <n v="3.7531694818682126E-6"/>
    <n v="11999.970329587979"/>
    <n v="-5.1599849679728749E-6"/>
  </r>
  <r>
    <s v="PvVpgXTKXpLEWqn"/>
    <x v="337"/>
    <n v="11855.246792268939"/>
    <n v="1115.4141469597816"/>
    <n v="-57.805053194984794"/>
    <n v="0"/>
    <n v="27878.680267333984"/>
    <n v="3.5655110082188912E-6"/>
    <n v="-28791.5"/>
    <n v="12000.036153367721"/>
    <n v="3.5655110082188912E-6"/>
    <n v="12000.03614980221"/>
    <n v="5.4850314146204227E-6"/>
  </r>
  <r>
    <s v="PvVpgXTKXpLEWqn"/>
    <x v="338"/>
    <n v="11910.802972410107"/>
    <n v="1114.4483346939087"/>
    <n v="-45.027421245351434"/>
    <n v="0"/>
    <n v="28141.303131103516"/>
    <n v="3.3872353029096303E-6"/>
    <n v="-29121.5"/>
    <n v="12000.02701696218"/>
    <n v="3.3872353029096303E-6"/>
    <n v="12000.027013574945"/>
    <n v="-7.6134997850640929E-7"/>
  </r>
  <r>
    <s v="PvVpgXTKXpLEWqn"/>
    <x v="339"/>
    <n v="11953.873778134061"/>
    <n v="1113.1289796829224"/>
    <n v="-4.9114135028794408"/>
    <n v="0"/>
    <n v="28359.059020996094"/>
    <n v="3.2178735693833005E-6"/>
    <n v="-29421.200000000001"/>
    <n v="11999.950365310197"/>
    <n v="3.2178735693833005E-6"/>
    <n v="11999.950362092322"/>
    <n v="-6.3876091725978412E-6"/>
  </r>
  <r>
    <s v="PvVpgXTKXpLEWqn"/>
    <x v="340"/>
    <n v="12000.688130539318"/>
    <n v="1108.0470585823059"/>
    <n v="-31.951383953914046"/>
    <n v="0"/>
    <n v="28611.973358154297"/>
    <n v="3.0569798870061504E-6"/>
    <n v="-29688.799999999999"/>
    <n v="11999.957163322008"/>
    <n v="3.0569798870061504E-6"/>
    <n v="11999.957160265029"/>
    <n v="5.6651673552288173E-7"/>
  </r>
  <r>
    <s v="PvVpgXTKXpLEWqn"/>
    <x v="341"/>
    <n v="12025.225024365936"/>
    <n v="1134.2013244628906"/>
    <n v="-109.99206192139536"/>
    <n v="0"/>
    <n v="28932.899810791016"/>
    <n v="2.9041309073107868E-6"/>
    <n v="-29982.3"/>
    <n v="12000.034097698448"/>
    <n v="2.9041309073107868E-6"/>
    <n v="12000.034094794317"/>
    <n v="6.411233661962612E-6"/>
  </r>
  <r>
    <s v="PvVpgXTKXpLEWqn"/>
    <x v="342"/>
    <n v="12054.226404157613"/>
    <n v="1128.3833684436977"/>
    <n v="18.324852516670944"/>
    <n v="0"/>
    <n v="29144.708129882813"/>
    <n v="2.7589243636327865E-6"/>
    <n v="-30345.599999999999"/>
    <n v="12000.042755000795"/>
    <n v="2.7589243636327865E-6"/>
    <n v="12000.04275224187"/>
    <n v="7.2145191287731336E-7"/>
  </r>
  <r>
    <s v="PvVpgXTKXpLEWqn"/>
    <x v="343"/>
    <n v="12094.342806137051"/>
    <n v="1123.4778798632324"/>
    <n v="-16.652667880989611"/>
    <n v="0"/>
    <n v="29377.990783691406"/>
    <n v="2.6209782131303427E-6"/>
    <n v="-30579.200000000001"/>
    <n v="11999.958801810699"/>
    <n v="2.6209782131303427E-6"/>
    <n v="11999.958799189721"/>
    <n v="-6.9960627543386167E-6"/>
  </r>
  <r>
    <s v="PvVpgXTKXpLEWqn"/>
    <x v="344"/>
    <n v="12133.975438009133"/>
    <n v="1117.0763038210571"/>
    <n v="15.287013726774603"/>
    <n v="0"/>
    <n v="29579.521942138672"/>
    <n v="2.4899292618840718E-6"/>
    <n v="-30845.9"/>
    <n v="11999.960697695635"/>
    <n v="2.4899292618840718E-6"/>
    <n v="11999.960695205706"/>
    <n v="1.580018744729017E-7"/>
  </r>
  <r>
    <s v="PvVpgXTKXpLEWqn"/>
    <x v="345"/>
    <n v="12154.549294361525"/>
    <n v="1141.5315925180912"/>
    <n v="-27.378540300764143"/>
    <n v="0"/>
    <n v="29825.746215820313"/>
    <n v="2.3654328122901802E-6"/>
    <n v="-31094.400000000001"/>
    <n v="12000.048562399163"/>
    <n v="2.3654328122901802E-6"/>
    <n v="12000.048560033731"/>
    <n v="7.3220929848183403E-6"/>
  </r>
  <r>
    <s v="PvVpgXTKXpLEWqn"/>
    <x v="346"/>
    <n v="12199.868238349009"/>
    <n v="1144.8941732943058"/>
    <n v="-35.510112209245563"/>
    <n v="0"/>
    <n v="30095.926574707031"/>
    <n v="2.2471611780261469E-6"/>
    <n v="-31405.200000000001"/>
    <n v="11999.978874141099"/>
    <n v="2.2471611780261469E-6"/>
    <n v="11999.978871893938"/>
    <n v="-5.8073214823650687E-6"/>
  </r>
  <r>
    <s v="PvVpgXTKXpLEWqn"/>
    <x v="347"/>
    <n v="12225.625138326875"/>
    <n v="1183.4852220192552"/>
    <n v="-118.22362465132028"/>
    <n v="0"/>
    <n v="30442.306213378906"/>
    <n v="2.1348031564727421E-6"/>
    <n v="-31733.200000000001"/>
    <n v="11999.992949073716"/>
    <n v="2.1348031564727421E-6"/>
    <n v="11999.992946938914"/>
    <n v="1.1729224798084914E-6"/>
  </r>
  <r>
    <s v="PvVpgXTKXpLEWqn"/>
    <x v="348"/>
    <n v="12257.979482834693"/>
    <n v="1196.191576346755"/>
    <n v="-35.371535187587142"/>
    <n v="0"/>
    <n v="30715.147094726563"/>
    <n v="2.0280629371427494E-6"/>
    <n v="-32133.9"/>
    <n v="12000.046618720422"/>
    <n v="2.0280629371427494E-6"/>
    <n v="12000.04661669236"/>
    <n v="4.4724820826846923E-6"/>
  </r>
  <r>
    <s v="PvVpgXTKXpLEWqn"/>
    <x v="349"/>
    <n v="12291.29537591897"/>
    <n v="1206.2635501474142"/>
    <n v="-15.636632401961833"/>
    <n v="0"/>
    <n v="30960.868225097656"/>
    <n v="1.9266597961475895E-6"/>
    <n v="-32442.799999999999"/>
    <n v="11999.990518762079"/>
    <n v="1.9266597961475895E-6"/>
    <n v="11999.99051683542"/>
    <n v="-4.6749699174064574E-6"/>
  </r>
  <r>
    <s v="PvVpgXTKXpLEWqn"/>
    <x v="350"/>
    <n v="12334.488048465457"/>
    <n v="1218.8995957374573"/>
    <n v="-70.495887453667819"/>
    <n v="0"/>
    <n v="31265.465972900391"/>
    <n v="1.8303268261021799E-6"/>
    <n v="-32748.400000000001"/>
    <n v="11999.957729649635"/>
    <n v="1.8303268261021799E-6"/>
    <n v="11999.957727819308"/>
    <n v="-2.7324201686829142E-6"/>
  </r>
  <r>
    <s v="PvVpgXTKXpLEWqn"/>
    <x v="351"/>
    <n v="12384.456194075232"/>
    <n v="1221.1270904541016"/>
    <n v="-47.503995110280812"/>
    <n v="0"/>
    <n v="31552.050964355469"/>
    <n v="1.7388104360804846E-6"/>
    <n v="-33110.1"/>
    <n v="12000.030253774523"/>
    <n v="1.7388104360804846E-6"/>
    <n v="12000.030252035713"/>
    <n v="6.0437059903328816E-6"/>
  </r>
  <r>
    <s v="PvVpgXTKXpLEWqn"/>
    <x v="352"/>
    <n v="12418.026082463995"/>
    <n v="1233.2586164474487"/>
    <n v="-23.511191228870302"/>
    <n v="0"/>
    <n v="31817.444122314453"/>
    <n v="1.6518699847978269E-6"/>
    <n v="-33445.199999999997"/>
    <n v="12000.017629997034"/>
    <n v="1.6518699847978269E-6"/>
    <n v="12000.017628345164"/>
    <n v="-1.0519715604173641E-6"/>
  </r>
  <r>
    <s v="PvVpgXTKXpLEWqn"/>
    <x v="353"/>
    <n v="12462.83072693029"/>
    <n v="1239.967432975769"/>
    <n v="-25.469272990245372"/>
    <n v="0"/>
    <n v="32097.621765136719"/>
    <n v="1.5692764563368655E-6"/>
    <n v="-33774.9"/>
    <n v="12000.05065205253"/>
    <n v="1.5692764563368655E-6"/>
    <n v="12000.050650483254"/>
    <n v="2.7518407983428972E-6"/>
  </r>
  <r>
    <s v="PvVpgXTKXpLEWqn"/>
    <x v="354"/>
    <n v="12508.124154797464"/>
    <n v="1238.7525396347046"/>
    <n v="14.611460486892611"/>
    <n v="0"/>
    <n v="32345.445129394531"/>
    <n v="1.4908125995916066E-6"/>
    <n v="-34106.9"/>
    <n v="12000.033284313591"/>
    <n v="1.4908125995916066E-6"/>
    <n v="12000.033282822778"/>
    <n v="-1.4472989307012796E-6"/>
  </r>
  <r>
    <s v="PvVpgXTKXpLEWqn"/>
    <x v="355"/>
    <n v="12542.735566735209"/>
    <n v="1268.4025573730469"/>
    <n v="-100.51806087093428"/>
    <n v="0"/>
    <n v="32684.150939941406"/>
    <n v="1.4162720010091334E-6"/>
    <n v="-34394.800000000003"/>
    <n v="11999.971003178725"/>
    <n v="1.4162720010091334E-6"/>
    <n v="11999.971001762453"/>
    <n v="-5.1900739653776284E-6"/>
  </r>
  <r>
    <s v="PvVpgXTKXpLEWqn"/>
    <x v="356"/>
    <n v="12578.788388010813"/>
    <n v="1291.3725919723511"/>
    <n v="-69.458057512063533"/>
    <n v="0"/>
    <n v="32981.768005371094"/>
    <n v="1.3454583922545282E-6"/>
    <n v="-34782.5"/>
    <n v="11999.970927842194"/>
    <n v="1.3454583922545282E-6"/>
    <n v="11999.970926496735"/>
    <n v="-6.2721583482527876E-9"/>
  </r>
  <r>
    <s v="PvVpgXTKXpLEWqn"/>
    <x v="357"/>
    <n v="12627.603635425214"/>
    <n v="1304.3757486343384"/>
    <n v="-100.9205290832324"/>
    <n v="0"/>
    <n v="33299.986694335938"/>
    <n v="1.2781854650256719E-6"/>
    <n v="-35131"/>
    <n v="12000.045549312257"/>
    <n v="1.2781854650256719E-6"/>
    <n v="12000.045548034072"/>
    <n v="6.2184765108330708E-6"/>
  </r>
  <r>
    <s v="PvVpgXTKXpLEWqn"/>
    <x v="358"/>
    <n v="12662.361490737414"/>
    <n v="1324.5359935760498"/>
    <n v="-66.225956876762211"/>
    <n v="0"/>
    <n v="33593.081115722656"/>
    <n v="1.2142762111366778E-6"/>
    <n v="-35513.800000000003"/>
    <n v="11999.952643159355"/>
    <n v="1.2142762111366778E-6"/>
    <n v="11999.952641945079"/>
    <n v="-7.7421446960102003E-6"/>
  </r>
  <r>
    <s v="PvVpgXTKXpLEWqn"/>
    <x v="359"/>
    <n v="12683.426109807973"/>
    <n v="1359.6571869850159"/>
    <n v="-93.442079902160913"/>
    <n v="0"/>
    <n v="33907.075744628906"/>
    <n v="1.1535623807290563E-6"/>
    <n v="-35856.699999999997"/>
    <n v="12000.016961519737"/>
    <n v="1.1535623807290563E-6"/>
    <n v="12000.016960366174"/>
    <n v="5.3598895775053279E-6"/>
  </r>
  <r>
    <s v="PvVpgXTKXpLEWqn"/>
    <x v="360"/>
    <n v="12733.962569841649"/>
    <n v="1363.1955337524414"/>
    <n v="-86.503649612423033"/>
    <n v="0"/>
    <n v="34216.9736328125"/>
    <n v="1.0958842806552127E-6"/>
    <n v="-36227.599999999999"/>
    <n v="12000.028086794169"/>
    <n v="1.0958842806552127E-6"/>
    <n v="12000.028085698284"/>
    <n v="9.2710969878950777E-7"/>
  </r>
  <r>
    <s v="PvVpgXTKXpLEWqn"/>
    <x v="361"/>
    <n v="12771.295815490244"/>
    <n v="1389.4165325164795"/>
    <n v="-107.69049581000581"/>
    <n v="0"/>
    <n v="34547.633666992188"/>
    <n v="1.0410900666002476E-6"/>
    <n v="-36600.699999999997"/>
    <n v="11999.955519188909"/>
    <n v="1.0410900666002476E-6"/>
    <n v="11999.955518147819"/>
    <n v="-6.0472817186019157E-6"/>
  </r>
  <r>
    <s v="PvVpgXTKXpLEWqn"/>
    <x v="362"/>
    <n v="12813.661308202019"/>
    <n v="1419.2437969744205"/>
    <n v="-133.4133796626702"/>
    <n v="0"/>
    <n v="34901.026184082031"/>
    <n v="9.8903554546225791E-7"/>
    <n v="-37000.5"/>
    <n v="12000.017909595801"/>
    <n v="9.8903554546225791E-7"/>
    <n v="12000.017908606766"/>
    <n v="5.1992241847376164E-6"/>
  </r>
  <r>
    <s v="PvVpgXTKXpLEWqn"/>
    <x v="363"/>
    <n v="12860.362127895736"/>
    <n v="1445.3725382387638"/>
    <n v="-142.52473680721596"/>
    <n v="0"/>
    <n v="35256.614929199219"/>
    <n v="9.3958377744840504E-7"/>
    <n v="-37419.800000000003"/>
    <n v="12000.0248585265"/>
    <n v="9.3958377744840504E-7"/>
    <n v="12000.024857586915"/>
    <n v="5.7908081485535945E-7"/>
  </r>
  <r>
    <s v="PvVpgXTKXpLEWqn"/>
    <x v="364"/>
    <n v="12901.884349779786"/>
    <n v="1470.1253547668457"/>
    <n v="-127.34123145928606"/>
    <n v="0"/>
    <n v="35597.8310546875"/>
    <n v="8.9260460089946037E-7"/>
    <n v="-37842.5"/>
    <n v="11999.999527774846"/>
    <n v="8.9260460089946037E-7"/>
    <n v="11999.99952688224"/>
    <n v="-2.1108876836484214E-6"/>
  </r>
  <r>
    <s v="PvVpgXTKXpLEWqn"/>
    <x v="365"/>
    <n v="12933.919708333771"/>
    <n v="1502.9117480665445"/>
    <n v="-118.52454979578033"/>
    <n v="0"/>
    <n v="35941.218872070313"/>
    <n v="8.4797437294170663E-7"/>
    <n v="-38259.5"/>
    <n v="12000.025778674848"/>
    <n v="8.4797437294170663E-7"/>
    <n v="12000.025777826873"/>
    <n v="2.1875788056568979E-6"/>
  </r>
  <r>
    <s v="PvVpgXTKXpLEWqn"/>
    <x v="366"/>
    <n v="12972.741262640928"/>
    <n v="1520.4828022047877"/>
    <n v="-91.712733144406229"/>
    <n v="0"/>
    <n v="36249.628540039063"/>
    <n v="8.0557565196315295E-7"/>
    <n v="-38651.1"/>
    <n v="12000.039871740373"/>
    <n v="8.0557565196315295E-7"/>
    <n v="12000.039870934797"/>
    <n v="1.1744231374066771E-6"/>
  </r>
  <r>
    <s v="PvVpgXTKXpLEWqn"/>
    <x v="367"/>
    <n v="13011.255357333204"/>
    <n v="1555.5574558340013"/>
    <n v="-197.84181621531025"/>
    <n v="0"/>
    <n v="36646.755859375"/>
    <n v="7.6529684012172083E-7"/>
    <n v="-39015.699999999997"/>
    <n v="12000.026856326898"/>
    <n v="7.6529684012172083E-7"/>
    <n v="12000.026855561602"/>
    <n v="-1.0846108292605905E-6"/>
  </r>
  <r>
    <s v="PvVpgXTKXpLEWqn"/>
    <x v="368"/>
    <n v="13054.759285537177"/>
    <n v="1556.8723645061255"/>
    <n v="-67.033831109758466"/>
    <n v="0"/>
    <n v="36935.428039550781"/>
    <n v="7.270320245833517E-7"/>
    <n v="-39480"/>
    <n v="12000.025858484325"/>
    <n v="7.270320245833517E-7"/>
    <n v="12000.025857757293"/>
    <n v="-8.3150172969226332E-8"/>
  </r>
  <r>
    <s v="PvVpgXTKXpLEWqn"/>
    <x v="369"/>
    <n v="13098.084726821748"/>
    <n v="1553.229237370193"/>
    <n v="-43.288967833388597"/>
    <n v="0"/>
    <n v="37204.211547851563"/>
    <n v="6.9068041397279956E-7"/>
    <n v="-39812.199999999997"/>
    <n v="12000.036544210117"/>
    <n v="6.9068041397279956E-7"/>
    <n v="12000.036543519436"/>
    <n v="8.9047825979626793E-7"/>
  </r>
  <r>
    <s v="PvVpgXTKXpLEWqn"/>
    <x v="370"/>
    <n v="13129.41581324616"/>
    <n v="1582.53509311378"/>
    <n v="-143.58225348312408"/>
    <n v="0"/>
    <n v="37579.620239257813"/>
    <n v="6.5614638389277502E-7"/>
    <n v="-40148"/>
    <n v="11999.988892134628"/>
    <n v="6.5614638389277502E-7"/>
    <n v="11999.988891478482"/>
    <n v="-3.9709913199903468E-6"/>
  </r>
  <r>
    <s v="PvVpgXTKXpLEWqn"/>
    <x v="371"/>
    <n v="13173.977113772824"/>
    <n v="1590.0110872164369"/>
    <n v="-81.857939417008311"/>
    <n v="0"/>
    <n v="37888.637390136719"/>
    <n v="6.2333909012224353E-7"/>
    <n v="-40570.800000000003"/>
    <n v="11999.967651708968"/>
    <n v="6.2333909012224353E-7"/>
    <n v="11999.96765108563"/>
    <n v="-1.7700343762916404E-6"/>
  </r>
  <r>
    <s v="PvVpgXTKXpLEWqn"/>
    <x v="372"/>
    <n v="13195.128311493609"/>
    <n v="1617.5585573092103"/>
    <n v="-62.966354392934591"/>
    <n v="0"/>
    <n v="38188.907775878906"/>
    <n v="5.9217212533546615E-7"/>
    <n v="-40938.6"/>
    <n v="12000.028290288792"/>
    <n v="5.9217212533546615E-7"/>
    <n v="12000.02828969662"/>
    <n v="5.0532312048101602E-6"/>
  </r>
  <r>
    <s v="PvVpgXTKXpLEWqn"/>
    <x v="373"/>
    <n v="13223.665024276299"/>
    <n v="1645.1169444900006"/>
    <n v="-102.4475226434879"/>
    <n v="0"/>
    <n v="38542.962463378906"/>
    <n v="5.6256352132244558E-7"/>
    <n v="-41309.300000000003"/>
    <n v="11999.996909501715"/>
    <n v="5.6256352132244558E-7"/>
    <n v="11999.996908939151"/>
    <n v="-2.6150569575333904E-6"/>
  </r>
  <r>
    <s v="PvVpgXTKXpLEWqn"/>
    <x v="374"/>
    <n v="13267.211858665047"/>
    <n v="1651.0142642837018"/>
    <n v="-71.395660482812673"/>
    <n v="0"/>
    <n v="38869.421813964844"/>
    <n v="5.3443532377350778E-7"/>
    <n v="-41716.300000000003"/>
    <n v="11999.952276430777"/>
    <n v="5.3443532377350778E-7"/>
    <n v="11999.952275896341"/>
    <n v="-3.7194211921498521E-6"/>
  </r>
  <r>
    <s v="PvVpgXTKXpLEWqn"/>
    <x v="375"/>
    <n v="13296.932607498253"/>
    <n v="1666.5022711828351"/>
    <n v="-18.536800411529839"/>
    <n v="0"/>
    <n v="39153.428466796875"/>
    <n v="5.0771357607004575E-7"/>
    <n v="-42098.3"/>
    <n v="12000.02654506643"/>
    <n v="5.0771357607004575E-7"/>
    <n v="12000.026544558717"/>
    <n v="6.189079811980136E-6"/>
  </r>
  <r>
    <s v="PvVpgXTKXpLEWqn"/>
    <x v="376"/>
    <n v="13336.671521756682"/>
    <n v="1705.5513122808188"/>
    <n v="-171.30447276635095"/>
    <n v="0"/>
    <n v="39567.670166015625"/>
    <n v="4.8232789806590404E-7"/>
    <n v="-42438.6"/>
    <n v="11999.988527286776"/>
    <n v="4.8232789806590404E-7"/>
    <n v="11999.988526804447"/>
    <n v="-3.1681391811089199E-6"/>
  </r>
  <r>
    <s v="PvVpgXTKXpLEWqn"/>
    <x v="377"/>
    <n v="13372.528845531633"/>
    <n v="1722.1185628063977"/>
    <n v="-63.320102692116052"/>
    <n v="0"/>
    <n v="39887.228759765625"/>
    <n v="4.5821149807778738E-7"/>
    <n v="-42918.6"/>
    <n v="11999.956065411541"/>
    <n v="4.5821149807778738E-7"/>
    <n v="11999.95606495333"/>
    <n v="-2.7051568460834119E-6"/>
  </r>
  <r>
    <s v="PvVpgXTKXpLEWqn"/>
    <x v="378"/>
    <n v="13411.076053194127"/>
    <n v="1752.2244120426476"/>
    <n v="-153.35659764427692"/>
    <n v="0"/>
    <n v="40260.408020019531"/>
    <n v="4.3530092153076794E-7"/>
    <n v="-43270.400000000001"/>
    <n v="11999.951887612027"/>
    <n v="4.3530092153076794E-7"/>
    <n v="11999.951887176727"/>
    <n v="-3.4814932492466255E-7"/>
  </r>
  <r>
    <s v="PvVpgXTKXpLEWqn"/>
    <x v="379"/>
    <n v="13457.530198505672"/>
    <n v="1775.8108505010605"/>
    <n v="-186.91589942807332"/>
    <n v="0"/>
    <n v="40661.070190429688"/>
    <n v="4.1353587754144883E-7"/>
    <n v="-43707.5"/>
    <n v="11999.995340008347"/>
    <n v="4.1353587754144883E-7"/>
    <n v="11999.995339594811"/>
    <n v="3.6210493585819847E-6"/>
  </r>
  <r>
    <s v="PvVpgXTKXpLEWqn"/>
    <x v="380"/>
    <n v="13483.523383343534"/>
    <n v="1820.6812958419323"/>
    <n v="-195.41735802683979"/>
    <n v="0"/>
    <n v="41078.647888183594"/>
    <n v="3.9285909081421266E-7"/>
    <n v="-44187.4"/>
    <n v="12000.035209342219"/>
    <n v="3.9285909081421266E-7"/>
    <n v="12000.035208949359"/>
    <n v="3.3224475026738531E-6"/>
  </r>
  <r>
    <s v="PvVpgXTKXpLEWqn"/>
    <x v="381"/>
    <n v="13519.305803990108"/>
    <n v="1831.5569887161255"/>
    <n v="-61.149879975710064"/>
    <n v="0"/>
    <n v="41390.356323242188"/>
    <n v="3.7321613044483115E-7"/>
    <n v="-44680.1"/>
    <n v="11999.969235972712"/>
    <n v="3.7321613044483115E-7"/>
    <n v="11999.969235599496"/>
    <n v="-5.4977630243868703E-6"/>
  </r>
  <r>
    <s v="PvVpgXTKXpLEWqn"/>
    <x v="382"/>
    <n v="13565.606989298656"/>
    <n v="1859.9201049804688"/>
    <n v="-174.32145041879267"/>
    <n v="0"/>
    <n v="41789.655639648438"/>
    <n v="3.5455531532946338E-7"/>
    <n v="-45040.9"/>
    <n v="11999.961283508768"/>
    <n v="3.5455531532946338E-7"/>
    <n v="11999.961283154213"/>
    <n v="-6.6270547260938173E-7"/>
  </r>
  <r>
    <s v="PvVpgXTKXpLEWqn"/>
    <x v="383"/>
    <n v="13589.071956884523"/>
    <n v="1908.5536823272705"/>
    <n v="-195.8541973377578"/>
    <n v="0"/>
    <n v="42212.863830566406"/>
    <n v="3.3682755073982662E-7"/>
    <n v="-45514.6"/>
    <n v="12000.035272440444"/>
    <n v="3.3682755073982662E-7"/>
    <n v="12000.035272103616"/>
    <n v="6.1657656769131819E-6"/>
  </r>
  <r>
    <s v="PvVpgXTKXpLEWqn"/>
    <x v="384"/>
    <n v="13638.521288162621"/>
    <n v="1908.4035158157349"/>
    <n v="-70.584578166250139"/>
    <n v="0"/>
    <n v="42533.790344238281"/>
    <n v="3.1998618044148941E-7"/>
    <n v="-46010.1"/>
    <n v="12000.030570050389"/>
    <n v="3.1998618044148941E-7"/>
    <n v="12000.030569730403"/>
    <n v="-3.9186328260054637E-7"/>
  </r>
  <r>
    <s v="PvVpgXTKXpLEWqn"/>
    <x v="385"/>
    <n v="13682.765631549526"/>
    <n v="1922.3386535644531"/>
    <n v="-105.25084564834833"/>
    <n v="0"/>
    <n v="42909.283020019531"/>
    <n v="3.0398687211885544E-7"/>
    <n v="-46409.1"/>
    <n v="12000.036459485164"/>
    <n v="3.0398687211885544E-7"/>
    <n v="12000.036459181176"/>
    <n v="4.9078631403354223E-7"/>
  </r>
  <r>
    <s v="PvVpgXTKXpLEWqn"/>
    <x v="386"/>
    <n v="13721.391472154937"/>
    <n v="1931.8978958129883"/>
    <n v="-58.457303038332611"/>
    <n v="0"/>
    <n v="43251.962585449219"/>
    <n v="2.8878752666994245E-7"/>
    <n v="-46846.8"/>
    <n v="11999.994650378809"/>
    <n v="2.8878752666994245E-7"/>
    <n v="11999.994650090021"/>
    <n v="-3.4840803440072676E-6"/>
  </r>
  <r>
    <s v="PvVpgXTKXpLEWqn"/>
    <x v="387"/>
    <n v="13756.870101764041"/>
    <n v="1958.3668155670166"/>
    <n v="-119.80520528787747"/>
    <n v="0"/>
    <n v="43646.085388183594"/>
    <n v="2.7434815474958185E-7"/>
    <n v="-47241.5"/>
    <n v="12000.017100226774"/>
    <n v="2.7434815474958185E-7"/>
    <n v="12000.017099952427"/>
    <n v="1.8708227011998702E-6"/>
  </r>
  <r>
    <s v="PvVpgXTKXpLEWqn"/>
    <x v="388"/>
    <n v="13790.865504470188"/>
    <n v="1980.1882699746639"/>
    <n v="-94.260681126732379"/>
    <n v="0"/>
    <n v="44005.947998046875"/>
    <n v="2.6063074509696804E-7"/>
    <n v="-47682.7"/>
    <n v="12000.041091364998"/>
    <n v="2.6063074509696804E-7"/>
    <n v="12000.041091104367"/>
    <n v="1.9992598128126815E-6"/>
  </r>
  <r>
    <s v="PvVpgXTKXpLEWqn"/>
    <x v="389"/>
    <n v="13848.507214838639"/>
    <n v="1989.6380265969783"/>
    <n v="-136.20447717327625"/>
    <n v="0"/>
    <n v="44390.315246582031"/>
    <n v="2.4759921035677479E-7"/>
    <n v="-48092.3"/>
    <n v="11999.956010844369"/>
    <n v="2.4759921035677479E-7"/>
    <n v="11999.95601059677"/>
    <n v="-7.0900180216826314E-6"/>
  </r>
  <r>
    <s v="PvVpgXTKXpLEWqn"/>
    <x v="390"/>
    <n v="13880.201725731487"/>
    <n v="2034.3408513758332"/>
    <n v="-188.15972676733509"/>
    <n v="0"/>
    <n v="44801.190063476563"/>
    <n v="2.3521924508163039E-7"/>
    <n v="-48527.6"/>
    <n v="11999.972913816549"/>
    <n v="2.3521924508163039E-7"/>
    <n v="11999.97291358133"/>
    <n v="1.4085872102054253E-6"/>
  </r>
  <r>
    <s v="PvVpgXTKXpLEWqn"/>
    <x v="391"/>
    <n v="13920.321788446628"/>
    <n v="2066.1418260205537"/>
    <n v="-157.19403496058658"/>
    <n v="0"/>
    <n v="45200.25048828125"/>
    <n v="2.2345827577208155E-7"/>
    <n v="-49029.5"/>
    <n v="12000.020067787846"/>
    <n v="2.2345827577208155E-7"/>
    <n v="12000.020067564388"/>
    <n v="3.9295074578671318E-6"/>
  </r>
  <r>
    <s v="PvVpgXTKXpLEWqn"/>
    <x v="392"/>
    <n v="13970.74806375074"/>
    <n v="2096.3813736606389"/>
    <n v="-217.10561878466979"/>
    <n v="0"/>
    <n v="45647.433532714844"/>
    <n v="2.1228537205875142E-7"/>
    <n v="-49497.5"/>
    <n v="11999.957351341553"/>
    <n v="2.1228537205875142E-7"/>
    <n v="11999.957351129267"/>
    <n v="-5.2263608534275363E-6"/>
  </r>
  <r>
    <s v="PvVpgXTKXpLEWqn"/>
    <x v="393"/>
    <n v="13999.211621683877"/>
    <n v="2135.7644169498235"/>
    <n v="-127.2430995889008"/>
    <n v="0"/>
    <n v="46039.488952636719"/>
    <n v="2.0167110470481475E-7"/>
    <n v="-50047.199999999997"/>
    <n v="12000.021891681521"/>
    <n v="2.0167110470481475E-7"/>
    <n v="12000.02189147985"/>
    <n v="5.3783816635899484E-6"/>
  </r>
  <r>
    <s v="PvVpgXTKXpLEWqn"/>
    <x v="394"/>
    <n v="14055.571381052498"/>
    <n v="2161.2813244685531"/>
    <n v="-184.74621682846919"/>
    <n v="0"/>
    <n v="46469.686828613281"/>
    <n v="1.9158754838155545E-7"/>
    <n v="-50501.8"/>
    <n v="11999.99331730586"/>
    <n v="1.9158754838155545E-7"/>
    <n v="11999.993317114273"/>
    <n v="-2.3811927873929051E-6"/>
  </r>
  <r>
    <s v="PvVpgXTKXpLEWqn"/>
    <x v="395"/>
    <n v="14086.202737866894"/>
    <n v="2207.9521008357406"/>
    <n v="-191.98806555767078"/>
    <n v="0"/>
    <n v="46893.046447753906"/>
    <n v="1.8200816981339685E-7"/>
    <n v="-50995.199999999997"/>
    <n v="12000.013220898873"/>
    <n v="1.8200816981339685E-7"/>
    <n v="12000.013220716864"/>
    <n v="1.6586344731006619E-6"/>
  </r>
  <r>
    <s v="PvVpgXTKXpLEWqn"/>
    <x v="396"/>
    <n v="14134.483045330737"/>
    <n v="2258.5299397334456"/>
    <n v="-322.84292475017719"/>
    <n v="0"/>
    <n v="47400.843627929688"/>
    <n v="1.7290775528033819E-7"/>
    <n v="-51471"/>
    <n v="12000.013688243693"/>
    <n v="1.7290775528033819E-7"/>
    <n v="12000.013688070785"/>
    <n v="3.8946117220106657E-8"/>
  </r>
  <r>
    <s v="PvVpgXTKXpLEWqn"/>
    <x v="397"/>
    <n v="14202.715678292327"/>
    <n v="2251.2504491750151"/>
    <n v="-98.355717260856181"/>
    <n v="0"/>
    <n v="47720.715637207031"/>
    <n v="1.6426237359201679E-7"/>
    <n v="-52076.3"/>
    <n v="12000.026047413514"/>
    <n v="1.6426237359201679E-7"/>
    <n v="12000.026047249252"/>
    <n v="1.0299303641048141E-6"/>
  </r>
  <r>
    <s v="PvVpgXTKXpLEWqn"/>
    <x v="398"/>
    <n v="14267.042482218007"/>
    <n v="2305.7190594915301"/>
    <n v="-378.51679702778347"/>
    <n v="0"/>
    <n v="48303.560974121094"/>
    <n v="1.5604925507339829E-7"/>
    <n v="-52497.8"/>
    <n v="12000.005718802844"/>
    <n v="1.5604925507339829E-7"/>
    <n v="12000.005718646795"/>
    <n v="-1.6940465276116257E-6"/>
  </r>
  <r>
    <s v="PvVpgXTKXpLEWqn"/>
    <x v="399"/>
    <n v="14327.961215526972"/>
    <n v="2299.1996108293533"/>
    <n v="-117.0188364055939"/>
    <n v="0"/>
    <n v="48632.201416015625"/>
    <n v="1.4824678601366159E-7"/>
    <n v="-53142.3"/>
    <n v="12000.043405966353"/>
    <n v="1.4824678601366159E-7"/>
    <n v="12000.043405818105"/>
    <n v="3.1405961125052784E-6"/>
  </r>
  <r>
    <s v="PvVpgXTKXpLEWqn"/>
    <x v="400"/>
    <n v="14354.739171477035"/>
    <n v="2362.0715018510818"/>
    <n v="-311.63476971071213"/>
    <n v="0"/>
    <n v="49147.151977539063"/>
    <n v="1.408344525999361E-7"/>
    <n v="-53552.3"/>
    <n v="12000.027881156464"/>
    <n v="1.408344525999361E-7"/>
    <n v="12000.027881015629"/>
    <n v="-1.2937288601522212E-6"/>
  </r>
  <r>
    <s v="PvVpgXTKXpLEWqn"/>
    <x v="401"/>
    <n v="14395.852104212274"/>
    <n v="2378.5180598497391"/>
    <n v="-125.63034632522613"/>
    <n v="0"/>
    <n v="49534.537048339844"/>
    <n v="1.3379273189340068E-7"/>
    <n v="-54183.3"/>
    <n v="11999.976866076628"/>
    <n v="1.3379273189340068E-7"/>
    <n v="11999.976865942836"/>
    <n v="-4.2512461886357045E-6"/>
  </r>
  <r>
    <s v="PvVpgXTKXpLEWqn"/>
    <x v="402"/>
    <n v="14454.181829923997"/>
    <n v="2351.8144495040178"/>
    <n v="-11.024742127861828"/>
    <n v="0"/>
    <n v="49832.4453125"/>
    <n v="1.2710309416075205E-7"/>
    <n v="-54627.4"/>
    <n v="12000.016849800151"/>
    <n v="1.2710309416075205E-7"/>
    <n v="12000.016849673048"/>
    <n v="3.3319839412015995E-6"/>
  </r>
  <r>
    <s v="PvVpgXTKXpLEWqn"/>
    <x v="403"/>
    <n v="14514.211511910311"/>
    <n v="2370.1202871352434"/>
    <n v="-221.12194720702246"/>
    <n v="0"/>
    <n v="50305.253540039063"/>
    <n v="1.2074793803718009E-7"/>
    <n v="-54968.5"/>
    <n v="11999.963391877594"/>
    <n v="1.2074793803718009E-7"/>
    <n v="11999.963391756846"/>
    <n v="-4.454820094923484E-6"/>
  </r>
  <r>
    <s v="PvVpgXTKXpLEWqn"/>
    <x v="404"/>
    <n v="14568.871962944861"/>
    <n v="2377.078067779541"/>
    <n v="-137.2705189534463"/>
    <n v="0"/>
    <n v="50687.644226074219"/>
    <n v="1.1471054245371093E-7"/>
    <n v="-55496.3"/>
    <n v="12000.023737845171"/>
    <n v="1.1471054245371093E-7"/>
    <n v="12000.02373773046"/>
    <n v="5.0288464759074003E-6"/>
  </r>
  <r>
    <s v="PvVpgXTKXpLEWqn"/>
    <x v="405"/>
    <n v="14621.567196410266"/>
    <n v="2396.8306427001953"/>
    <n v="-188.07072798488662"/>
    <n v="0"/>
    <n v="51105.452270507813"/>
    <n v="1.0897501334650173E-7"/>
    <n v="-55935.8"/>
    <n v="11999.979381633384"/>
    <n v="1.0897501334650173E-7"/>
    <n v="11999.979381524408"/>
    <n v="-3.696343192416407E-6"/>
  </r>
  <r>
    <s v="PvVpgXTKXpLEWqn"/>
    <x v="406"/>
    <n v="14666.023881410016"/>
    <n v="2437.3204689025879"/>
    <n v="-232.83621349511668"/>
    <n v="0"/>
    <n v="51571.369079589844"/>
    <n v="1.0352626506060503E-7"/>
    <n v="-56441.9"/>
    <n v="11999.977216407329"/>
    <n v="1.0352626506060503E-7"/>
    <n v="11999.977216303803"/>
    <n v="-1.804353604306641E-7"/>
  </r>
  <r>
    <s v="PvVpgXTKXpLEWqn"/>
    <x v="407"/>
    <n v="14701.035035416251"/>
    <n v="2451.8401260375977"/>
    <n v="-58.586306151002645"/>
    <n v="0"/>
    <n v="51898.795288085938"/>
    <n v="9.8349950738985115E-8"/>
    <n v="-56993.1"/>
    <n v="11999.984143388785"/>
    <n v="9.8349950738985115E-8"/>
    <n v="11999.984143290436"/>
    <n v="5.772499820366761E-7"/>
  </r>
  <r>
    <s v="PvVpgXTKXpLEWqn"/>
    <x v="408"/>
    <n v="14736.639925692463"/>
    <n v="2462.5160074234009"/>
    <n v="-31.269366836437257"/>
    <n v="0"/>
    <n v="52235.750671386719"/>
    <n v="9.3432451886421575E-8"/>
    <n v="-57403.6"/>
    <n v="12000.037237666147"/>
    <n v="9.3432451886421575E-8"/>
    <n v="12000.037237572715"/>
    <n v="4.4245293697731114E-6"/>
  </r>
  <r>
    <s v="PvVpgXTKXpLEWqn"/>
    <x v="409"/>
    <n v="14794.650569536665"/>
    <n v="2469.8329610824585"/>
    <n v="-150.84854638157412"/>
    <n v="0"/>
    <n v="52679.179138183594"/>
    <n v="8.8760829436429489E-8"/>
    <n v="-57792.800000000003"/>
    <n v="12000.01412242114"/>
    <n v="8.8760829436429489E-8"/>
    <n v="12000.014122332379"/>
    <n v="-1.9262640504891237E-6"/>
  </r>
  <r>
    <s v="PvVpgXTKXpLEWqn"/>
    <x v="410"/>
    <n v="14814.49379773243"/>
    <n v="2493.9545430541039"/>
    <n v="-22.849993581417948"/>
    <n v="0"/>
    <n v="53023.48193359375"/>
    <n v="8.4322787641255559E-8"/>
    <n v="-58309.1"/>
    <n v="11999.980280798867"/>
    <n v="8.4322787641255559E-8"/>
    <n v="11999.980280714544"/>
    <n v="-2.8201315006581851E-6"/>
  </r>
  <r>
    <s v="PvVpgXTKXpLEWqn"/>
    <x v="411"/>
    <n v="14841.843053375895"/>
    <n v="2508.9119667112827"/>
    <n v="-3.4171918388456106"/>
    <n v="0"/>
    <n v="53340.192687988281"/>
    <n v="8.0106649313904654E-8"/>
    <n v="-58687.5"/>
    <n v="12000.030516236613"/>
    <n v="8.0106649313904654E-8"/>
    <n v="12000.030516156507"/>
    <n v="4.1862937094627739E-6"/>
  </r>
  <r>
    <s v="PvVpgXTKXpLEWqn"/>
    <x v="412"/>
    <n v="14878.33931921568"/>
    <n v="2555.4406837522984"/>
    <n v="-214.80458026984707"/>
    <n v="0"/>
    <n v="53816.249267578125"/>
    <n v="7.6101315499288447E-8"/>
    <n v="-59035.199999999997"/>
    <n v="12000.024690276259"/>
    <n v="7.6101315499288447E-8"/>
    <n v="12000.024690200158"/>
    <n v="-4.8549512776663306E-7"/>
  </r>
  <r>
    <s v="PvVpgXTKXpLEWqn"/>
    <x v="413"/>
    <n v="14922.151029369859"/>
    <n v="2591.0859160795808"/>
    <n v="-162.54966865899041"/>
    <n v="0"/>
    <n v="54252.22314453125"/>
    <n v="7.2296251568682024E-8"/>
    <n v="-59602.9"/>
    <n v="12000.010421321691"/>
    <n v="7.2296251568682024E-8"/>
    <n v="12000.010421249395"/>
    <n v="-1.189076783703058E-6"/>
  </r>
  <r>
    <s v="PvVpgXTKXpLEWqn"/>
    <x v="414"/>
    <n v="14979.765973257454"/>
    <n v="2653.320295792073"/>
    <n v="-405.90478117065504"/>
    <n v="0"/>
    <n v="54865.006713867188"/>
    <n v="6.8681438564199837E-8"/>
    <n v="-60092.2"/>
    <n v="11999.988201746062"/>
    <n v="6.8681438564199837E-8"/>
    <n v="11999.988201677381"/>
    <n v="-1.8516293931458705E-6"/>
  </r>
  <r>
    <s v="PvVpgXTKXpLEWqn"/>
    <x v="415"/>
    <n v="15007.065186752938"/>
    <n v="2697.9692673496902"/>
    <n v="-183.71924924757332"/>
    <n v="0"/>
    <n v="55291.439514160156"/>
    <n v="6.5247365454990103E-8"/>
    <n v="-60812.800000000003"/>
    <n v="11999.954719015208"/>
    <n v="6.5247365454990103E-8"/>
    <n v="11999.954718949961"/>
    <n v="-2.7902300283599857E-6"/>
  </r>
  <r>
    <s v="PvVpgXTKXpLEWqn"/>
    <x v="416"/>
    <n v="15081.150405544031"/>
    <n v="2717.4095148853958"/>
    <n v="-247.41015185869765"/>
    <n v="0"/>
    <n v="55796.495300292969"/>
    <n v="6.198499807874569E-8"/>
    <n v="-61347.6"/>
    <n v="12000.045068863699"/>
    <n v="6.198499807874569E-8"/>
    <n v="12000.045068801714"/>
    <n v="7.5291827235091091E-6"/>
  </r>
  <r>
    <s v="PvVpgXTKXpLEWqn"/>
    <x v="417"/>
    <n v="15114.891647149008"/>
    <n v="2770.8274920061231"/>
    <n v="-190.04271506378427"/>
    <n v="0"/>
    <n v="56253.818908691406"/>
    <n v="5.8885747611370221E-8"/>
    <n v="-61949.5"/>
    <n v="11999.995332782753"/>
    <n v="5.8885747611370221E-8"/>
    <n v="11999.995332723867"/>
    <n v="-4.1446575875792036E-6"/>
  </r>
  <r>
    <s v="PvVpgXTKXpLEWqn"/>
    <x v="418"/>
    <n v="15185.634380777272"/>
    <n v="2819.8644764050841"/>
    <n v="-375.17932602507062"/>
    <n v="0"/>
    <n v="56873.682434082031"/>
    <n v="5.5941460769259876E-8"/>
    <n v="-62504"/>
    <n v="12000.001965239324"/>
    <n v="5.5941460769259876E-8"/>
    <n v="12000.001965183383"/>
    <n v="5.5270517451688761E-7"/>
  </r>
  <r>
    <s v="PvVpgXTKXpLEWqn"/>
    <x v="419"/>
    <n v="15208.922621818405"/>
    <n v="2858.8008357360959"/>
    <n v="-138.65224841283634"/>
    <n v="0"/>
    <n v="57273.524780273438"/>
    <n v="5.3144388140191623E-8"/>
    <n v="-63202.6"/>
    <n v="11999.995989415103"/>
    <n v="5.3144388140191623E-8"/>
    <n v="11999.99598936196"/>
    <n v="-4.9798503698461616E-7"/>
  </r>
  <r>
    <s v="PvVpgXTKXpLEWqn"/>
    <x v="420"/>
    <n v="15231.677179324266"/>
    <n v="2924.7846537902951"/>
    <n v="-303.14289532089606"/>
    <n v="0"/>
    <n v="57808.668701171875"/>
    <n v="5.0487166725066146E-8"/>
    <n v="-63662"/>
    <n v="11999.98763896554"/>
    <n v="5.0487166725066146E-8"/>
    <n v="11999.987638915052"/>
    <n v="-6.9587080819832892E-7"/>
  </r>
  <r>
    <s v="PvVpgXTKXpLEWqn"/>
    <x v="421"/>
    <n v="15274.938244629535"/>
    <n v="2947.0295871198177"/>
    <n v="-181.62575818318874"/>
    <n v="0"/>
    <n v="58242.573486328125"/>
    <n v="4.7962810306723114E-8"/>
    <n v="-64282.9"/>
    <n v="12000.015559894287"/>
    <n v="4.7962810306723114E-8"/>
    <n v="12000.015559846324"/>
    <n v="2.3267466693344119E-6"/>
  </r>
  <r>
    <s v="PvVpgXTKXpLEWqn"/>
    <x v="422"/>
    <n v="15329.149476710983"/>
    <n v="2958.2960704267025"/>
    <n v="-158.0220169913955"/>
    <n v="0"/>
    <n v="58677.207702636719"/>
    <n v="4.5564668843534051E-8"/>
    <n v="-64806.6"/>
    <n v="12000.031232783011"/>
    <n v="4.5564668843534051E-8"/>
    <n v="12000.031232737447"/>
    <n v="1.3060725667646267E-6"/>
  </r>
  <r>
    <s v="PvVpgXTKXpLEWqn"/>
    <x v="423"/>
    <n v="15385.649912604291"/>
    <n v="2961.7957328259945"/>
    <n v="-83.017400292214006"/>
    <n v="0"/>
    <n v="59071.992553710938"/>
    <n v="4.3286435436051818E-8"/>
    <n v="-65336.4"/>
    <n v="12000.020798849007"/>
    <n v="4.3286435436051818E-8"/>
    <n v="12000.020798805721"/>
    <n v="-8.694920474727752E-7"/>
  </r>
  <r>
    <s v="PvVpgXTKXpLEWqn"/>
    <x v="424"/>
    <n v="15421.892903690488"/>
    <n v="3009.1207191161811"/>
    <n v="-206.07407495146617"/>
    <n v="0"/>
    <n v="59557.837036132813"/>
    <n v="4.1122114130542897E-8"/>
    <n v="-65782.8"/>
    <n v="11999.976583988013"/>
    <n v="4.1122114130542897E-8"/>
    <n v="11999.976583946891"/>
    <n v="-3.684565182959787E-6"/>
  </r>
  <r>
    <s v="PvVpgXTKXpLEWqn"/>
    <x v="425"/>
    <n v="15439.933405752436"/>
    <n v="3069.946310043335"/>
    <n v="-179.41792307654396"/>
    <n v="0"/>
    <n v="60028.22265625"/>
    <n v="3.9066008816757147E-8"/>
    <n v="-66358.7"/>
    <n v="11999.984448969233"/>
    <n v="3.9066008816757147E-8"/>
    <n v="11999.984448930167"/>
    <n v="6.5541655192014048E-7"/>
  </r>
  <r>
    <s v="PvVpgXTKXpLEWqn"/>
    <x v="426"/>
    <n v="15485.376860848162"/>
    <n v="3098.6770057678223"/>
    <n v="-147.57200070284307"/>
    <n v="0"/>
    <n v="60484.668518066406"/>
    <n v="3.7112708253794757E-8"/>
    <n v="-66921.100000000006"/>
    <n v="12000.050383979542"/>
    <n v="3.7112708253794757E-8"/>
    <n v="12000.050383942429"/>
    <n v="5.4945914758075531E-6"/>
  </r>
  <r>
    <s v="PvVpgXTKXpLEWqn"/>
    <x v="427"/>
    <n v="15585.628682840208"/>
    <n v="3097.3267593383789"/>
    <n v="-254.97993998322636"/>
    <n v="0"/>
    <n v="61020.721313476563"/>
    <n v="3.5257072622529861E-8"/>
    <n v="-67448.7"/>
    <n v="11999.996815671926"/>
    <n v="3.5257072622529861E-8"/>
    <n v="11999.996815636669"/>
    <n v="-4.4640067371481962E-6"/>
  </r>
  <r>
    <s v="PvVpgXTKXpLEWqn"/>
    <x v="428"/>
    <n v="15672.926917960125"/>
    <n v="3097.642692565918"/>
    <n v="-203.75585336843506"/>
    <n v="0"/>
    <n v="61515.724548339844"/>
    <n v="3.3494219148222371E-8"/>
    <n v="-68082.5"/>
    <n v="12000.038305497452"/>
    <n v="3.3494219148222371E-8"/>
    <n v="12000.038305463957"/>
    <n v="3.4574865248604425E-6"/>
  </r>
  <r>
    <s v="PvVpgXTKXpLEWqn"/>
    <x v="429"/>
    <n v="15753.339880349755"/>
    <n v="3128.1122010946274"/>
    <n v="-310.85173926549032"/>
    <n v="0"/>
    <n v="62092.490478515625"/>
    <n v="3.1819507834152105E-8"/>
    <n v="-68663.100000000006"/>
    <n v="11999.990820694511"/>
    <n v="3.1819507834152105E-8"/>
    <n v="11999.990820662691"/>
    <n v="-3.9570541406908077E-6"/>
  </r>
  <r>
    <s v="PvVpgXTKXpLEWqn"/>
    <x v="430"/>
    <n v="15804.640861742329"/>
    <n v="3175.6166318655014"/>
    <n v="-279.6246885615401"/>
    <n v="0"/>
    <n v="62633.747314453125"/>
    <n v="3.0228532316156631E-8"/>
    <n v="-69334.399999999994"/>
    <n v="11999.980119499422"/>
    <n v="3.0228532316156631E-8"/>
    <n v="11999.980119469194"/>
    <n v="-8.9176680695413069E-7"/>
  </r>
  <r>
    <s v="PvVpgXTKXpLEWqn"/>
    <x v="431"/>
    <n v="15840.058610332184"/>
    <n v="3236.2946922779083"/>
    <n v="-265.77675042580813"/>
    <n v="0"/>
    <n v="63172.161987304688"/>
    <n v="2.8717106054232389E-8"/>
    <n v="-69982.7"/>
    <n v="12000.038539488974"/>
    <n v="2.8717106054232389E-8"/>
    <n v="12000.038539460258"/>
    <n v="4.8683406541627505E-6"/>
  </r>
  <r>
    <s v="PvVpgXTKXpLEWqn"/>
    <x v="432"/>
    <n v="15882.745826624086"/>
    <n v="3274.8830635547638"/>
    <n v="-212.43237742455676"/>
    <n v="0"/>
    <n v="63644.199401855469"/>
    <n v="2.7281250855604178E-8"/>
    <n v="-70589.399999999994"/>
    <n v="11999.995914609768"/>
    <n v="2.7281250855604178E-8"/>
    <n v="11999.995914582487"/>
    <n v="-3.5520617397422072E-6"/>
  </r>
  <r>
    <s v="PvVpgXTKXpLEWqn"/>
    <x v="433"/>
    <n v="15935.076324366179"/>
    <n v="3324.0071174502373"/>
    <n v="-277.59966985788196"/>
    <n v="0"/>
    <n v="64174.402770996094"/>
    <n v="2.5917188631319199E-8"/>
    <n v="-71155.899999999994"/>
    <n v="11999.986542954633"/>
    <n v="2.5917188631319199E-8"/>
    <n v="11999.986542928717"/>
    <n v="-7.8097141342770016E-7"/>
  </r>
  <r>
    <s v="PvVpgXTKXpLEWqn"/>
    <x v="434"/>
    <n v="15979.444519266341"/>
    <n v="3414.2156764864922"/>
    <n v="-454.74229364702478"/>
    <n v="0"/>
    <n v="64842.347290039063"/>
    <n v="2.4621329183793783E-8"/>
    <n v="-71781.3"/>
    <n v="11999.965192144868"/>
    <n v="2.4621329183793783E-8"/>
    <n v="11999.965192120246"/>
    <n v="-1.7792360345048053E-6"/>
  </r>
  <r>
    <s v="PvVpgXTKXpLEWqn"/>
    <x v="435"/>
    <n v="16048.353834790963"/>
    <n v="3425.6994087100029"/>
    <n v="-181.59305298468098"/>
    <n v="0"/>
    <n v="65290.361145019531"/>
    <n v="2.3390262324229916E-8"/>
    <n v="-72582.8"/>
    <n v="12000.021335535814"/>
    <n v="2.3390262324229916E-8"/>
    <n v="12000.021335512423"/>
    <n v="4.6786295859746474E-6"/>
  </r>
  <r>
    <s v="PvVpgXTKXpLEWqn"/>
    <x v="436"/>
    <n v="16097.486172572098"/>
    <n v="3509.9859153628349"/>
    <n v="-438.27067062398419"/>
    <n v="0"/>
    <n v="65948.750854492188"/>
    <n v="2.2220748963075465E-8"/>
    <n v="-73118"/>
    <n v="11999.952271803137"/>
    <n v="2.2220748963075465E-8"/>
    <n v="11999.952271780916"/>
    <n v="-5.7553007262178824E-6"/>
  </r>
  <r>
    <s v="PvVpgXTKXpLEWqn"/>
    <x v="437"/>
    <n v="16161.480406353146"/>
    <n v="3557.3345474228263"/>
    <n v="-367.83447752101347"/>
    <n v="0"/>
    <n v="66537.121337890625"/>
    <n v="2.1109711964562017E-8"/>
    <n v="-73888.100000000006"/>
    <n v="12000.00181414558"/>
    <n v="2.1109711964562017E-8"/>
    <n v="12000.001814124471"/>
    <n v="4.1285450502748233E-6"/>
  </r>
  <r>
    <s v="PvVpgXTKXpLEWqn"/>
    <x v="438"/>
    <n v="16217.470999714698"/>
    <n v="3595.7228154763579"/>
    <n v="-288.29752513440326"/>
    <n v="0"/>
    <n v="67071.702392578125"/>
    <n v="2.005422559958614E-8"/>
    <n v="-74596.600000000006"/>
    <n v="11999.998682634774"/>
    <n v="2.005422559958614E-8"/>
    <n v="11999.99868261472"/>
    <n v="-2.6095910643508802E-7"/>
  </r>
  <r>
    <s v="PvVpgXTKXpLEWqn"/>
    <x v="439"/>
    <n v="16277.507303408513"/>
    <n v="3621.1963111162186"/>
    <n v="-236.76357908034697"/>
    <n v="0"/>
    <n v="67562.82373046875"/>
    <n v="1.9051514782431056E-8"/>
    <n v="-75224.800000000003"/>
    <n v="11999.96376591314"/>
    <n v="1.9051514782431056E-8"/>
    <n v="11999.963765894088"/>
    <n v="-2.9097270387579144E-6"/>
  </r>
  <r>
    <s v="PvVpgXTKXpLEWqn"/>
    <x v="440"/>
    <n v="16338.584417779535"/>
    <n v="3658.9455367326736"/>
    <n v="-319.62482314789668"/>
    <n v="0"/>
    <n v="68111.535400390625"/>
    <n v="1.80989390696773E-8"/>
    <n v="-75789.399999999994"/>
    <n v="12000.040531754945"/>
    <n v="1.80989390696773E-8"/>
    <n v="12000.040531736846"/>
    <n v="6.3971728794243177E-6"/>
  </r>
  <r>
    <s v="PvVpgXTKXpLEWqn"/>
    <x v="441"/>
    <n v="16389.823101800241"/>
    <n v="3685.1741168797016"/>
    <n v="-215.20234294096008"/>
    <n v="0"/>
    <n v="68579.546752929688"/>
    <n v="1.7193991869168812E-8"/>
    <n v="-76439.3"/>
    <n v="12000.041628668667"/>
    <n v="1.7193991869168812E-8"/>
    <n v="12000.041628651474"/>
    <n v="9.1409243507811766E-8"/>
  </r>
  <r>
    <s v="PvVpgXTKXpLEWqn"/>
    <x v="442"/>
    <n v="16414.22896216833"/>
    <n v="3814.5442124307156"/>
    <n v="-578.97644935874268"/>
    <n v="0"/>
    <n v="69333.844116210938"/>
    <n v="1.6334292571307252E-8"/>
    <n v="-76983.600000000006"/>
    <n v="12000.040841451235"/>
    <n v="1.6334292571307252E-8"/>
    <n v="12000.0408414349"/>
    <n v="-6.5601153509398102E-8"/>
  </r>
  <r>
    <s v="PvVpgXTKXpLEWqn"/>
    <x v="443"/>
    <n v="16454.682322570239"/>
    <n v="3887.0219810307026"/>
    <n v="-390.73965599248186"/>
    <n v="0"/>
    <n v="69946.221435546875"/>
    <n v="1.5517578132173693E-8"/>
    <n v="-77897.2"/>
    <n v="11999.986083155338"/>
    <n v="1.5517578132173693E-8"/>
    <n v="11999.98608313982"/>
    <n v="-4.5631757261688222E-6"/>
  </r>
  <r>
    <s v="PvVpgXTKXpLEWqn"/>
    <x v="444"/>
    <n v="16495.556088269106"/>
    <n v="3928.7417888641357"/>
    <n v="-229.7084995880723"/>
    <n v="0"/>
    <n v="70425.621337890625"/>
    <n v="1.4741698826925553E-8"/>
    <n v="-78620.2"/>
    <n v="12000.010715435797"/>
    <n v="1.4741698826925553E-8"/>
    <n v="12000.010715421056"/>
    <n v="2.0526924835451155E-6"/>
  </r>
  <r>
    <s v="PvVpgXTKXpLEWqn"/>
    <x v="445"/>
    <n v="16564.931896261289"/>
    <n v="3966.8202137947083"/>
    <n v="-319.94959200778976"/>
    <n v="0"/>
    <n v="70989.757446289063"/>
    <n v="1.4004614322382647E-8"/>
    <n v="-79201.600000000006"/>
    <n v="11999.959964337264"/>
    <n v="1.4004614322382647E-8"/>
    <n v="11999.95996432326"/>
    <n v="-4.229254373266933E-6"/>
  </r>
  <r>
    <s v="PvVpgXTKXpLEWqn"/>
    <x v="446"/>
    <n v="16594.352821247128"/>
    <n v="4040.2689191251993"/>
    <n v="-321.23632150981575"/>
    <n v="0"/>
    <n v="71551.412963867188"/>
    <n v="1.3304383199297387E-8"/>
    <n v="-79864.800000000003"/>
    <n v="11999.998382729696"/>
    <n v="1.3304383199297387E-8"/>
    <n v="11999.998382716392"/>
    <n v="3.2015434423549038E-6"/>
  </r>
  <r>
    <s v="PvVpgXTKXpLEWqn"/>
    <x v="447"/>
    <n v="16630.465636213194"/>
    <n v="4119.5963746458292"/>
    <n v="-371.23481548484415"/>
    <n v="0"/>
    <n v="72161.964233398438"/>
    <n v="1.263916420135569E-8"/>
    <n v="-80540.800000000003"/>
    <n v="11999.991428772613"/>
    <n v="1.263916420135569E-8"/>
    <n v="11999.991428759975"/>
    <n v="-5.7949644627353081E-7"/>
  </r>
  <r>
    <s v="PvVpgXTKXpLEWqn"/>
    <x v="448"/>
    <n v="16688.932627075003"/>
    <n v="4144.1595956236124"/>
    <n v="-211.5674855215475"/>
    <n v="0"/>
    <n v="72652.472045898438"/>
    <n v="1.2007206090514089E-8"/>
    <n v="-81274"/>
    <n v="11999.996783075505"/>
    <n v="1.2007206090514089E-8"/>
    <n v="11999.996783063498"/>
    <n v="4.4619227890230206E-7"/>
  </r>
  <r>
    <s v="PvVpgXTKXpLEWqn"/>
    <x v="449"/>
    <n v="16743.069744193723"/>
    <n v="4167.7447968870401"/>
    <n v="-185.15266128722578"/>
    <n v="0"/>
    <n v="73120.655883789063"/>
    <n v="1.1406845627781603E-8"/>
    <n v="-81846.3"/>
    <n v="12000.017763582597"/>
    <n v="1.1406845627781603E-8"/>
    <n v="12000.01776357119"/>
    <n v="1.7483761096670491E-6"/>
  </r>
  <r>
    <s v="PvVpgXTKXpLEWqn"/>
    <x v="450"/>
    <n v="16807.212034604512"/>
    <n v="4259.426611110568"/>
    <n v="-541.72200396191329"/>
    <n v="0"/>
    <n v="73876.031127929688"/>
    <n v="1.0836503493150131E-8"/>
    <n v="-82400.899999999994"/>
    <n v="12000.04776968286"/>
    <n v="1.0836503493150131E-8"/>
    <n v="12000.047769672025"/>
    <n v="2.500504701297146E-6"/>
  </r>
  <r>
    <s v="PvVpgXTKXpLEWqn"/>
    <x v="451"/>
    <n v="16893.714862354798"/>
    <n v="4276.3943167179823"/>
    <n v="-303.67660570796579"/>
    <n v="0"/>
    <n v="74428.12548828125"/>
    <n v="1.0294678217531716E-8"/>
    <n v="-83294.600000000006"/>
    <n v="11999.958061646059"/>
    <n v="1.0294678217531716E-8"/>
    <n v="11999.958061635763"/>
    <n v="-7.4756399293107734E-6"/>
  </r>
  <r>
    <s v="PvVpgXTKXpLEWqn"/>
    <x v="452"/>
    <n v="16957.586229182096"/>
    <n v="4350.6874904632568"/>
    <n v="-485.49946534633636"/>
    <n v="0"/>
    <n v="75122.451416015625"/>
    <n v="9.7799444619128817E-9"/>
    <n v="-83945.2"/>
    <n v="12000.025670314644"/>
    <n v="9.7799444619128817E-9"/>
    <n v="12000.025670304864"/>
    <n v="5.6340754486239319E-6"/>
  </r>
  <r>
    <s v="PvVpgXTKXpLEWqn"/>
    <x v="453"/>
    <n v="17044.631442774684"/>
    <n v="4402.2961082458496"/>
    <n v="-508.52152511384338"/>
    <n v="0"/>
    <n v="75813.415771484375"/>
    <n v="9.2909471054170023E-9"/>
    <n v="-84751.8"/>
    <n v="12000.021797391062"/>
    <n v="9.2909471054170023E-9"/>
    <n v="12000.021797381771"/>
    <n v="-3.2274290062694888E-7"/>
  </r>
  <r>
    <s v="PvVpgXTKXpLEWqn"/>
    <x v="454"/>
    <n v="17130.402192420035"/>
    <n v="4416.8704986572266"/>
    <n v="-307.37007991131395"/>
    <n v="0"/>
    <n v="76335.956298828125"/>
    <n v="8.8263996493587182E-9"/>
    <n v="-85575.9"/>
    <n v="11999.958909994079"/>
    <n v="8.8263996493587182E-9"/>
    <n v="11999.958909985253"/>
    <n v="-5.2406068572485864E-6"/>
  </r>
  <r>
    <s v="PvVpgXTKXpLEWqn"/>
    <x v="455"/>
    <n v="17202.376251892361"/>
    <n v="4472.7750587463379"/>
    <n v="-466.28944165538996"/>
    <n v="0"/>
    <n v="76994.080444335938"/>
    <n v="8.385079679207319E-9"/>
    <n v="-86202.9"/>
    <n v="12000.042313319253"/>
    <n v="8.385079679207319E-9"/>
    <n v="12000.042313310867"/>
    <n v="6.9503009334503929E-6"/>
  </r>
  <r>
    <s v="PvVpgXTKXpLEWqn"/>
    <x v="456"/>
    <n v="17292.486983734649"/>
    <n v="4483.6285076141357"/>
    <n v="-317.81319915410131"/>
    <n v="0"/>
    <n v="77523.337280273438"/>
    <n v="7.9658257663706156E-9"/>
    <n v="-86981.6"/>
    <n v="12000.039572468115"/>
    <n v="7.9658257663706156E-9"/>
    <n v="12000.039572460149"/>
    <n v="-2.284034210653374E-7"/>
  </r>
  <r>
    <s v="PvVpgXTKXpLEWqn"/>
    <x v="457"/>
    <n v="17354.351422314299"/>
    <n v="4539.1896057128906"/>
    <n v="-386.59439451992512"/>
    <n v="0"/>
    <n v="78123.1083984375"/>
    <n v="7.5675343665093653E-9"/>
    <n v="-87630.1"/>
    <n v="11999.955031944759"/>
    <n v="7.5675343665093653E-9"/>
    <n v="11999.955031937192"/>
    <n v="-7.045020347429265E-6"/>
  </r>
  <r>
    <s v="PvVpgXTKXpLEWqn"/>
    <x v="458"/>
    <n v="17416.827917280723"/>
    <n v="4608.5483283996582"/>
    <n v="-469.3023791667074"/>
    <n v="0"/>
    <n v="78794.781372070313"/>
    <n v="7.1891577343996538E-9"/>
    <n v="-88350.9"/>
    <n v="11999.955238583992"/>
    <n v="7.1891577343996538E-9"/>
    <n v="11999.955238576804"/>
    <n v="1.7220032288989273E-8"/>
  </r>
  <r>
    <s v="PvVpgXTKXpLEWqn"/>
    <x v="459"/>
    <n v="17481.51683204493"/>
    <n v="4669.14453125"/>
    <n v="-460.14360420685261"/>
    <n v="0"/>
    <n v="79460.548217773438"/>
    <n v="6.8296997883521282E-9"/>
    <n v="-89151.1"/>
    <n v="11999.965976861509"/>
    <n v="6.8296997883521282E-9"/>
    <n v="11999.965976854679"/>
    <n v="8.9485982757153693E-7"/>
  </r>
  <r>
    <s v="PvVpgXTKXpLEWqn"/>
    <x v="460"/>
    <n v="17547.410548402171"/>
    <n v="4685.2834815979004"/>
    <n v="-248.35349041875452"/>
    <n v="0"/>
    <n v="79968.343505859375"/>
    <n v="6.4882149410083745E-9"/>
    <n v="-89952.7"/>
    <n v="11999.984045440695"/>
    <n v="6.4882149410083745E-9"/>
    <n v="11999.984045434207"/>
    <n v="1.5057192297440736E-6"/>
  </r>
  <r>
    <s v="PvVpgXTKXpLEWqn"/>
    <x v="461"/>
    <n v="17582.93505405559"/>
    <n v="4763.6907348632813"/>
    <n v="-400.62165289279073"/>
    <n v="0"/>
    <n v="80591.066284179688"/>
    <n v="6.1638041094769225E-9"/>
    <n v="-90537.1"/>
    <n v="11999.970420205762"/>
    <n v="6.1638041094769225E-9"/>
    <n v="11999.970420199597"/>
    <n v="-1.1354377270622606E-6"/>
  </r>
  <r>
    <s v="PvVpgXTKXpLEWqn"/>
    <x v="462"/>
    <n v="17639.230841877346"/>
    <n v="4819.0575637817383"/>
    <n v="-357.37132161390036"/>
    <n v="0"/>
    <n v="81170.837768554688"/>
    <n v="5.8556137959298038E-9"/>
    <n v="-91271.8"/>
    <n v="11999.954852599869"/>
    <n v="5.8556137959298038E-9"/>
    <n v="11999.954852594014"/>
    <n v="-1.2973036631613866E-6"/>
  </r>
  <r>
    <s v="PvVpgXTKXpLEWqn"/>
    <x v="463"/>
    <n v="17723.75984643877"/>
    <n v="4915.3573112487793"/>
    <n v="-665.94830187316984"/>
    <n v="0"/>
    <n v="82005.13037109375"/>
    <n v="5.5628331455115365E-9"/>
    <n v="-91978.3"/>
    <n v="11999.999226908127"/>
    <n v="5.5628331455115365E-9"/>
    <n v="11999.999226902564"/>
    <n v="3.6978729582859415E-6"/>
  </r>
  <r>
    <s v="PvVpgXTKXpLEWqn"/>
    <x v="464"/>
    <n v="17799.434001362519"/>
    <n v="5012.6649055480957"/>
    <n v="-652.28969111759216"/>
    <n v="0"/>
    <n v="82810.435424804688"/>
    <n v="5.2846914223164676E-9"/>
    <n v="-92970.2"/>
    <n v="12000.044640597713"/>
    <n v="5.2846914223164676E-9"/>
    <n v="12000.044640592429"/>
    <n v="3.7844743991932717E-6"/>
  </r>
  <r>
    <s v="PvVpgXTKXpLEWqn"/>
    <x v="465"/>
    <n v="17856.323397564222"/>
    <n v="5108.0705833435059"/>
    <n v="-570.73858543578535"/>
    <n v="0"/>
    <n v="83542.222778320313"/>
    <n v="5.0204569373296648E-9"/>
    <n v="-93935.9"/>
    <n v="11999.97817379226"/>
    <n v="5.0204569373296648E-9"/>
    <n v="11999.97817378724"/>
    <n v="-5.5388798274602635E-6"/>
  </r>
  <r>
    <s v="PvVpgXTKXpLEWqn"/>
    <x v="466"/>
    <n v="17916.583460416281"/>
    <n v="5225.8670539855957"/>
    <n v="-666.84470152761787"/>
    <n v="0"/>
    <n v="84357.579956054688"/>
    <n v="4.7694342104193099E-9"/>
    <n v="-94833.2"/>
    <n v="11999.985768928949"/>
    <n v="4.7694342104193099E-9"/>
    <n v="11999.98576892418"/>
    <n v="6.3292922947155716E-7"/>
  </r>
  <r>
    <s v="PvVpgXTKXpLEWqn"/>
    <x v="467"/>
    <n v="18017.557557159671"/>
    <n v="5276.3872947692871"/>
    <n v="-546.97557496186346"/>
    <n v="0"/>
    <n v="85090.745849609375"/>
    <n v="4.530962334492461E-9"/>
    <n v="-95837.7"/>
    <n v="12000.015126576473"/>
    <n v="4.530962334492461E-9"/>
    <n v="12000.015126571941"/>
    <n v="2.4464735481899424E-6"/>
  </r>
  <r>
    <s v="PvVpgXTKXpLEWqn"/>
    <x v="468"/>
    <n v="18120.185938123417"/>
    <n v="5362.1585159301758"/>
    <n v="-738.49439306091517"/>
    <n v="0"/>
    <n v="85973.256591796875"/>
    <n v="4.3044143093612375E-9"/>
    <n v="-96717.1"/>
    <n v="12000.00665278954"/>
    <n v="4.3044143093612375E-9"/>
    <n v="12000.006652785236"/>
    <n v="-7.0614800196100447E-7"/>
  </r>
  <r>
    <s v="PvVpgXTKXpLEWqn"/>
    <x v="469"/>
    <n v="18176.252649110487"/>
    <n v="5402.9384002685547"/>
    <n v="-295.21184354624711"/>
    <n v="0"/>
    <n v="86490.5234375"/>
    <n v="4.0891935757653153E-9"/>
    <n v="-97774.5"/>
    <n v="12000.002643332788"/>
    <n v="4.0891935757653153E-9"/>
    <n v="12000.002643328698"/>
    <n v="-3.341211929352994E-7"/>
  </r>
  <r>
    <s v="PvVpgXTKXpLEWqn"/>
    <x v="470"/>
    <n v="18231.577772323049"/>
    <n v="5550.9754333496094"/>
    <n v="-846.32223467901349"/>
    <n v="0"/>
    <n v="87462.727172851563"/>
    <n v="3.8847338991454539E-9"/>
    <n v="-98399"/>
    <n v="11999.958143845201"/>
    <n v="3.8847338991454539E-9"/>
    <n v="11999.958143841315"/>
    <n v="-3.7082897984541674E-6"/>
  </r>
  <r>
    <s v="PvVpgXTKXpLEWqn"/>
    <x v="471"/>
    <n v="18325.604668387026"/>
    <n v="5572.4560852050781"/>
    <n v="-403.82889054808766"/>
    <n v="0"/>
    <n v="88066.49609375"/>
    <n v="3.6904972029738747E-9"/>
    <n v="-99560.7"/>
    <n v="12000.027956794016"/>
    <n v="3.6904972029738747E-9"/>
    <n v="12000.027956790325"/>
    <n v="5.8177660433589296E-6"/>
  </r>
  <r>
    <s v="PvVpgXTKXpLEWqn"/>
    <x v="472"/>
    <n v="18363.108933794243"/>
    <n v="5705.6007766723633"/>
    <n v="-683.41161901783198"/>
    <n v="0"/>
    <n v="88897.753784179688"/>
    <n v="3.5059724064895326E-9"/>
    <n v="-100283"/>
    <n v="12000.051875628458"/>
    <n v="3.5059724064895326E-9"/>
    <n v="12000.051875624953"/>
    <n v="1.9932315753479202E-6"/>
  </r>
  <r>
    <s v="PvVpgXTKXpLEWqn"/>
    <x v="473"/>
    <n v="18412.525830892078"/>
    <n v="5788.6785774230957"/>
    <n v="-491.5545704131946"/>
    <n v="0"/>
    <n v="89586.232543945313"/>
    <n v="3.3306737003829801E-9"/>
    <n v="-101296"/>
    <n v="11999.882381847288"/>
    <n v="3.3306737003829801E-9"/>
    <n v="11999.882381843958"/>
    <n v="-1.4124420690153627E-5"/>
  </r>
  <r>
    <s v="PvVpgXTKXpLEWqn"/>
    <x v="474"/>
    <n v="18465.662905996462"/>
    <n v="5848.8944969177246"/>
    <n v="-408.96801837999374"/>
    <n v="0"/>
    <n v="90195.220336914063"/>
    <n v="3.164139996889026E-9"/>
    <n v="-102101"/>
    <n v="11999.809721448255"/>
    <n v="3.164139996889026E-9"/>
    <n v="11999.80972144509"/>
    <n v="-6.0550925879976347E-6"/>
  </r>
  <r>
    <s v="PvVpgXTKXpLEWqn"/>
    <x v="475"/>
    <n v="18551.230414259859"/>
    <n v="5909.0162124633789"/>
    <n v="-546.68520030984655"/>
    <n v="0"/>
    <n v="90925.016479492188"/>
    <n v="3.0059330233256354E-9"/>
    <n v="-102839"/>
    <n v="11999.577905905579"/>
    <n v="3.0059330233256354E-9"/>
    <n v="11999.577905902572"/>
    <n v="-1.9318268197565658E-5"/>
  </r>
  <r>
    <s v="PvVpgXTKXpLEWqn"/>
    <x v="476"/>
    <n v="18622.223208634765"/>
    <n v="6042.242115020752"/>
    <n v="-846.35969149973243"/>
    <n v="0"/>
    <n v="91897.883911132813"/>
    <n v="2.8556363385057182E-9"/>
    <n v="-103716"/>
    <n v="11999.989543288597"/>
    <n v="2.8556363385057182E-9"/>
    <n v="11999.989543285741"/>
    <n v="3.430432190176802E-5"/>
  </r>
  <r>
    <s v="PvVpgXTKXpLEWqn"/>
    <x v="477"/>
    <n v="18680.482387924887"/>
    <n v="6119.8975257873535"/>
    <n v="-508.01024407055229"/>
    <n v="0"/>
    <n v="92581.179077148438"/>
    <n v="2.7128546084900784E-9"/>
    <n v="-104874"/>
    <n v="11999.548746790126"/>
    <n v="2.7128546084900784E-9"/>
    <n v="11999.548746787414"/>
    <n v="-3.6733073536243666E-5"/>
  </r>
  <r>
    <s v="PvVpgXTKXpLEWqn"/>
    <x v="478"/>
    <n v="18756.294047717325"/>
    <n v="6220.512134552002"/>
    <n v="-724.96085862442851"/>
    <n v="0"/>
    <n v="93449.878051757813"/>
    <n v="2.5772118579861503E-9"/>
    <n v="-105702"/>
    <n v="11999.723375402711"/>
    <n v="2.5772118579861503E-9"/>
    <n v="11999.723375400134"/>
    <n v="1.4552931648204037E-5"/>
  </r>
  <r>
    <s v="PvVpgXTKXpLEWqn"/>
    <x v="479"/>
    <n v="18842.379590819997"/>
    <n v="6271.9410247802734"/>
    <n v="-535.68281903862953"/>
    <n v="0"/>
    <n v="94166.4833984375"/>
    <n v="2.4483512699874366E-9"/>
    <n v="-106745"/>
    <n v="12000.121194999141"/>
    <n v="2.4483512699874366E-9"/>
    <n v="12000.121194996693"/>
    <n v="3.3152397277413925E-5"/>
  </r>
  <r>
    <s v="PvVpgXTKXpLEWqn"/>
    <x v="480"/>
    <n v="18897.285437746756"/>
    <n v="6356.3999176025391"/>
    <n v="-519.62632441800088"/>
    <n v="0"/>
    <n v="94881.633544921875"/>
    <n v="2.3259336809008935E-9"/>
    <n v="-107616"/>
    <n v="11999.692575853172"/>
    <n v="2.3259336809008935E-9"/>
    <n v="11999.692575850846"/>
    <n v="-3.5717901417986475E-5"/>
  </r>
  <r>
    <s v="PvVpgXTKXpLEWqn"/>
    <x v="481"/>
    <n v="18953.503378564725"/>
    <n v="6433.9871673583984"/>
    <n v="-481.89986747782677"/>
    <n v="0"/>
    <n v="95568.167358398438"/>
    <n v="2.2096369916083103E-9"/>
    <n v="-108474"/>
    <n v="11999.758036843734"/>
    <n v="2.2096369916083103E-9"/>
    <n v="11999.758036841524"/>
    <n v="5.455222312100716E-6"/>
  </r>
  <r>
    <s v="PvVpgXTKXpLEWqn"/>
    <x v="482"/>
    <n v="19001.644579535845"/>
    <n v="6592.5739822387695"/>
    <n v="-846.00931149348617"/>
    <n v="0"/>
    <n v="96562.521118164063"/>
    <n v="2.0991551665308639E-9"/>
    <n v="-109311"/>
    <n v="11999.730368445191"/>
    <n v="2.0991551665308639E-9"/>
    <n v="11999.730368443092"/>
    <n v="-2.3057463615083762E-6"/>
  </r>
  <r>
    <s v="PvVpgXTKXpLEWqn"/>
    <x v="483"/>
    <n v="19075.694040056755"/>
    <n v="6679.6393432617188"/>
    <n v="-611.94007504009642"/>
    <n v="0"/>
    <n v="97359.305053710938"/>
    <n v="1.9941973740736363E-9"/>
    <n v="-110503"/>
    <n v="11999.698361989314"/>
    <n v="1.9941973740736363E-9"/>
    <n v="11999.698361987321"/>
    <n v="-2.6672645790926097E-6"/>
  </r>
  <r>
    <s v="PvVpgXTKXpLEWqn"/>
    <x v="484"/>
    <n v="19155.217972307379"/>
    <n v="6720.869441986084"/>
    <n v="-402.44175555836409"/>
    <n v="0"/>
    <n v="97978.642822265625"/>
    <n v="1.8944875130461059E-9"/>
    <n v="-111452"/>
    <n v="12000.288481000724"/>
    <n v="1.8944875130461059E-9"/>
    <n v="12000.288480998828"/>
    <n v="4.917782045055219E-5"/>
  </r>
  <r>
    <s v="PvVpgXTKXpLEWqn"/>
    <x v="485"/>
    <n v="19213.68925497579"/>
    <n v="6852.6542320251465"/>
    <n v="-718.57673986535519"/>
    <n v="0"/>
    <n v="98858.00341796875"/>
    <n v="1.7997631640218059E-9"/>
    <n v="-112206"/>
    <n v="11999.770165104332"/>
    <n v="1.7997631640218059E-9"/>
    <n v="11999.770165102533"/>
    <n v="-4.31919530198277E-5"/>
  </r>
  <r>
    <s v="PvVpgXTKXpLEWqn"/>
    <x v="486"/>
    <n v="19273.37137179522"/>
    <n v="6988.503246307373"/>
    <n v="-757.11326414998621"/>
    <n v="0"/>
    <n v="99782.51171875"/>
    <n v="1.709774979583023E-9"/>
    <n v="-113287"/>
    <n v="12000.273072702606"/>
    <n v="1.709774979583023E-9"/>
    <n v="12000.273072700897"/>
    <n v="4.1909769224357518E-5"/>
  </r>
  <r>
    <s v="PvVpgXTKXpLEWqn"/>
    <x v="487"/>
    <n v="19338.09789340783"/>
    <n v="7084.9084739685059"/>
    <n v="-593.84266212303191"/>
    <n v="0"/>
    <n v="100567.76098632813"/>
    <n v="1.6242862419663107E-9"/>
    <n v="-114397"/>
    <n v="11999.924691581429"/>
    <n v="1.6242862419663107E-9"/>
    <n v="11999.924691579805"/>
    <n v="-2.9031099457621501E-5"/>
  </r>
  <r>
    <s v="PvVpgXTKXpLEWqn"/>
    <x v="488"/>
    <n v="19381.446070807171"/>
    <n v="7214.6343955993652"/>
    <n v="-666.45218247408047"/>
    <n v="0"/>
    <n v="101406.43798828125"/>
    <n v="1.5430719714146224E-9"/>
    <n v="-115336"/>
    <n v="12000.066272213706"/>
    <n v="1.5430719714146224E-9"/>
    <n v="12000.066272212163"/>
    <n v="1.1798460073597639E-5"/>
  </r>
  <r>
    <s v="PvVpgXTKXpLEWqn"/>
    <x v="489"/>
    <n v="19447.948875113478"/>
    <n v="7314.1813087463379"/>
    <n v="-632.26040222914889"/>
    <n v="0"/>
    <n v="102225.41857910156"/>
    <n v="1.4659183276977128E-9"/>
    <n v="-116355"/>
    <n v="12000.288360732229"/>
    <n v="1.4659183276977128E-9"/>
    <n v="12000.288360730763"/>
    <n v="1.8507274340162638E-5"/>
  </r>
  <r>
    <s v="PvVpgXTKXpLEWqn"/>
    <x v="490"/>
    <n v="19530.910081259179"/>
    <n v="7397.1797370910645"/>
    <n v="-647.43570742988959"/>
    <n v="0"/>
    <n v="103052.39294433594"/>
    <n v="1.3926223924043413E-9"/>
    <n v="-117333"/>
    <n v="12000.047055256291"/>
    <n v="1.3926223924043413E-9"/>
    <n v="12000.047055254898"/>
    <n v="-2.0108306451604996E-5"/>
  </r>
  <r>
    <s v="PvVpgXTKXpLEWqn"/>
    <x v="491"/>
    <n v="19587.114374845027"/>
    <n v="7498.5468482971191"/>
    <n v="-605.27573947748169"/>
    <n v="0"/>
    <n v="103861.36584472656"/>
    <n v="1.3229912968100443E-9"/>
    <n v="-118342"/>
    <n v="11999.751328391227"/>
    <n v="1.3229912968100443E-9"/>
    <n v="11999.751328389904"/>
    <n v="-2.4643808781088516E-5"/>
  </r>
  <r>
    <s v="PvVpgXTKXpLEWqn"/>
    <x v="492"/>
    <n v="19730.493956353283"/>
    <n v="7515.5147514343262"/>
    <n v="-605.01354583958164"/>
    <n v="0"/>
    <n v="104670.91223144531"/>
    <n v="1.256841754369159E-9"/>
    <n v="-119312"/>
    <n v="11999.90739339334"/>
    <n v="1.256841754369159E-9"/>
    <n v="11999.907393392083"/>
    <n v="1.3005686360312296E-5"/>
  </r>
  <r>
    <s v="PvVpgXTKXpLEWqn"/>
    <x v="493"/>
    <n v="19804.052268277912"/>
    <n v="7608.3090858459473"/>
    <n v="-651.9419445283711"/>
    <n v="0"/>
    <n v="105488.10534667969"/>
    <n v="1.1939996599936997E-9"/>
    <n v="-120249"/>
    <n v="11999.524756275176"/>
    <n v="1.1939996599936997E-9"/>
    <n v="11999.524756273982"/>
    <n v="-3.1886672584691134E-5"/>
  </r>
  <r>
    <s v="PvVpgXTKXpLEWqn"/>
    <x v="494"/>
    <n v="19885.129440779274"/>
    <n v="7693.1725273132324"/>
    <n v="-617.34749926906079"/>
    <n v="0"/>
    <n v="106296.05859375"/>
    <n v="1.1342996719850007E-9"/>
    <n v="-121257"/>
    <n v="12000.013062573445"/>
    <n v="1.1342996719850007E-9"/>
    <n v="12000.01306257231"/>
    <n v="4.0693803150304575E-5"/>
  </r>
  <r>
    <s v="PvVpgXTKXpLEWqn"/>
    <x v="495"/>
    <n v="19970.609193178767"/>
    <n v="7754.2182884216309"/>
    <n v="-545.92897744849324"/>
    <n v="0"/>
    <n v="107040.83923339844"/>
    <n v="1.0775846781725662E-9"/>
    <n v="-122220"/>
    <n v="11999.737737550342"/>
    <n v="1.0775846781725662E-9"/>
    <n v="11999.737737549265"/>
    <n v="-2.2943726945112708E-5"/>
  </r>
  <r>
    <s v="PvVpgXTKXpLEWqn"/>
    <x v="496"/>
    <n v="20033.056867601874"/>
    <n v="7861.5766830444336"/>
    <n v="-634.90804640483111"/>
    <n v="0"/>
    <n v="107875.927734375"/>
    <n v="1.0237054411631197E-9"/>
    <n v="-123136"/>
    <n v="11999.653238616476"/>
    <n v="1.0237054411631197E-9"/>
    <n v="11999.653238615452"/>
    <n v="-7.0417317162840831E-6"/>
  </r>
  <r>
    <s v="PvVpgXTKXpLEWqn"/>
    <x v="497"/>
    <n v="20083.408517576041"/>
    <n v="7988.3204612731934"/>
    <n v="-682.48757022619247"/>
    <n v="0"/>
    <n v="108756.70874023438"/>
    <n v="9.7252019198162953E-10"/>
    <n v="-124146"/>
    <n v="11999.950148857431"/>
    <n v="9.7252019198162953E-10"/>
    <n v="11999.950148856458"/>
    <n v="2.4743235083724002E-5"/>
  </r>
  <r>
    <s v="PvVpgXTKXpLEWqn"/>
    <x v="498"/>
    <n v="20148.016688138639"/>
    <n v="8089.9570808410645"/>
    <n v="-658.72235049214214"/>
    <n v="0"/>
    <n v="109602.27954101563"/>
    <n v="9.2389416169597061E-10"/>
    <n v="-125182"/>
    <n v="11999.530959503201"/>
    <n v="9.2389416169597061E-10"/>
    <n v="11999.530959502277"/>
    <n v="-3.4932591300940175E-5"/>
  </r>
  <r>
    <s v="PvVpgXTKXpLEWqn"/>
    <x v="499"/>
    <n v="20222.920252316035"/>
    <n v="8150.3189239501953"/>
    <n v="-482.76021367218345"/>
    <n v="0"/>
    <n v="110297.60778808594"/>
    <n v="8.7769946779253649E-10"/>
    <n v="-126188"/>
    <n v="12000.086750679999"/>
    <n v="8.7769946779253649E-10"/>
    <n v="12000.08675067912"/>
    <n v="4.6317741811519042E-5"/>
  </r>
  <r>
    <s v="PvVpgXTKXpLEWqn"/>
    <x v="500"/>
    <n v="20296.593397547622"/>
    <n v="8251.6172866821289"/>
    <n v="-671.63618538528681"/>
    <n v="0"/>
    <n v="111156.78051757813"/>
    <n v="8.3381449791572471E-10"/>
    <n v="-127033"/>
    <n v="12000.355016422574"/>
    <n v="8.3381449791572471E-10"/>
    <n v="12000.355016421741"/>
    <n v="2.2355316940281256E-5"/>
  </r>
  <r>
    <s v="PvVpgXTKXpLEWqn"/>
    <x v="501"/>
    <n v="20324.47111608542"/>
    <n v="8413.3153991699219"/>
    <n v="-726.75837123021483"/>
    <n v="0"/>
    <n v="112055.38671875"/>
    <n v="7.9212376675324991E-10"/>
    <n v="-128066"/>
    <n v="12000.414862775127"/>
    <n v="7.9212376675324991E-10"/>
    <n v="12000.414862774336"/>
    <n v="4.9870485092640138E-6"/>
  </r>
  <r>
    <s v="PvVpgXTKXpLEWqn"/>
    <x v="502"/>
    <n v="20404.700770259136"/>
    <n v="8502.6465034484863"/>
    <n v="-608.65837105922401"/>
    <n v="0"/>
    <n v="112874.89392089844"/>
    <n v="7.5251756388727831E-10"/>
    <n v="-129174"/>
    <n v="11999.582823546836"/>
    <n v="7.5251756388727831E-10"/>
    <n v="11999.582823546083"/>
    <n v="-6.933420533938861E-5"/>
  </r>
  <r>
    <s v="PvVpgXTKXpLEWqn"/>
    <x v="503"/>
    <n v="20468.953099071688"/>
    <n v="8595.6768455505371"/>
    <n v="-568.12728217151016"/>
    <n v="0"/>
    <n v="113647.17370605469"/>
    <n v="7.148916916343423E-10"/>
    <n v="-130144"/>
    <n v="11999.676368505403"/>
    <n v="7.148916916343423E-10"/>
    <n v="11999.676368504688"/>
    <n v="7.7956842317039587E-6"/>
  </r>
  <r>
    <s v="PvVpgXTKXpLEWqn"/>
    <x v="504"/>
    <n v="20545.005827534289"/>
    <n v="8686.6722946166992"/>
    <n v="-604.53499965276569"/>
    <n v="0"/>
    <n v="114474.16723632813"/>
    <n v="6.7914711593224097E-10"/>
    <n v="-131101"/>
    <n v="12000.310358826362"/>
    <n v="6.7914711593224097E-10"/>
    <n v="12000.310358825684"/>
    <n v="5.2833951643904697E-5"/>
  </r>
  <r>
    <s v="PvVpgXTKXpLEWqn"/>
    <x v="505"/>
    <n v="20659.439130565414"/>
    <n v="8718.3338623046875"/>
    <n v="-523.09677048306912"/>
    <n v="0"/>
    <n v="115244.50048828125"/>
    <n v="6.4518975904058473E-10"/>
    <n v="-132099"/>
    <n v="12000.176710668282"/>
    <n v="6.4518975904058473E-10"/>
    <n v="12000.176710667636"/>
    <n v="-1.1137058463561722E-5"/>
  </r>
  <r>
    <s v="PvVpgXTKXpLEWqn"/>
    <x v="506"/>
    <n v="20698.777522439676"/>
    <n v="8801.0026245117188"/>
    <n v="-384.53174328338355"/>
    <n v="0"/>
    <n v="115910.02697753906"/>
    <n v="6.1293026383524296E-10"/>
    <n v="-133025"/>
    <n v="12000.275381207059"/>
    <n v="6.1293026383524296E-10"/>
    <n v="12000.275381206446"/>
    <n v="8.2224238182604381E-6"/>
  </r>
  <r>
    <s v="PvVpgXTKXpLEWqn"/>
    <x v="507"/>
    <n v="20766.634772574034"/>
    <n v="8797.5736236572266"/>
    <n v="-78.566292884759605"/>
    <n v="0"/>
    <n v="116333.94738769531"/>
    <n v="5.8228375853647263E-10"/>
    <n v="-133820"/>
    <n v="11999.589491041814"/>
    <n v="5.8228375853647263E-10"/>
    <n v="11999.589491041232"/>
    <n v="-5.7156202122543576E-5"/>
  </r>
  <r>
    <s v="PvVpgXTKXpLEWqn"/>
    <x v="508"/>
    <n v="20819.552914695916"/>
    <n v="8932.6002426147461"/>
    <n v="-654.96475028852001"/>
    <n v="0"/>
    <n v="117244.64025878906"/>
    <n v="5.5316957069638517E-10"/>
    <n v="-134342"/>
    <n v="11999.828665811219"/>
    <n v="5.5316957069638517E-10"/>
    <n v="11999.828665810666"/>
    <n v="1.9931912638604388E-5"/>
  </r>
  <r>
    <s v="PvVpgXTKXpLEWqn"/>
    <x v="509"/>
    <n v="20894.015578378094"/>
    <n v="8982.5077438354492"/>
    <n v="-334.5009652976878"/>
    <n v="0"/>
    <n v="117902.380859375"/>
    <n v="5.255110970946858E-10"/>
    <n v="-135444"/>
    <n v="12000.40321629087"/>
    <n v="5.255110970946858E-10"/>
    <n v="12000.403216290344"/>
    <n v="4.787989026167061E-5"/>
  </r>
  <r>
    <s v="PvVpgXTKXpLEWqn"/>
    <x v="510"/>
    <n v="20981.382612438269"/>
    <n v="9062.5135040283203"/>
    <n v="-533.26068948814645"/>
    <n v="0"/>
    <n v="118720.21350097656"/>
    <n v="4.9923553572389645E-10"/>
    <n v="-136231"/>
    <n v="11999.848927954998"/>
    <n v="4.9923553572389645E-10"/>
    <n v="11999.848927954499"/>
    <n v="-4.6189142635877367E-5"/>
  </r>
  <r>
    <s v="PvVpgXTKXpLEWqn"/>
    <x v="511"/>
    <n v="21091.525249002967"/>
    <n v="9148.9709777832031"/>
    <n v="-651.02332213381305"/>
    <n v="0"/>
    <n v="119621.74987792969"/>
    <n v="4.7427375286616946E-10"/>
    <n v="-137211"/>
    <n v="12000.222782582045"/>
    <n v="4.7427375286616946E-10"/>
    <n v="12000.22278258157"/>
    <n v="3.1154944476030622E-5"/>
  </r>
  <r>
    <s v="PvVpgXTKXpLEWqn"/>
    <x v="512"/>
    <n v="21112.09672582848"/>
    <n v="9380.2862930297852"/>
    <n v="-957.26318573066965"/>
    <n v="0"/>
    <n v="120747.46752929688"/>
    <n v="4.5056006234972523E-10"/>
    <n v="-138283"/>
    <n v="11999.58736242447"/>
    <n v="4.5056006234972523E-10"/>
    <n v="11999.587362424019"/>
    <n v="-5.2950696754816562E-5"/>
  </r>
  <r>
    <s v="PvVpgXTKXpLEWqn"/>
    <x v="513"/>
    <n v="21157.564743645264"/>
    <n v="9572.1856155395508"/>
    <n v="-856.74277101596817"/>
    <n v="0"/>
    <n v="121799.55346679688"/>
    <n v="4.2803205337754724E-10"/>
    <n v="-139673"/>
    <n v="11999.561054965714"/>
    <n v="4.2803205337754724E-10"/>
    <n v="11999.561054965287"/>
    <n v="-2.1923636153164949E-6"/>
  </r>
  <r>
    <s v="PvVpgXTKXpLEWqn"/>
    <x v="514"/>
    <n v="21241.95186411887"/>
    <n v="9765.1728070527315"/>
    <n v="-1058.7275064499117"/>
    <n v="0"/>
    <n v="122987.65905761719"/>
    <n v="4.0663046150732352E-10"/>
    <n v="-140936"/>
    <n v="12000.05622233887"/>
    <n v="4.0663046150732352E-10"/>
    <n v="12000.056222338462"/>
    <n v="4.1265457203509825E-5"/>
  </r>
  <r>
    <s v="PvVpgXTKXpLEWqn"/>
    <x v="515"/>
    <n v="21327.250548676813"/>
    <n v="9918.2248726040125"/>
    <n v="-920.87907215580344"/>
    <n v="0"/>
    <n v="124036.43688964844"/>
    <n v="3.8629893186169217E-10"/>
    <n v="-142361"/>
    <n v="12000.033238773467"/>
    <n v="3.8629893186169217E-10"/>
    <n v="12000.033238773081"/>
    <n v="-1.9152881415296363E-6"/>
  </r>
  <r>
    <s v="PvVpgXTKXpLEWqn"/>
    <x v="516"/>
    <n v="21406.261885654494"/>
    <n v="10150.663116455078"/>
    <n v="-1294.4355554310605"/>
    <n v="0"/>
    <n v="125387.33435058594"/>
    <n v="3.6698399722735753E-10"/>
    <n v="-143650"/>
    <n v="11999.823797264457"/>
    <n v="3.6698399722735753E-10"/>
    <n v="11999.823797264089"/>
    <n v="-1.7453410738554886E-5"/>
  </r>
  <r>
    <s v="PvVpgXTKXpLEWqn"/>
    <x v="517"/>
    <n v="21484.008077348564"/>
    <n v="10368.556243896484"/>
    <n v="-1221.8163840221241"/>
    <n v="0"/>
    <n v="126673.27856445313"/>
    <n v="3.486348009330148E-10"/>
    <n v="-145304"/>
    <n v="12000.026501676039"/>
    <n v="3.486348009330148E-10"/>
    <n v="12000.026501675689"/>
    <n v="1.6892282338920594E-5"/>
  </r>
  <r>
    <s v="PvVpgXTKXpLEWqn"/>
    <x v="518"/>
    <n v="21544.844065768215"/>
    <n v="10513.667037963867"/>
    <n v="-808.22961201425642"/>
    <n v="0"/>
    <n v="127582.91418457031"/>
    <n v="3.3120305358968344E-10"/>
    <n v="-146833"/>
    <n v="12000.195676288131"/>
    <n v="3.3120305358968344E-10"/>
    <n v="12000.1956762878"/>
    <n v="1.4097853207717392E-5"/>
  </r>
  <r>
    <s v="PvVpgXTKXpLEWqn"/>
    <x v="519"/>
    <n v="21613.529185428568"/>
    <n v="10673.743843078613"/>
    <n v="-942.59379705693573"/>
    <n v="0"/>
    <n v="128597.04284667969"/>
    <n v="3.1464289138548318E-10"/>
    <n v="-147942"/>
    <n v="11999.72207812994"/>
    <n v="3.1464289138548318E-10"/>
    <n v="11999.722078129626"/>
    <n v="-3.946586963665677E-5"/>
  </r>
  <r>
    <s v="PvVpgXTKXpLEWqn"/>
    <x v="520"/>
    <n v="21686.942232388334"/>
    <n v="10880.994163513184"/>
    <n v="-1212.4557966338471"/>
    <n v="0"/>
    <n v="129839.62707519531"/>
    <n v="2.9891074977608095E-10"/>
    <n v="-149195"/>
    <n v="12000.107674462983"/>
    <n v="2.9891074977608095E-10"/>
    <n v="12000.107674462684"/>
    <n v="3.2133771977971293E-5"/>
  </r>
  <r>
    <s v="PvVpgXTKXpLEWqn"/>
    <x v="521"/>
    <n v="21760.553068738081"/>
    <n v="11019.110748291016"/>
    <n v="-898.41350139785209"/>
    <n v="0"/>
    <n v="130836.40380859375"/>
    <n v="2.8396521668371671E-10"/>
    <n v="-150718"/>
    <n v="11999.654124224995"/>
    <n v="2.8396521668371671E-10"/>
    <n v="11999.654124224711"/>
    <n v="-3.7795514030158905E-5"/>
  </r>
  <r>
    <s v="PvVpgXTKXpLEWqn"/>
    <x v="522"/>
    <n v="21788.735531986167"/>
    <n v="11191.211151123047"/>
    <n v="-837.13361716491636"/>
    <n v="0"/>
    <n v="131796.771484375"/>
    <n v="2.6976695573568965E-10"/>
    <n v="-151940"/>
    <n v="11999.584550319298"/>
    <n v="2.6976695573568965E-10"/>
    <n v="11999.584550319028"/>
    <n v="-5.7979925890405681E-6"/>
  </r>
  <r>
    <s v="PvVpgXTKXpLEWqn"/>
    <x v="523"/>
    <n v="21889.750472579733"/>
    <n v="11261.303199768066"/>
    <n v="-694.05864135036245"/>
    <n v="0"/>
    <n v="132663.76342773438"/>
    <n v="2.5627861020404569E-10"/>
    <n v="-153121"/>
    <n v="11999.758458731812"/>
    <n v="2.5627861020404569E-10"/>
    <n v="11999.758458731556"/>
    <n v="1.4492869465421165E-5"/>
  </r>
  <r>
    <s v="PvVpgXTKXpLEWqn"/>
    <x v="524"/>
    <n v="21906.730773143572"/>
    <n v="11414.332679748535"/>
    <n v="-680.80389592098072"/>
    <n v="0"/>
    <n v="133517.3046875"/>
    <n v="2.4346468417701939E-10"/>
    <n v="-154158"/>
    <n v="11999.564244471141"/>
    <n v="2.4346468417701939E-10"/>
    <n v="11999.564244470897"/>
    <n v="-1.6184847497213717E-5"/>
  </r>
  <r>
    <s v="PvVpgXTKXpLEWqn"/>
    <x v="525"/>
    <n v="22019.585455861932"/>
    <n v="11466.502815246582"/>
    <n v="-601.57059112424031"/>
    <n v="0"/>
    <n v="134330.03369140625"/>
    <n v="2.3129144151139147E-10"/>
    <n v="-155215"/>
    <n v="11999.551371390524"/>
    <n v="2.3129144151139147E-10"/>
    <n v="11999.551371390293"/>
    <n v="-1.0727956734069011E-6"/>
  </r>
  <r>
    <s v="PvVpgXTKXpLEWqn"/>
    <x v="526"/>
    <n v="22091.277456520133"/>
    <n v="11576.540641784668"/>
    <n v="-676.50444698799402"/>
    <n v="0"/>
    <n v="135217.8330078125"/>
    <n v="2.1972687514956735E-10"/>
    <n v="-156209"/>
    <n v="12000.146659129299"/>
    <n v="2.1972687514956735E-10"/>
    <n v="12000.146659129079"/>
    <n v="4.9609166239861224E-5"/>
  </r>
  <r>
    <s v="PvVpgXTKXpLEWqn"/>
    <x v="527"/>
    <n v="22140.950545045554"/>
    <n v="11758.198959350586"/>
    <n v="-931.98223927151412"/>
    <n v="0"/>
    <n v="136302.81591796875"/>
    <n v="2.0874052529887277E-10"/>
    <n v="-157270"/>
    <n v="11999.983183093369"/>
    <n v="2.0874052529887277E-10"/>
    <n v="11999.98318309316"/>
    <n v="-1.3622836500526425E-5"/>
  </r>
  <r>
    <s v="PvVpgXTKXpLEWqn"/>
    <x v="528"/>
    <n v="22228.659826836505"/>
    <n v="11843.499282836914"/>
    <n v="-642.35508359130472"/>
    <n v="0"/>
    <n v="137135.09985351563"/>
    <n v="1.9830350837975186E-10"/>
    <n v="-158565"/>
    <n v="11999.903879597725"/>
    <n v="1.9830350837975186E-10"/>
    <n v="11999.903879597527"/>
    <n v="-6.6086338974535863E-6"/>
  </r>
  <r>
    <s v="PvVpgXTKXpLEWqn"/>
    <x v="529"/>
    <n v="22302.695506600387"/>
    <n v="11967.85147857666"/>
    <n v="-772.14036239404231"/>
    <n v="0"/>
    <n v="138074.15795898438"/>
    <n v="1.8838832360409952E-10"/>
    <n v="-159573"/>
    <n v="11999.564581767365"/>
    <n v="1.8838832360409952E-10"/>
    <n v="11999.564581767176"/>
    <n v="-2.8275045679926336E-5"/>
  </r>
  <r>
    <s v="PvVpgXTKXpLEWqn"/>
    <x v="530"/>
    <n v="22338.547813910714"/>
    <n v="12162.236236572266"/>
    <n v="-934.14313778933138"/>
    <n v="0"/>
    <n v="139151.81274414063"/>
    <n v="1.7896890946219463E-10"/>
    <n v="-160718"/>
    <n v="12000.453656834259"/>
    <n v="1.7896890946219463E-10"/>
    <n v="12000.453656834081"/>
    <n v="7.4092277336124113E-5"/>
  </r>
  <r>
    <s v="PvVpgXTKXpLEWqn"/>
    <x v="531"/>
    <n v="22394.091954069139"/>
    <n v="12424.218086242676"/>
    <n v="-1343.5579014439136"/>
    <n v="0"/>
    <n v="140544.5830078125"/>
    <n v="1.7002046222725636E-10"/>
    <n v="-162019"/>
    <n v="12000.335146680416"/>
    <n v="1.7002046222725636E-10"/>
    <n v="12000.335146680247"/>
    <n v="-9.8754728131700276E-6"/>
  </r>
  <r>
    <s v="PvVpgXTKXpLEWqn"/>
    <x v="532"/>
    <n v="22463.74049851278"/>
    <n v="12596.044075012207"/>
    <n v="-974.82030068524182"/>
    <n v="0"/>
    <n v="141614.10766601563"/>
    <n v="1.6151944397854029E-10"/>
    <n v="-163699"/>
    <n v="12000.07193885537"/>
    <n v="1.6151944397854029E-10"/>
    <n v="12000.071938855208"/>
    <n v="-2.193337284517316E-5"/>
  </r>
  <r>
    <s v="PvVpgXTKXpLEWqn"/>
    <x v="533"/>
    <n v="22539.19171422522"/>
    <n v="12742.692169189453"/>
    <n v="-862.52760238200426"/>
    <n v="0"/>
    <n v="142601.70678710938"/>
    <n v="1.5344346783853838E-10"/>
    <n v="-165021"/>
    <n v="12000.063068142044"/>
    <n v="1.5344346783853838E-10"/>
    <n v="12000.063068141892"/>
    <n v="-7.3922167809215011E-7"/>
  </r>
  <r>
    <s v="PvVpgXTKXpLEWqn"/>
    <x v="534"/>
    <n v="22649.880560505931"/>
    <n v="13018.459785461426"/>
    <n v="-1671.4783961568028"/>
    <n v="0"/>
    <n v="144260.95874023438"/>
    <n v="1.4577129580457468E-10"/>
    <n v="-166258"/>
    <n v="11999.82069004493"/>
    <n v="1.4577129580457468E-10"/>
    <n v="11999.820690044784"/>
    <n v="-2.0198068604426744E-5"/>
  </r>
  <r>
    <s v="PvVpgXTKXpLEWqn"/>
    <x v="535"/>
    <n v="22738.726229027758"/>
    <n v="13252.261100769043"/>
    <n v="-1373.4877169830725"/>
    <n v="0"/>
    <n v="145681.119140625"/>
    <n v="1.3848272886491514E-10"/>
    <n v="-168299"/>
    <n v="11999.618753438728"/>
    <n v="1.3848272886491514E-10"/>
    <n v="11999.61875343859"/>
    <n v="-1.6828301973026427E-5"/>
  </r>
  <r>
    <s v="PvVpgXTKXpLEWqn"/>
    <x v="536"/>
    <n v="22804.654237171839"/>
    <n v="13519.087936401367"/>
    <n v="-1462.4907736135647"/>
    <n v="0"/>
    <n v="147146.66381835938"/>
    <n v="1.3155859431360217E-10"/>
    <n v="-170008"/>
    <n v="11999.915218319016"/>
    <n v="1.3155859431360217E-10"/>
    <n v="11999.915218318885"/>
    <n v="2.470619162053822E-5"/>
  </r>
  <r>
    <s v="PvVpgXTKXpLEWqn"/>
    <x v="537"/>
    <n v="22901.443622469815"/>
    <n v="13701.232894897461"/>
    <n v="-1183.2669210564345"/>
    <n v="0"/>
    <n v="148363.79321289063"/>
    <n v="1.2498066302582891E-10"/>
    <n v="-171783"/>
    <n v="12000.202809201466"/>
    <n v="1.2498066302582891E-10"/>
    <n v="12000.202809201341"/>
    <n v="2.3966076194925634E-5"/>
  </r>
  <r>
    <s v="PvVpgXTKXpLEWqn"/>
    <x v="538"/>
    <n v="23002.360652346222"/>
    <n v="13909.055473327637"/>
    <n v="-1308.6698584193364"/>
    <n v="0"/>
    <n v="149700.85571289063"/>
    <n v="1.1873163183965391E-10"/>
    <n v="-173304"/>
    <n v="11999.601980145148"/>
    <n v="1.1873163183965391E-10"/>
    <n v="11999.601980145029"/>
    <n v="-5.006824183428904E-5"/>
  </r>
  <r>
    <s v="PvVpgXTKXpLEWqn"/>
    <x v="539"/>
    <n v="23066.121066391934"/>
    <n v="14189.861351013184"/>
    <n v="-1539.319315337576"/>
    <n v="0"/>
    <n v="151200.79296875"/>
    <n v="1.1279504739079849E-10"/>
    <n v="-174917"/>
    <n v="12000.456070817541"/>
    <n v="1.1279504739079849E-10"/>
    <n v="12000.456070817429"/>
    <n v="7.1176583507748248E-5"/>
  </r>
  <r>
    <s v="PvVpgXTKXpLEWqn"/>
    <x v="540"/>
    <n v="23125.014480360987"/>
    <n v="14460.722053527832"/>
    <n v="-1461.6173456078395"/>
    <n v="0"/>
    <n v="152619.27856445313"/>
    <n v="1.0715529662587778E-10"/>
    <n v="-176743"/>
    <n v="12000.397752734105"/>
    <n v="1.0715529662587778E-10"/>
    <n v="12000.397752733998"/>
    <n v="-4.8596555902724603E-6"/>
  </r>
  <r>
    <s v="PvVpgXTKXpLEWqn"/>
    <x v="541"/>
    <n v="23223.047487153759"/>
    <n v="14661.909111022949"/>
    <n v="-1323.9032669775188"/>
    <n v="0"/>
    <n v="153929.66162109375"/>
    <n v="1.0179753372717426E-10"/>
    <n v="-178491"/>
    <n v="11999.714952292939"/>
    <n v="1.0179753372717426E-10"/>
    <n v="11999.714952292838"/>
    <n v="-5.6898150813777804E-5"/>
  </r>
  <r>
    <s v="PvVpgXTKXpLEWqn"/>
    <x v="542"/>
    <n v="23315.629044337344"/>
    <n v="14876.641273498535"/>
    <n v="-1366.2606852753088"/>
    <n v="0"/>
    <n v="155292.11547851563"/>
    <n v="9.6707654254415965E-11"/>
    <n v="-180118"/>
    <n v="12000.125111076195"/>
    <n v="9.6707654254415965E-11"/>
    <n v="12000.125111076099"/>
    <n v="3.4180710532849545E-5"/>
  </r>
  <r>
    <s v="PvVpgXTKXpLEWqn"/>
    <x v="543"/>
    <n v="23361.131417631477"/>
    <n v="15125.545570373535"/>
    <n v="-1296.0149379624054"/>
    <n v="0"/>
    <n v="156604.31372070313"/>
    <n v="9.1872271400748884E-11"/>
    <n v="-181795"/>
    <n v="11999.975770745717"/>
    <n v="9.1872271400748884E-11"/>
    <n v="11999.975770745625"/>
    <n v="-1.2444897789953835E-5"/>
  </r>
  <r>
    <s v="PvVpgXTKXpLEWqn"/>
    <x v="544"/>
    <n v="23437.968357916179"/>
    <n v="15402.790924072266"/>
    <n v="-1583.1356418123469"/>
    <n v="0"/>
    <n v="158136.40234375"/>
    <n v="8.7278658123446026E-11"/>
    <n v="-183394"/>
    <n v="12000.025983926083"/>
    <n v="8.7278658123446026E-11"/>
    <n v="12000.025983925996"/>
    <n v="4.1844401463819736E-6"/>
  </r>
  <r>
    <s v="PvVpgXTKXpLEWqn"/>
    <x v="545"/>
    <n v="23509.564647018313"/>
    <n v="15660.182846069336"/>
    <n v="-1471.7386014340445"/>
    <n v="0"/>
    <n v="159568.90405273438"/>
    <n v="8.2914725270128581E-11"/>
    <n v="-185267"/>
    <n v="11999.912944387994"/>
    <n v="8.2914725270128581E-11"/>
    <n v="11999.91294438791"/>
    <n v="-9.4199411099227248E-6"/>
  </r>
  <r>
    <s v="PvVpgXTKXpLEWqn"/>
    <x v="546"/>
    <n v="23583.793167797558"/>
    <n v="15914.498062133789"/>
    <n v="-1481.2314201211557"/>
    <n v="0"/>
    <n v="161009.93139648438"/>
    <n v="7.8768991627680904E-11"/>
    <n v="-187027"/>
    <n v="11999.991206294566"/>
    <n v="7.8768991627680904E-11"/>
    <n v="11999.991206294488"/>
    <n v="6.5218728619864663E-6"/>
  </r>
  <r>
    <s v="PvVpgXTKXpLEWqn"/>
    <x v="547"/>
    <n v="23635.667497875664"/>
    <n v="16196.049362182617"/>
    <n v="-1511.5987175414339"/>
    <n v="0"/>
    <n v="162487.10693359375"/>
    <n v="7.4830540852319216E-11"/>
    <n v="-188807"/>
    <n v="12000.225076110597"/>
    <n v="7.4830540852319216E-11"/>
    <n v="12000.225076110522"/>
    <n v="1.9489165618002957E-5"/>
  </r>
  <r>
    <s v="PvVpgXTKXpLEWqn"/>
    <x v="548"/>
    <n v="23724.322961085243"/>
    <n v="16343.572723388672"/>
    <n v="-1040.1871877759695"/>
    <n v="0"/>
    <n v="163576.12817382813"/>
    <n v="7.1089014422277483E-11"/>
    <n v="-190604"/>
    <n v="11999.836670526071"/>
    <n v="7.1089014422277483E-11"/>
    <n v="11999.836670526"/>
    <n v="-3.2366524965965482E-5"/>
  </r>
  <r>
    <s v="PvVpgXTKXpLEWqn"/>
    <x v="549"/>
    <n v="23793.009583804174"/>
    <n v="16551.539474487305"/>
    <n v="-1232.009981703246"/>
    <n v="0"/>
    <n v="164842.07983398438"/>
    <n v="6.7534564908693778E-11"/>
    <n v="-191955"/>
    <n v="11999.618910572608"/>
    <n v="6.7534564908693778E-11"/>
    <n v="11999.618910572541"/>
    <n v="-1.8146909781968645E-5"/>
  </r>
  <r>
    <s v="PvVpgXTKXpLEWqn"/>
    <x v="550"/>
    <n v="23845.720044501533"/>
    <n v="16755.731857299805"/>
    <n v="-1130.9217201927677"/>
    <n v="0"/>
    <n v="166036.91333007813"/>
    <n v="6.4157833613940479E-11"/>
    <n v="-193507"/>
    <n v="12000.443511686695"/>
    <n v="6.4157833613940479E-11"/>
    <n v="12000.443511686632"/>
    <n v="6.8718941846013237E-5"/>
  </r>
  <r>
    <s v="PvVpgXTKXpLEWqn"/>
    <x v="551"/>
    <n v="23905.263744405675"/>
    <n v="16905.695861816406"/>
    <n v="-884.28661238681525"/>
    <n v="0"/>
    <n v="167044.80419921875"/>
    <n v="6.0949942982209057E-11"/>
    <n v="-194971"/>
    <n v="12000.477193054016"/>
    <n v="6.0949942982209057E-11"/>
    <n v="12000.477193053954"/>
    <n v="2.8066768773538087E-6"/>
  </r>
  <r>
    <s v="PvVpgXTKXpLEWqn"/>
    <x v="552"/>
    <n v="23926.88864170431"/>
    <n v="17141.331756591797"/>
    <n v="-1131.576981282793"/>
    <n v="0"/>
    <n v="168250.89306640625"/>
    <n v="5.7902447024365741E-11"/>
    <n v="-196188"/>
    <n v="11999.536483419564"/>
    <n v="5.7902447024365741E-11"/>
    <n v="11999.536483419506"/>
    <n v="-7.8389352299423898E-5"/>
  </r>
  <r>
    <s v="PvVpgXTKXpLEWqn"/>
    <x v="553"/>
    <n v="23981.897552234244"/>
    <n v="17324.818069458008"/>
    <n v="-1014.8797955522314"/>
    <n v="0"/>
    <n v="169351.89086914063"/>
    <n v="5.5007323511695877E-11"/>
    <n v="-197644"/>
    <n v="11999.726695280639"/>
    <n v="5.5007323511695877E-11"/>
    <n v="11999.726695280584"/>
    <n v="1.5851600713157055E-5"/>
  </r>
  <r>
    <s v="PvVpgXTKXpLEWqn"/>
    <x v="554"/>
    <n v="24050.016611092095"/>
    <n v="17593.84602355957"/>
    <n v="-1492.7059795660898"/>
    <n v="0"/>
    <n v="170841.65307617188"/>
    <n v="5.2256956574459057E-11"/>
    <n v="-198993"/>
    <n v="11999.809731257439"/>
    <n v="5.2256956574459057E-11"/>
    <n v="11999.809731257386"/>
    <n v="6.9198223351385479E-6"/>
  </r>
  <r>
    <s v="PvVpgXTKXpLEWqn"/>
    <x v="555"/>
    <n v="24117.914838281937"/>
    <n v="17835.154327392578"/>
    <n v="-1355.3726249663159"/>
    <n v="0"/>
    <n v="172232.90600585938"/>
    <n v="4.9644108810788234E-11"/>
    <n v="-200831"/>
    <n v="11999.602546567563"/>
    <n v="4.9644108810788234E-11"/>
    <n v="11999.602546567514"/>
    <n v="-1.726566458237766E-5"/>
  </r>
  <r>
    <s v="PvVpgXTKXpLEWqn"/>
    <x v="556"/>
    <n v="24178.593954460561"/>
    <n v="18038.637832641602"/>
    <n v="-1100.1233223443851"/>
    <n v="0"/>
    <n v="173434.12670898438"/>
    <n v="4.7161904318925724E-11"/>
    <n v="-202551"/>
    <n v="12000.23517374217"/>
    <n v="4.7161904318925724E-11"/>
    <n v="12000.235173742123"/>
    <n v="5.2720677385265091E-5"/>
  </r>
  <r>
    <s v="PvVpgXTKXpLEWqn"/>
    <x v="557"/>
    <n v="24265.048705517271"/>
    <n v="18301.973587036133"/>
    <n v="-1535.2071705088019"/>
    <n v="0"/>
    <n v="174992.03393554688"/>
    <n v="4.4803808991848715E-11"/>
    <n v="-204024"/>
    <n v="11999.849057591462"/>
    <n v="4.4803808991848715E-11"/>
    <n v="11999.849057591417"/>
    <n v="-3.2175715318549791E-5"/>
  </r>
  <r>
    <s v="PvVpgXTKXpLEWqn"/>
    <x v="558"/>
    <n v="24295.069651711048"/>
    <n v="18586.288162231445"/>
    <n v="-1342.6832451615483"/>
    <n v="0"/>
    <n v="176397.14331054688"/>
    <n v="4.2563618319994834E-11"/>
    <n v="-205936"/>
    <n v="11999.817879327806"/>
    <n v="4.2563618319994834E-11"/>
    <n v="11999.817879327764"/>
    <n v="-2.5982213195385739E-6"/>
  </r>
  <r>
    <s v="PvVpgXTKXpLEWqn"/>
    <x v="559"/>
    <n v="24394.830056205574"/>
    <n v="18787.119262695313"/>
    <n v="-1279.1227585196029"/>
    <n v="0"/>
    <n v="177748.81958007813"/>
    <n v="4.0435436601685484E-11"/>
    <n v="-207652"/>
    <n v="11999.646140459401"/>
    <n v="4.0435436601685484E-11"/>
    <n v="11999.646140459361"/>
    <n v="-1.4311789573007161E-5"/>
  </r>
  <r>
    <s v="PvVpgXTKXpLEWqn"/>
    <x v="560"/>
    <n v="24459.17329428692"/>
    <n v="19045.435806274414"/>
    <n v="-1374.5683877514675"/>
    <n v="0"/>
    <n v="179181.92895507813"/>
    <n v="3.8413666629652683E-11"/>
    <n v="-209312"/>
    <n v="11999.969667887985"/>
    <n v="3.8413666629652683E-11"/>
    <n v="11999.969667887946"/>
    <n v="2.6961414094861524E-5"/>
  </r>
  <r>
    <s v="PvVpgXTKXpLEWqn"/>
    <x v="561"/>
    <n v="24554.518824864303"/>
    <n v="19205.294326782227"/>
    <n v="-1042.0644189231098"/>
    <n v="0"/>
    <n v="180361.63647460938"/>
    <n v="3.6492982409801894E-11"/>
    <n v="-211079"/>
    <n v="12000.385207332787"/>
    <n v="3.6492982409801894E-11"/>
    <n v="12000.385207332751"/>
    <n v="3.4628374596445965E-5"/>
  </r>
  <r>
    <s v="PvVpgXTKXpLEWqn"/>
    <x v="562"/>
    <n v="24611.65512395648"/>
    <n v="19537.789474487305"/>
    <n v="-1676.7542275178712"/>
    <n v="0"/>
    <n v="182044.43701171875"/>
    <n v="3.4668333050787321E-11"/>
    <n v="-212517"/>
    <n v="12000.127382644656"/>
    <n v="3.4668333050787321E-11"/>
    <n v="12000.127382644621"/>
    <n v="-2.1484701005380913E-5"/>
  </r>
  <r>
    <s v="PvVpgXTKXpLEWqn"/>
    <x v="563"/>
    <n v="24660.872455278928"/>
    <n v="19860.171966552734"/>
    <n v="-1621.5073111439124"/>
    <n v="0"/>
    <n v="183692.8173828125"/>
    <n v="3.2934916580529446E-11"/>
    <n v="-214592"/>
    <n v="12000.354493500257"/>
    <n v="3.2934916580529446E-11"/>
    <n v="12000.354493500225"/>
    <n v="1.8925703733074783E-5"/>
  </r>
  <r>
    <s v="PvVpgXTKXpLEWqn"/>
    <x v="564"/>
    <n v="24778.624238976561"/>
    <n v="20091.704452514648"/>
    <n v="-1524.7787271651905"/>
    <n v="0"/>
    <n v="185253.74487304688"/>
    <n v="3.1288171001547099E-11"/>
    <n v="-216599"/>
    <n v="12000.294837372901"/>
    <n v="3.1288171001547099E-11"/>
    <n v="12000.29483737287"/>
    <n v="-4.9711970914190218E-6"/>
  </r>
  <r>
    <s v="PvVpgXTKXpLEWqn"/>
    <x v="565"/>
    <n v="24831.231116557312"/>
    <n v="20392.135864257813"/>
    <n v="-1535.9476468628272"/>
    <n v="0"/>
    <n v="186813.16357421875"/>
    <n v="2.9723761727764794E-11"/>
    <n v="-218501"/>
    <n v="11999.582908171054"/>
    <n v="2.9723761727764794E-11"/>
    <n v="11999.582908171025"/>
    <n v="-5.9325975860891056E-5"/>
  </r>
  <r>
    <s v="PvVpgXTKXpLEWqn"/>
    <x v="566"/>
    <n v="24886.771379660306"/>
    <n v="20698.329025268555"/>
    <n v="-1609.039580126293"/>
    <n v="0"/>
    <n v="188412.14672851563"/>
    <n v="2.8237574510093545E-11"/>
    <n v="-220388"/>
    <n v="12000.207553318178"/>
    <n v="2.8237574510093545E-11"/>
    <n v="12000.207553318149"/>
    <n v="5.2055571589715299E-5"/>
  </r>
  <r>
    <s v="PvVpgXTKXpLEWqn"/>
    <x v="567"/>
    <n v="24937.939289620728"/>
    <n v="21023.102005004883"/>
    <n v="-1681.0505371047184"/>
    <n v="0"/>
    <n v="190063.61254882813"/>
    <n v="2.6825695541321005E-11"/>
    <n v="-222344"/>
    <n v="11999.603306349018"/>
    <n v="2.6825695541321005E-11"/>
    <n v="11999.60330634899"/>
    <n v="-5.0353043184792057E-5"/>
  </r>
  <r>
    <s v="PvVpgXTKXpLEWqn"/>
    <x v="568"/>
    <n v="24965.094070224113"/>
    <n v="21382.456192016602"/>
    <n v="-1747.6992752291262"/>
    <n v="0"/>
    <n v="191772.50512695313"/>
    <n v="2.5484410642959837E-11"/>
    <n v="-224372"/>
    <n v="12000.356113964721"/>
    <n v="2.5484410642959837E-11"/>
    <n v="12000.356113964695"/>
    <n v="6.2736041891220395E-5"/>
  </r>
  <r>
    <s v="PvVpgXTKXpLEWqn"/>
    <x v="569"/>
    <n v="25081.689486172159"/>
    <n v="21600.678604125977"/>
    <n v="-1501.1402140781283"/>
    <n v="0"/>
    <n v="193260.79833984375"/>
    <n v="2.4210190208390041E-11"/>
    <n v="-226442"/>
    <n v="12000.026216063765"/>
    <n v="2.4210190208390041E-11"/>
    <n v="12000.026216063741"/>
    <n v="-2.7490675928332209E-5"/>
  </r>
  <r>
    <s v="PvVpgXTKXpLEWqn"/>
    <x v="570"/>
    <n v="25158.808085142686"/>
    <n v="21860.238815307617"/>
    <n v="-1503.0749880857766"/>
    <n v="0"/>
    <n v="194755.82177734375"/>
    <n v="2.2999680868054755E-11"/>
    <n v="-228272"/>
    <n v="11999.793689708284"/>
    <n v="2.2999680868054755E-11"/>
    <n v="11999.79368970826"/>
    <n v="-1.9377153957389481E-5"/>
  </r>
  <r>
    <s v="PvVpgXTKXpLEWqn"/>
    <x v="571"/>
    <n v="25205.015439325038"/>
    <n v="22183.589004516602"/>
    <n v="-1701.1047897366807"/>
    <n v="0"/>
    <n v="196418.7333984375"/>
    <n v="2.1849696388938269E-11"/>
    <n v="-230106"/>
    <n v="12000.233052542462"/>
    <n v="2.1849696388938269E-11"/>
    <n v="12000.23305254244"/>
    <n v="3.6614199005580161E-5"/>
  </r>
  <r>
    <s v="PvVpgXTKXpLEWqn"/>
    <x v="572"/>
    <n v="25228.79320558214"/>
    <n v="22493.976531982422"/>
    <n v="-1528.415251661092"/>
    <n v="0"/>
    <n v="197956.01342773438"/>
    <n v="2.075721177244045E-11"/>
    <n v="-232150"/>
    <n v="12000.367913637834"/>
    <n v="2.075721177244045E-11"/>
    <n v="12000.367913637814"/>
    <n v="1.1238206356845026E-5"/>
  </r>
  <r>
    <s v="PvVpgXTKXpLEWqn"/>
    <x v="573"/>
    <n v="25312.645561989484"/>
    <n v="22623.084686279297"/>
    <n v="-917.77853801753372"/>
    <n v="0"/>
    <n v="199003.83911132813"/>
    <n v="1.9719351511111958E-11"/>
    <n v="-234022"/>
    <n v="11999.790821579372"/>
    <n v="1.9719351511111958E-11"/>
    <n v="11999.790821579352"/>
    <n v="-4.808953047230613E-5"/>
  </r>
  <r>
    <s v="PvVpgXTKXpLEWqn"/>
    <x v="574"/>
    <n v="25371.354195942302"/>
    <n v="22828.725158691406"/>
    <n v="-1155.6805930994451"/>
    <n v="0"/>
    <n v="200257.19018554688"/>
    <n v="1.8733383767843836E-11"/>
    <n v="-235302"/>
    <n v="11999.588947081123"/>
    <n v="1.8733383767843836E-11"/>
    <n v="11999.588947081105"/>
    <n v="-1.6823168107582553E-5"/>
  </r>
  <r>
    <s v="PvVpgXTKXpLEWqn"/>
    <x v="575"/>
    <n v="25439.210884703512"/>
    <n v="23062.430938720703"/>
    <n v="-1343.3208284480497"/>
    <n v="0"/>
    <n v="201664.09838867188"/>
    <n v="1.7796714080718645E-11"/>
    <n v="-236822"/>
    <n v="12000.419383648026"/>
    <n v="1.7796714080718645E-11"/>
    <n v="12000.419383648008"/>
    <n v="6.9205417832618465E-5"/>
  </r>
  <r>
    <s v="PvVpgXTKXpLEWqn"/>
    <x v="576"/>
    <n v="25460.412518027078"/>
    <n v="23403.904327392578"/>
    <n v="-1610.7738479366526"/>
    <n v="0"/>
    <n v="203285.79223632813"/>
    <n v="1.6906878403787767E-11"/>
    <n v="-238539"/>
    <n v="12000.335233811114"/>
    <n v="1.6906878403787767E-11"/>
    <n v="12000.335233811098"/>
    <n v="-7.0122413409201556E-6"/>
  </r>
  <r>
    <s v="PvVpgXTKXpLEWqn"/>
    <x v="577"/>
    <n v="25498.235952772644"/>
    <n v="23700.437698364258"/>
    <n v="-1454.9133797474205"/>
    <n v="0"/>
    <n v="204796.36572265625"/>
    <n v="1.6061534995883905E-11"/>
    <n v="-240540"/>
    <n v="12000.125994045724"/>
    <n v="1.6061534995883905E-11"/>
    <n v="12000.125994045708"/>
    <n v="-1.7436160016703894E-5"/>
  </r>
  <r>
    <s v="PvVpgXTKXpLEWqn"/>
    <x v="578"/>
    <n v="25605.88577751819"/>
    <n v="23978.111907958984"/>
    <n v="-1698.2431261288002"/>
    <n v="0"/>
    <n v="206495.3046875"/>
    <n v="1.5258457773106512E-11"/>
    <n v="-242381"/>
    <n v="12000.059246848366"/>
    <n v="1.5258457773106512E-11"/>
    <n v="12000.059246848352"/>
    <n v="-5.5622080459283296E-6"/>
  </r>
  <r>
    <s v="PvVpgXTKXpLEWqn"/>
    <x v="579"/>
    <n v="25705.272107227582"/>
    <n v="24272.640899658203"/>
    <n v="-1735.1553545193747"/>
    <n v="0"/>
    <n v="208204.22778320313"/>
    <n v="1.4495534743504904E-11"/>
    <n v="-244447"/>
    <n v="11999.985435569542"/>
    <n v="1.4495534743504904E-11"/>
    <n v="11999.985435569528"/>
    <n v="-6.1509095334866259E-6"/>
  </r>
  <r>
    <s v="PvVpgXTKXpLEWqn"/>
    <x v="580"/>
    <n v="25774.444786621185"/>
    <n v="24765.579818725586"/>
    <n v="-2561.291728249751"/>
    <n v="0"/>
    <n v="210572.65258789063"/>
    <n v="1.3770758154391018E-11"/>
    <n v="-246551"/>
    <n v="12000.385464987659"/>
    <n v="1.3770758154391018E-11"/>
    <n v="12000.385464987645"/>
    <n v="3.3335825302849287E-5"/>
  </r>
  <r>
    <s v="PvVpgXTKXpLEWqn"/>
    <x v="581"/>
    <n v="25885.014895080822"/>
    <n v="25066.432144165039"/>
    <n v="-1836.0270783798769"/>
    <n v="0"/>
    <n v="212348.28369140625"/>
    <n v="1.3082220196188304E-11"/>
    <n v="-249464"/>
    <n v="11999.703652272234"/>
    <n v="1.3082220196188304E-11"/>
    <n v="11999.703652272221"/>
    <n v="-5.6815901240292455E-5"/>
  </r>
  <r>
    <s v="PvVpgXTKXpLEWqn"/>
    <x v="582"/>
    <n v="25951.906945875628"/>
    <n v="25479.919540405273"/>
    <n v="-2207.3023756043985"/>
    <n v="0"/>
    <n v="214432.29663085938"/>
    <n v="1.24281093229206E-11"/>
    <n v="-251657"/>
    <n v="11999.820741535863"/>
    <n v="1.24281093229206E-11"/>
    <n v="11999.82074153585"/>
    <n v="9.7576796078691075E-6"/>
  </r>
  <r>
    <s v="PvVpgXTKXpLEWqn"/>
    <x v="583"/>
    <n v="26002.385556134854"/>
    <n v="25901.931869506836"/>
    <n v="-2180.6515922173858"/>
    <n v="0"/>
    <n v="216487.49609375"/>
    <n v="1.1806703889300635E-11"/>
    <n v="-254211"/>
    <n v="12000.161927174311"/>
    <n v="1.1806703889300635E-11"/>
    <n v="12000.1619271743"/>
    <n v="2.8432561268942891E-5"/>
  </r>
  <r>
    <s v="PvVpgXTKXpLEWqn"/>
    <x v="584"/>
    <n v="26056.23284030833"/>
    <n v="26212.516387939453"/>
    <n v="-1654.1586758522317"/>
    <n v="0"/>
    <n v="218108.26635742188"/>
    <n v="1.1216368627072967E-11"/>
    <n v="-256723"/>
    <n v="11999.856909817434"/>
    <n v="1.1216368627072967E-11"/>
    <n v="11999.856909817423"/>
    <n v="-2.5417770087465819E-5"/>
  </r>
  <r>
    <s v="PvVpgXTKXpLEWqn"/>
    <x v="585"/>
    <n v="26137.983563788141"/>
    <n v="26560.726776123047"/>
    <n v="-1977.2166291614994"/>
    <n v="0"/>
    <n v="219983.2451171875"/>
    <n v="1.0655550514881333E-11"/>
    <n v="-258705"/>
    <n v="11999.738827937166"/>
    <n v="1.0655550514881333E-11"/>
    <n v="11999.738827937155"/>
    <n v="-9.8402740261738231E-6"/>
  </r>
  <r>
    <s v="PvVpgXTKXpLEWqn"/>
    <x v="586"/>
    <n v="26161.253455155005"/>
    <n v="26873.380615234375"/>
    <n v="-1549.2416418669745"/>
    <n v="0"/>
    <n v="221493.4169921875"/>
    <n v="1.0122772554270552E-11"/>
    <n v="-260979"/>
    <n v="11999.809420709906"/>
    <n v="1.0122772554270552E-11"/>
    <n v="11999.809420709895"/>
    <n v="5.8828590980830597E-6"/>
  </r>
  <r>
    <s v="PvVpgXTKXpLEWqn"/>
    <x v="587"/>
    <n v="26183.385834102053"/>
    <n v="27210.911193847656"/>
    <n v="-1656.8606242304668"/>
    <n v="0"/>
    <n v="223108.44091796875"/>
    <n v="9.6166342609656317E-12"/>
    <n v="-262846"/>
    <n v="11999.877321687993"/>
    <n v="9.6166342609656317E-12"/>
    <n v="11999.877321687984"/>
    <n v="5.6585047067958527E-6"/>
  </r>
  <r>
    <s v="PvVpgXTKXpLEWqn"/>
    <x v="588"/>
    <n v="26261.895088056219"/>
    <n v="27549.298553466797"/>
    <n v="-1941.5928194364533"/>
    <n v="0"/>
    <n v="224964.42822265625"/>
    <n v="9.1358026253361615E-12"/>
    <n v="-264834"/>
    <n v="12000.029044742812"/>
    <n v="9.1358026253361615E-12"/>
    <n v="12000.029044742803"/>
    <n v="1.2643717160809587E-5"/>
  </r>
  <r>
    <s v="PvVpgXTKXpLEWqn"/>
    <x v="589"/>
    <n v="26324.705461454898"/>
    <n v="27760.616943359375"/>
    <n v="-1220.0377537594177"/>
    <n v="0"/>
    <n v="226254.37426757813"/>
    <n v="8.6790124003875094E-12"/>
    <n v="-267120"/>
    <n v="11999.658918633009"/>
    <n v="8.6790124003875094E-12"/>
    <n v="11999.658918633"/>
    <n v="-3.0843767829469293E-5"/>
  </r>
  <r>
    <s v="PvVpgXTKXpLEWqn"/>
    <x v="590"/>
    <n v="26362.446806921551"/>
    <n v="28125.844848632813"/>
    <n v="-1814.4375888109207"/>
    <n v="0"/>
    <n v="228040.87329101563"/>
    <n v="8.2450618632079562E-12"/>
    <n v="-268715"/>
    <n v="11999.727357759082"/>
    <n v="8.2450618632079562E-12"/>
    <n v="11999.727357759073"/>
    <n v="5.7034226170760149E-6"/>
  </r>
  <r>
    <s v="PvVpgXTKXpLEWqn"/>
    <x v="591"/>
    <n v="26453.348743218128"/>
    <n v="28347.922149658203"/>
    <n v="-1362.4605410164222"/>
    <n v="0"/>
    <n v="229451.53051757813"/>
    <n v="7.8328086102971445E-12"/>
    <n v="-270890"/>
    <n v="12000.34086943802"/>
    <n v="7.8328086102971445E-12"/>
    <n v="12000.340869438012"/>
    <n v="5.1127134862882784E-5"/>
  </r>
  <r>
    <s v="PvVpgXTKXpLEWqn"/>
    <x v="592"/>
    <n v="26490.54647337459"/>
    <n v="28771.039001464844"/>
    <n v="-2075.1942249713466"/>
    <n v="0"/>
    <n v="231454.99682617188"/>
    <n v="7.4411683344505035E-12"/>
    <n v="-272641"/>
    <n v="12000.388076039962"/>
    <n v="7.4411683344505035E-12"/>
    <n v="12000.388076039955"/>
    <n v="3.9337717534504435E-6"/>
  </r>
  <r>
    <s v="PvVpgXTKXpLEWqn"/>
    <x v="593"/>
    <n v="26608.309126506225"/>
    <n v="29091.319610595703"/>
    <n v="-1946.7765102600679"/>
    <n v="0"/>
    <n v="233354.48901367188"/>
    <n v="7.0691100068358444E-12"/>
    <n v="-275107"/>
    <n v="12000.341240513721"/>
    <n v="7.0691100068358444E-12"/>
    <n v="12000.341240513713"/>
    <n v="-3.9028343037372792E-6"/>
  </r>
  <r>
    <s v="PvVpgXTKXpLEWqn"/>
    <x v="594"/>
    <n v="26652.922181945658"/>
    <n v="29543.141845703125"/>
    <n v="-2252.2608885063091"/>
    <n v="0"/>
    <n v="235485.43432617188"/>
    <n v="6.7156541287173577E-12"/>
    <n v="-277429"/>
    <n v="12000.237465314334"/>
    <n v="6.7156541287173577E-12"/>
    <n v="12000.237465314327"/>
    <n v="-8.6476873704111057E-6"/>
  </r>
  <r>
    <s v="PvVpgXTKXpLEWqn"/>
    <x v="595"/>
    <n v="26745.070105845152"/>
    <n v="29844.6591796875"/>
    <n v="-1751.069246920757"/>
    <n v="0"/>
    <n v="237182.71557617188"/>
    <n v="6.3798714202486107E-12"/>
    <n v="-280021"/>
    <n v="12000.375614783785"/>
    <n v="6.3798714202486107E-12"/>
    <n v="12000.375614783778"/>
    <n v="1.1512227974685985E-5"/>
  </r>
  <r>
    <s v="PvVpgXTKXpLEWqn"/>
    <x v="596"/>
    <n v="26798.798650879311"/>
    <n v="30242.091033935547"/>
    <n v="-2032.0256897965446"/>
    <n v="0"/>
    <n v="239122.642578125"/>
    <n v="6.060878124521888E-12"/>
    <n v="-282132"/>
    <n v="11999.506573143299"/>
    <n v="6.060878124521888E-12"/>
    <n v="11999.506573143293"/>
    <n v="-7.2417869938501411E-5"/>
  </r>
  <r>
    <s v="PvVpgXTKXpLEWqn"/>
    <x v="597"/>
    <n v="26856.330298679022"/>
    <n v="30612.808441162109"/>
    <n v="-1952.4882464921102"/>
    <n v="0"/>
    <n v="240998.42407226563"/>
    <n v="5.7578341542601028E-12"/>
    <n v="-284515"/>
    <n v="12000.074565614632"/>
    <n v="5.7578341542601028E-12"/>
    <n v="12000.074565614626"/>
    <n v="4.7334652293562485E-5"/>
  </r>
  <r>
    <s v="PvVpgXTKXpLEWqn"/>
    <x v="598"/>
    <n v="26936.003195159676"/>
    <n v="30961.690673828125"/>
    <n v="-1954.2028466155753"/>
    <n v="0"/>
    <n v="242886.62109375"/>
    <n v="5.4699423057702218E-12"/>
    <n v="-286830"/>
    <n v="12000.112116122211"/>
    <n v="5.4699423057702218E-12"/>
    <n v="12000.112116122205"/>
    <n v="3.1291895208340748E-6"/>
  </r>
  <r>
    <s v="PvVpgXTKXpLEWqn"/>
    <x v="599"/>
    <n v="26978.82791704683"/>
    <n v="31320.136901855469"/>
    <n v="-1833.2613252429292"/>
    <n v="0"/>
    <n v="244684.20703125"/>
    <n v="5.1964452299534461E-12"/>
    <n v="-289150"/>
    <n v="11999.910524909385"/>
    <n v="5.1964452299534461E-12"/>
    <n v="11999.910524909379"/>
    <n v="-1.6799110781229309E-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9A4ADA-C20D-41A4-9258-2C1335E8F389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:C605" firstHeaderRow="0" firstDataRow="1" firstDataCol="1"/>
  <pivotFields count="28">
    <pivotField axis="axisRow" showAll="0">
      <items count="3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6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debt" fld="7" baseField="0" baseItem="0"/>
    <dataField name="Sum of capital" fld="19" baseField="0" baseItem="0"/>
  </dataFields>
  <chartFormats count="2">
    <chartFormat chart="0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E30EFF-EBD2-4E67-985B-C074166980F6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D606" firstHeaderRow="0" firstDataRow="1" firstDataCol="1"/>
  <pivotFields count="10">
    <pivotField axis="axisRow" showAll="0">
      <items count="2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dataField="1" showAll="0"/>
    <pivotField showAll="0"/>
    <pivotField showAll="0"/>
  </pivotFields>
  <rowFields count="1">
    <field x="0"/>
  </rowFields>
  <rowItems count="6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wealth" fld="3" baseField="0" baseItem="0"/>
    <dataField name="Sum of spent_amount" fld="6" baseField="0" baseItem="0"/>
    <dataField name="Sum of employed" fld="7" baseField="0" baseItem="0"/>
  </dataFields>
  <chartFormats count="3">
    <chartFormat chart="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502483-3CC9-45D2-A668-5170B39596E2}" name="PivotTable2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604" firstHeaderRow="0" firstDataRow="1" firstDataCol="1"/>
  <pivotFields count="7">
    <pivotField axis="axisRow" showAll="0">
      <items count="2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t="default"/>
      </items>
    </pivotField>
    <pivotField showAll="0"/>
    <pivotField showAll="0"/>
    <pivotField dataField="1" showAll="0"/>
    <pivotField showAll="0"/>
    <pivotField dataField="1" showAll="0"/>
    <pivotField dataField="1" showAll="0"/>
  </pivotFields>
  <rowFields count="1">
    <field x="0"/>
  </rowFields>
  <rowItems count="6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wealth" fld="3" baseField="0" baseItem="0"/>
    <dataField name="Sum of spent_amount" fld="5" baseField="0" baseItem="0"/>
    <dataField name="Sum of budget" fld="6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E4118F-AA62-4E9D-998A-2454BC947676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E604" firstHeaderRow="0" firstDataRow="1" firstDataCol="1"/>
  <pivotFields count="13">
    <pivotField showAll="0"/>
    <pivotField axis="axisRow" showAll="0">
      <items count="2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</pivotFields>
  <rowFields count="1">
    <field x="1"/>
  </rowFields>
  <rowItems count="6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M-D" fld="11" baseField="0" baseItem="0"/>
    <dataField name="Sum of w_m" fld="2" baseField="0" baseItem="0"/>
    <dataField name="Sum of cf_m" fld="4" baseField="0" baseItem="0"/>
    <dataField name="Sum of equity" fld="8" baseField="0" baseItem="0"/>
  </dataFields>
  <chartFormats count="4">
    <chartFormat chart="4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7E1D3E77-0E35-4A66-9885-A9A1E524C288}" autoFormatId="16" applyNumberFormats="0" applyBorderFormats="0" applyFontFormats="0" applyPatternFormats="0" applyAlignmentFormats="0" applyWidthHeightFormats="0">
  <queryTableRefresh nextId="22">
    <queryTableFields count="21">
      <queryTableField id="1" name="step_no" tableColumnId="1"/>
      <queryTableField id="2" name="step_id" tableColumnId="2"/>
      <queryTableField id="3" name="kf_id" tableColumnId="3"/>
      <queryTableField id="4" name="liquidity" tableColumnId="4"/>
      <queryTableField id="5" name="price" tableColumnId="5"/>
      <queryTableField id="6" name="equity" tableColumnId="6"/>
      <queryTableField id="7" name="debt" tableColumnId="7"/>
      <queryTableField id="8" name="profit" tableColumnId="8"/>
      <queryTableField id="9" name="production" tableColumnId="9"/>
      <queryTableField id="10" name="sales" tableColumnId="10"/>
      <queryTableField id="11" name="inventory" tableColumnId="11"/>
      <queryTableField id="12" name="queue" tableColumnId="12"/>
      <queryTableField id="13" name="expected_demand" tableColumnId="13"/>
      <queryTableField id="14" name="intresses" tableColumnId="14"/>
      <queryTableField id="15" name="loans" tableColumnId="15"/>
      <queryTableField id="16" name="labour_demand" tableColumnId="16"/>
      <queryTableField id="17" name="staff" tableColumnId="17"/>
      <queryTableField id="18" name="first_step" tableColumnId="18"/>
      <queryTableField id="19" name="lmbda" tableColumnId="19"/>
      <queryTableField id="20" name="wage_bill" tableColumnId="20"/>
      <queryTableField id="21" name="Column1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E54C81B-91A1-468A-89A5-1CA3D2550510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step_no" tableColumnId="1"/>
      <queryTableField id="2" name="equity" tableColumnId="2"/>
      <queryTableField id="3" name="k_coef" tableColumnId="3"/>
      <queryTableField id="4" name="k_intercept" tableColumnId="4"/>
      <queryTableField id="5" name="c_coef" tableColumnId="5"/>
      <queryTableField id="6" name="c_intercept" tableColumnId="6"/>
      <queryTableField id="7" name="intresses" tableColumnId="7"/>
      <queryTableField id="8" name="losses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EFD6782-7F27-4782-81B1-086A342E96A8}" autoFormatId="16" applyNumberFormats="0" applyBorderFormats="0" applyFontFormats="0" applyPatternFormats="0" applyAlignmentFormats="0" applyWidthHeightFormats="0">
  <queryTableRefresh nextId="14" unboundColumnsRight="4">
    <queryTableFields count="13">
      <queryTableField id="1" name="run_id" tableColumnId="1"/>
      <queryTableField id="2" name="step_no" tableColumnId="2"/>
      <queryTableField id="3" name="w_m" tableColumnId="3"/>
      <queryTableField id="4" name="c_m" tableColumnId="4"/>
      <queryTableField id="5" name="cf_m" tableColumnId="5"/>
      <queryTableField id="6" name="cf_d" tableColumnId="6"/>
      <queryTableField id="7" name="kf_m" tableColumnId="7"/>
      <queryTableField id="8" name="kf_d" tableColumnId="8"/>
      <queryTableField id="13" name="equity" tableColumnId="13"/>
      <queryTableField id="9" dataBound="0" tableColumnId="9"/>
      <queryTableField id="10" dataBound="0" tableColumnId="10"/>
      <queryTableField id="11" dataBound="0" tableColumnId="11"/>
      <queryTableField id="12" dataBound="0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130934F-FBF7-492E-B70D-53F0BFC8720F}" autoFormatId="16" applyNumberFormats="0" applyBorderFormats="0" applyFontFormats="0" applyPatternFormats="0" applyAlignmentFormats="0" applyWidthHeightFormats="0">
  <queryTableRefresh nextId="11">
    <queryTableFields count="10">
      <queryTableField id="1" name="step_no" tableColumnId="1"/>
      <queryTableField id="2" name="step_id" tableColumnId="2"/>
      <queryTableField id="3" name="worker_id" tableColumnId="3"/>
      <queryTableField id="4" name="wealth" tableColumnId="4"/>
      <queryTableField id="10" dataBound="0" tableColumnId="10"/>
      <queryTableField id="5" name="human_wealth" tableColumnId="5"/>
      <queryTableField id="6" name="spent_amount" tableColumnId="6"/>
      <queryTableField id="7" name="employed" tableColumnId="7"/>
      <queryTableField id="8" name="employer_id" tableColumnId="8"/>
      <queryTableField id="9" name="budget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A4B423CF-6905-4621-BEC1-7917DC4A2996}" autoFormatId="16" applyNumberFormats="0" applyBorderFormats="0" applyFontFormats="0" applyPatternFormats="0" applyAlignmentFormats="0" applyWidthHeightFormats="0">
  <queryTableRefresh nextId="8">
    <queryTableFields count="7">
      <queryTableField id="1" name="step_no" tableColumnId="1"/>
      <queryTableField id="2" name="steps_id" tableColumnId="2"/>
      <queryTableField id="3" name="capitalist_id" tableColumnId="3"/>
      <queryTableField id="4" name="wealth" tableColumnId="4"/>
      <queryTableField id="5" name="human_wealth" tableColumnId="5"/>
      <queryTableField id="6" name="spent_amount" tableColumnId="6"/>
      <queryTableField id="7" name="budge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4287CE0-C21D-4D23-948C-218040656490}" autoFormatId="16" applyNumberFormats="0" applyBorderFormats="0" applyFontFormats="0" applyPatternFormats="0" applyAlignmentFormats="0" applyWidthHeightFormats="0">
  <queryTableRefresh nextId="30">
    <queryTableFields count="28">
      <queryTableField id="1" name="step_no" tableColumnId="1"/>
      <queryTableField id="2" name="step_id" tableColumnId="2"/>
      <queryTableField id="3" name="cf_id" tableColumnId="3"/>
      <queryTableField id="4" name="liquidity" tableColumnId="4"/>
      <queryTableField id="5" name="price" tableColumnId="5"/>
      <queryTableField id="6" name="equity" tableColumnId="6"/>
      <queryTableField id="29" dataBound="0" tableColumnId="29"/>
      <queryTableField id="7" name="debt" tableColumnId="7"/>
      <queryTableField id="8" name="profit" tableColumnId="8"/>
      <queryTableField id="9" name="production" tableColumnId="9"/>
      <queryTableField id="10" name="sales" tableColumnId="10"/>
      <queryTableField id="11" name="queue" tableColumnId="11"/>
      <queryTableField id="12" name="expected_demand" tableColumnId="12"/>
      <queryTableField id="13" name="intresses" tableColumnId="13"/>
      <queryTableField id="14" name="labour_demand" tableColumnId="14"/>
      <queryTableField id="15" name="lmbda" tableColumnId="15"/>
      <queryTableField id="16" name="loans" tableColumnId="16"/>
      <queryTableField id="17" name="staff" tableColumnId="17"/>
      <queryTableField id="18" name="first_step" tableColumnId="18"/>
      <queryTableField id="19" name="capital" tableColumnId="19"/>
      <queryTableField id="20" name="capital_avg" tableColumnId="20"/>
      <queryTableField id="21" name="invested" tableColumnId="21"/>
      <queryTableField id="22" name="planned_production" tableColumnId="22"/>
      <queryTableField id="23" name="planned_investment" tableColumnId="23"/>
      <queryTableField id="24" name="wage_bill" tableColumnId="24"/>
      <queryTableField id="25" name="investment_cost" tableColumnId="25"/>
      <queryTableField id="26" name="capital_book" tableColumnId="26"/>
      <queryTableField id="27" name="desired_capital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468822-4A87-472F-80B7-73758C398802}" name="k_firm_data" displayName="k_firm_data" ref="A1:U601" tableType="queryTable" totalsRowShown="0">
  <autoFilter ref="A1:U601" xr:uid="{60468822-4A87-472F-80B7-73758C398802}"/>
  <tableColumns count="21">
    <tableColumn id="1" xr3:uid="{02A8A3C1-A051-40FF-BE58-23401C070B35}" uniqueName="1" name="step_no" queryTableFieldId="1"/>
    <tableColumn id="2" xr3:uid="{497F947A-A799-4788-9511-5D2392F4A5A6}" uniqueName="2" name="step_id" queryTableFieldId="2"/>
    <tableColumn id="3" xr3:uid="{7DD16062-59CF-4A6F-8FF2-0786520A7594}" uniqueName="3" name="kf_id" queryTableFieldId="3" dataDxfId="22"/>
    <tableColumn id="4" xr3:uid="{5F6C1AE9-5BAB-4B86-8A77-D33BF54995B0}" uniqueName="4" name="liquidity" queryTableFieldId="4"/>
    <tableColumn id="5" xr3:uid="{29E9FFAF-EB0C-4782-A0AE-A3F7CA69CB5A}" uniqueName="5" name="price" queryTableFieldId="5"/>
    <tableColumn id="6" xr3:uid="{0F9D3935-DB81-4FD7-B82F-7C63BFCC456B}" uniqueName="6" name="equity" queryTableFieldId="6"/>
    <tableColumn id="7" xr3:uid="{ED600045-3D40-4C41-9E36-0EF980867BF7}" uniqueName="7" name="debt" queryTableFieldId="7"/>
    <tableColumn id="8" xr3:uid="{869D3691-2B8F-41E2-9651-643435F63E82}" uniqueName="8" name="profit" queryTableFieldId="8"/>
    <tableColumn id="9" xr3:uid="{1C6B3280-7CD7-4A01-9396-186D67AB7526}" uniqueName="9" name="production" queryTableFieldId="9"/>
    <tableColumn id="10" xr3:uid="{BB9B7FFC-43A4-4667-BF1A-AF2814C722CC}" uniqueName="10" name="sales" queryTableFieldId="10"/>
    <tableColumn id="11" xr3:uid="{6CE63BF0-C35B-4D02-AC14-C20E22C5A024}" uniqueName="11" name="inventory" queryTableFieldId="11"/>
    <tableColumn id="12" xr3:uid="{4212A8ED-0319-4410-94E5-01D3C52C23FC}" uniqueName="12" name="queue" queryTableFieldId="12"/>
    <tableColumn id="13" xr3:uid="{0A5C09F4-1A53-4186-B278-6E6DE4A81CBB}" uniqueName="13" name="expected_demand" queryTableFieldId="13"/>
    <tableColumn id="14" xr3:uid="{17DD1418-B8A6-448F-920F-11961740B9E8}" uniqueName="14" name="intresses" queryTableFieldId="14"/>
    <tableColumn id="15" xr3:uid="{50FA63EF-B6FF-4695-8F66-07DFE40CEE6E}" uniqueName="15" name="loans" queryTableFieldId="15" dataDxfId="21"/>
    <tableColumn id="16" xr3:uid="{DE180802-19E5-43BC-AA1F-52385841A406}" uniqueName="16" name="labour_demand" queryTableFieldId="16"/>
    <tableColumn id="17" xr3:uid="{8C581E4C-E0C9-4852-96E9-339CF404FDA5}" uniqueName="17" name="staff" queryTableFieldId="17" dataDxfId="20"/>
    <tableColumn id="18" xr3:uid="{18CF0E45-2BFF-4C1F-9B4F-972E93BE8B7B}" uniqueName="18" name="first_step" queryTableFieldId="18"/>
    <tableColumn id="19" xr3:uid="{23206323-5212-4CB2-8740-5125E5CEB4D5}" uniqueName="19" name="lmbda" queryTableFieldId="19"/>
    <tableColumn id="20" xr3:uid="{48B42C9B-DF2A-488A-912E-C96ECAA5A7E8}" uniqueName="20" name="wage_bill" queryTableFieldId="20"/>
    <tableColumn id="21" xr3:uid="{4F67C778-17E9-4E07-A8C3-9D9F239CAEBE}" uniqueName="21" name="Column1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A31C71B-E551-4A9D-A206-2DB32E2EFA06}" name="bank_data" displayName="bank_data" ref="A1:I601" tableType="queryTable" totalsRowShown="0">
  <autoFilter ref="A1:I601" xr:uid="{8A31C71B-E551-4A9D-A206-2DB32E2EFA06}"/>
  <tableColumns count="9">
    <tableColumn id="1" xr3:uid="{23CFD81F-D590-4EC4-BA80-6ED532DF3058}" uniqueName="1" name="step_no" queryTableFieldId="1"/>
    <tableColumn id="2" xr3:uid="{97D2E2B5-58B4-459A-A6EE-64B8D3ED5832}" uniqueName="2" name="equity" queryTableFieldId="2"/>
    <tableColumn id="3" xr3:uid="{A636ADFF-8A7A-4B97-860D-578E9EA99EDC}" uniqueName="3" name="k_coef" queryTableFieldId="3"/>
    <tableColumn id="4" xr3:uid="{BE858C1D-02EC-46C3-993D-1FD3156419AA}" uniqueName="4" name="k_intercept" queryTableFieldId="4"/>
    <tableColumn id="5" xr3:uid="{1F4B8A62-827A-4B43-8D75-7FB65D6A1CC0}" uniqueName="5" name="c_coef" queryTableFieldId="5"/>
    <tableColumn id="6" xr3:uid="{BE166518-69BF-4F35-AEAC-34DB538AF272}" uniqueName="6" name="c_intercept" queryTableFieldId="6"/>
    <tableColumn id="7" xr3:uid="{034638E4-5AB5-4A84-871A-1674595778EC}" uniqueName="7" name="intresses" queryTableFieldId="7"/>
    <tableColumn id="8" xr3:uid="{291E27B5-9BE8-4301-9618-F1616834367F}" uniqueName="8" name="losses" queryTableFieldId="8"/>
    <tableColumn id="9" xr3:uid="{9D82D131-F777-4CF0-9320-D597AFF30293}" uniqueName="9" name="profit" queryTableFieldId="9" dataDxfId="19">
      <calculatedColumnFormula>bank_data[[#This Row],[intresses]]-bank_data[[#This Row],[losses]]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2C00AC-0C4D-4AD0-8A1A-BD9B918CED03}" name="liquidity_data" displayName="liquidity_data" ref="A1:M601" tableType="queryTable" totalsRowShown="0">
  <autoFilter ref="A1:M601" xr:uid="{C32C00AC-0C4D-4AD0-8A1A-BD9B918CED03}"/>
  <tableColumns count="13">
    <tableColumn id="1" xr3:uid="{0E73CBB4-CBDD-4F2A-8709-62C27C583FFA}" uniqueName="1" name="run_id" queryTableFieldId="1" dataDxfId="18"/>
    <tableColumn id="2" xr3:uid="{049BA777-351D-4085-BCD4-3D93A9A8562E}" uniqueName="2" name="step_no" queryTableFieldId="2"/>
    <tableColumn id="3" xr3:uid="{A126D6FB-93E3-4514-93D5-33BD134BAB1F}" uniqueName="3" name="w_m" queryTableFieldId="3" dataDxfId="17"/>
    <tableColumn id="4" xr3:uid="{FCD6FFC7-2464-41E8-9775-16B6A6E4A5D3}" uniqueName="4" name="c_m" queryTableFieldId="4" dataDxfId="16"/>
    <tableColumn id="5" xr3:uid="{A94B0504-FC77-4368-AA87-B70B4AE7E018}" uniqueName="5" name="cf_m" queryTableFieldId="5" dataDxfId="15"/>
    <tableColumn id="6" xr3:uid="{DD40085B-0586-47AE-8C03-03EC91A43513}" uniqueName="6" name="cf_d" queryTableFieldId="6" dataDxfId="14"/>
    <tableColumn id="7" xr3:uid="{5BC04571-7ED6-4F2B-81F8-3CFF3973B080}" uniqueName="7" name="kf_m" queryTableFieldId="7" dataDxfId="13"/>
    <tableColumn id="8" xr3:uid="{EC33E5CF-6976-41CF-9603-1CCCE10A627E}" uniqueName="8" name="kf_d" queryTableFieldId="8" dataDxfId="12"/>
    <tableColumn id="13" xr3:uid="{309B1901-8F9F-4F69-BE22-0BCBE3CEA8B3}" uniqueName="13" name="equity" queryTableFieldId="13"/>
    <tableColumn id="9" xr3:uid="{47D6A000-9C30-4AC1-BBA7-0328D5FE2E44}" uniqueName="9" name="TOTAL_M" queryTableFieldId="9" dataDxfId="11">
      <calculatedColumnFormula>liquidity_data[[#This Row],[w_m]]+liquidity_data[[#This Row],[c_m]]+liquidity_data[[#This Row],[cf_m]]+liquidity_data[[#This Row],[kf_m]]+liquidity_data[[#This Row],[equity]]</calculatedColumnFormula>
    </tableColumn>
    <tableColumn id="10" xr3:uid="{292A6F8A-AD69-4B51-9476-2EB80508A5B6}" uniqueName="10" name="TOTAL_D" queryTableFieldId="10" dataDxfId="10">
      <calculatedColumnFormula>liquidity_data[[#This Row],[kf_d]]+liquidity_data[[#This Row],[cf_d]]</calculatedColumnFormula>
    </tableColumn>
    <tableColumn id="11" xr3:uid="{B9AAA044-1CCB-4182-9786-2B29ED2976AE}" uniqueName="11" name="M-D" queryTableFieldId="11" dataDxfId="9">
      <calculatedColumnFormula>liquidity_data[[#This Row],[TOTAL_M]]-liquidity_data[[#This Row],[TOTAL_D]]</calculatedColumnFormula>
    </tableColumn>
    <tableColumn id="12" xr3:uid="{3A22EE78-D9AE-4D14-870B-E7A26102DEBD}" uniqueName="12" name="kasv" queryTableFieldId="12" dataDxfId="8" dataCellStyle="Percent">
      <calculatedColumnFormula>liquidity_data[[#This Row],[M-D]]/L1-1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FEC52E-92A6-4696-9252-912F69A5760A}" name="worker_data" displayName="worker_data" ref="A1:J601" tableType="queryTable" totalsRowShown="0">
  <autoFilter ref="A1:J601" xr:uid="{57FEC52E-92A6-4696-9252-912F69A5760A}"/>
  <tableColumns count="10">
    <tableColumn id="1" xr3:uid="{A5F55487-572E-4D2E-BFFE-671A041BC2E8}" uniqueName="1" name="step_no" queryTableFieldId="1"/>
    <tableColumn id="2" xr3:uid="{284D086B-AF42-4169-A450-7C25CE3C5EA8}" uniqueName="2" name="step_id" queryTableFieldId="2"/>
    <tableColumn id="3" xr3:uid="{70990CE4-35E3-4DA6-9BB1-D0807E7DD44F}" uniqueName="3" name="worker_id" queryTableFieldId="3" dataDxfId="7"/>
    <tableColumn id="4" xr3:uid="{341F0AFD-DDCD-40FE-9DAD-CFDD29A5F703}" uniqueName="4" name="wealth" queryTableFieldId="4"/>
    <tableColumn id="10" xr3:uid="{FD601DE4-EDBB-42F1-8889-D0D2E17553E3}" uniqueName="10" name="Column1" queryTableFieldId="10" dataDxfId="6">
      <calculatedColumnFormula>worker_data[[#This Row],[employed]]-worker_data[[#This Row],[spent_amount]]</calculatedColumnFormula>
    </tableColumn>
    <tableColumn id="5" xr3:uid="{9AB3CB0C-E4B8-4D79-808D-AC55DFA2B6FF}" uniqueName="5" name="human_wealth" queryTableFieldId="5"/>
    <tableColumn id="6" xr3:uid="{348F3F22-9A27-4635-9078-BD31399574E4}" uniqueName="6" name="spent_amount" queryTableFieldId="6"/>
    <tableColumn id="7" xr3:uid="{0BE5886E-BC98-47DB-9C82-7730005F49A4}" uniqueName="7" name="employed" queryTableFieldId="7"/>
    <tableColumn id="8" xr3:uid="{473536C3-FA68-4768-97EF-16666C1C6444}" uniqueName="8" name="employer_id" queryTableFieldId="8" dataDxfId="5"/>
    <tableColumn id="9" xr3:uid="{55472175-6274-4C87-B053-937DA2D53E93}" uniqueName="9" name="budget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C0F5D6-18DE-41E8-92DA-47CE95D5ABDD}" name="capitalist_data" displayName="capitalist_data" ref="A1:G601" tableType="queryTable" totalsRowShown="0">
  <autoFilter ref="A1:G601" xr:uid="{5CC0F5D6-18DE-41E8-92DA-47CE95D5ABDD}"/>
  <tableColumns count="7">
    <tableColumn id="1" xr3:uid="{FEE10CD6-8B15-4CB4-9367-5BB3F9F95F55}" uniqueName="1" name="step_no" queryTableFieldId="1"/>
    <tableColumn id="2" xr3:uid="{F277B8F5-E035-4F6C-855D-9CFB64A36FC1}" uniqueName="2" name="steps_id" queryTableFieldId="2"/>
    <tableColumn id="3" xr3:uid="{6708C52B-83BA-4264-8DEA-97E69ECB389F}" uniqueName="3" name="capitalist_id" queryTableFieldId="3" dataDxfId="4"/>
    <tableColumn id="4" xr3:uid="{F09FB5C6-845D-480E-9B5B-D03BE7950504}" uniqueName="4" name="wealth" queryTableFieldId="4"/>
    <tableColumn id="5" xr3:uid="{1C9C1E88-6D30-4991-AC20-C22600F82D6C}" uniqueName="5" name="human_wealth" queryTableFieldId="5"/>
    <tableColumn id="6" xr3:uid="{A0F66265-62B1-4DF0-9890-48F1655ABEAE}" uniqueName="6" name="spent_amount" queryTableFieldId="6"/>
    <tableColumn id="7" xr3:uid="{09ECA597-1F92-46A3-A865-7A4FD689EDC1}" uniqueName="7" name="budget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6E614F-9FF6-495A-B53E-DDC3A053B1F6}" name="firm_data" displayName="firm_data" ref="A1:AB601" tableType="queryTable" totalsRowShown="0">
  <autoFilter ref="A1:AB601" xr:uid="{376E614F-9FF6-495A-B53E-DDC3A053B1F6}"/>
  <tableColumns count="28">
    <tableColumn id="1" xr3:uid="{29B8BB0A-AA2F-4BFF-B794-B44B63DC4D8C}" uniqueName="1" name="step_no" queryTableFieldId="1"/>
    <tableColumn id="2" xr3:uid="{2F002D26-D44E-42F1-855C-B4AC8F01E6FC}" uniqueName="2" name="step_id" queryTableFieldId="2"/>
    <tableColumn id="3" xr3:uid="{03A1030D-E775-4DFE-A885-BD05C24B1F84}" uniqueName="3" name="cf_id" queryTableFieldId="3" dataDxfId="3"/>
    <tableColumn id="4" xr3:uid="{C784D4A6-482B-47B5-9D22-B3F0A16DB388}" uniqueName="4" name="liquidity" queryTableFieldId="4"/>
    <tableColumn id="5" xr3:uid="{06ADCC96-3D32-4CDB-917F-58049E74DFF9}" uniqueName="5" name="price" queryTableFieldId="5"/>
    <tableColumn id="6" xr3:uid="{07A389CD-1906-4CA9-BC21-69E94B114F43}" uniqueName="6" name="equity" queryTableFieldId="6"/>
    <tableColumn id="29" xr3:uid="{826B5F7D-EFE0-41E1-88B0-27813B0901B8}" uniqueName="29" name="unsold" queryTableFieldId="29" dataDxfId="2">
      <calculatedColumnFormula>firm_data[[#This Row],[production]]-firm_data[[#This Row],[sales]]</calculatedColumnFormula>
    </tableColumn>
    <tableColumn id="7" xr3:uid="{87262DC1-BFCF-43C1-B82D-419947C02C2D}" uniqueName="7" name="debt" queryTableFieldId="7"/>
    <tableColumn id="8" xr3:uid="{DA5B60B4-6099-4069-9CCA-E7F8ED9820D2}" uniqueName="8" name="profit" queryTableFieldId="8"/>
    <tableColumn id="9" xr3:uid="{2CEB8FE0-161B-4B7A-A936-8D595D11E5F5}" uniqueName="9" name="production" queryTableFieldId="9"/>
    <tableColumn id="10" xr3:uid="{1926D8D5-730D-4BC6-9A3E-9BA7FC187A0A}" uniqueName="10" name="sales" queryTableFieldId="10"/>
    <tableColumn id="11" xr3:uid="{32B7C81E-5ADC-45C7-B322-0E0941667655}" uniqueName="11" name="queue" queryTableFieldId="11"/>
    <tableColumn id="12" xr3:uid="{C2696C53-28BD-4A0C-9246-B227904E6D84}" uniqueName="12" name="expected_demand" queryTableFieldId="12"/>
    <tableColumn id="13" xr3:uid="{6C968529-349E-4A1D-ACF6-0B78044F0CD8}" uniqueName="13" name="intresses" queryTableFieldId="13"/>
    <tableColumn id="14" xr3:uid="{6D0ACB2F-A8F9-4B80-A2AC-01B501D0B473}" uniqueName="14" name="labour_demand" queryTableFieldId="14"/>
    <tableColumn id="15" xr3:uid="{DF182038-85D8-488D-B840-3A71CE78B871}" uniqueName="15" name="lmbda" queryTableFieldId="15"/>
    <tableColumn id="16" xr3:uid="{9B3E70AB-F1F0-408A-B44B-A8FEF13CED11}" uniqueName="16" name="loans" queryTableFieldId="16" dataDxfId="1"/>
    <tableColumn id="17" xr3:uid="{F93EF342-92CD-465A-AC6C-6C1CF00C7039}" uniqueName="17" name="staff" queryTableFieldId="17" dataDxfId="0"/>
    <tableColumn id="18" xr3:uid="{FC04C169-665B-4BE1-9A22-2345D9DCB17D}" uniqueName="18" name="first_step" queryTableFieldId="18"/>
    <tableColumn id="19" xr3:uid="{271B94D8-45DB-4A29-8850-6682CC786637}" uniqueName="19" name="capital" queryTableFieldId="19"/>
    <tableColumn id="20" xr3:uid="{587CF02A-192B-4336-AD6C-832891C73007}" uniqueName="20" name="capital_avg" queryTableFieldId="20"/>
    <tableColumn id="21" xr3:uid="{A9B0A343-019A-49EA-A3DA-437ED83DB546}" uniqueName="21" name="invested" queryTableFieldId="21"/>
    <tableColumn id="22" xr3:uid="{39A3A001-C4E7-471F-9AE5-42C9806D82E2}" uniqueName="22" name="planned_production" queryTableFieldId="22"/>
    <tableColumn id="23" xr3:uid="{081BF58E-747D-441E-99D4-B8583EF4D3FC}" uniqueName="23" name="planned_investment" queryTableFieldId="23"/>
    <tableColumn id="24" xr3:uid="{8E3D88EF-C029-4D38-AED3-21EEB7560BA9}" uniqueName="24" name="wage_bill" queryTableFieldId="24"/>
    <tableColumn id="25" xr3:uid="{AEB9937F-71AB-4E45-8D3C-620D1FE6F1FD}" uniqueName="25" name="investment_cost" queryTableFieldId="25"/>
    <tableColumn id="26" xr3:uid="{5399B3E6-39D6-43A6-A299-F79700A5202B}" uniqueName="26" name="capital_book" queryTableFieldId="26"/>
    <tableColumn id="27" xr3:uid="{B165A3CA-87CD-421E-AE22-E1EA02665795}" uniqueName="27" name="desired_capital" queryTableField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90F1-0ADA-4B5C-BCAE-DF5F8BBBC62A}">
  <dimension ref="A4:C605"/>
  <sheetViews>
    <sheetView workbookViewId="0">
      <selection activeCell="A4" sqref="A4"/>
    </sheetView>
  </sheetViews>
  <sheetFormatPr defaultRowHeight="15" x14ac:dyDescent="0.25"/>
  <cols>
    <col min="1" max="1" width="13.140625" bestFit="1" customWidth="1"/>
    <col min="2" max="2" width="11.7109375" bestFit="1" customWidth="1"/>
    <col min="3" max="3" width="13.5703125" bestFit="1" customWidth="1"/>
    <col min="4" max="4" width="11.7109375" bestFit="1" customWidth="1"/>
    <col min="5" max="5" width="12" bestFit="1" customWidth="1"/>
    <col min="6" max="8" width="8" bestFit="1" customWidth="1"/>
    <col min="9" max="11" width="7" bestFit="1" customWidth="1"/>
    <col min="12" max="28" width="8" bestFit="1" customWidth="1"/>
    <col min="29" max="30" width="7" bestFit="1" customWidth="1"/>
    <col min="31" max="37" width="8" bestFit="1" customWidth="1"/>
    <col min="38" max="40" width="7" bestFit="1" customWidth="1"/>
    <col min="41" max="59" width="8" bestFit="1" customWidth="1"/>
    <col min="60" max="60" width="7" bestFit="1" customWidth="1"/>
    <col min="61" max="63" width="8" bestFit="1" customWidth="1"/>
    <col min="64" max="64" width="7" bestFit="1" customWidth="1"/>
    <col min="65" max="66" width="8" bestFit="1" customWidth="1"/>
    <col min="67" max="116" width="9" bestFit="1" customWidth="1"/>
    <col min="117" max="117" width="8" bestFit="1" customWidth="1"/>
    <col min="118" max="119" width="9" bestFit="1" customWidth="1"/>
    <col min="120" max="120" width="8" bestFit="1" customWidth="1"/>
    <col min="121" max="122" width="9" bestFit="1" customWidth="1"/>
    <col min="123" max="126" width="8" bestFit="1" customWidth="1"/>
    <col min="127" max="128" width="9" bestFit="1" customWidth="1"/>
    <col min="129" max="130" width="8" bestFit="1" customWidth="1"/>
    <col min="131" max="152" width="9" bestFit="1" customWidth="1"/>
    <col min="153" max="182" width="10" bestFit="1" customWidth="1"/>
    <col min="183" max="187" width="9" bestFit="1" customWidth="1"/>
    <col min="188" max="197" width="10" bestFit="1" customWidth="1"/>
    <col min="198" max="199" width="9" bestFit="1" customWidth="1"/>
    <col min="200" max="224" width="10" bestFit="1" customWidth="1"/>
    <col min="225" max="226" width="9" bestFit="1" customWidth="1"/>
    <col min="227" max="227" width="10" bestFit="1" customWidth="1"/>
    <col min="228" max="244" width="11" bestFit="1" customWidth="1"/>
    <col min="245" max="245" width="10" bestFit="1" customWidth="1"/>
    <col min="246" max="255" width="11" bestFit="1" customWidth="1"/>
    <col min="256" max="258" width="10" bestFit="1" customWidth="1"/>
    <col min="259" max="311" width="11" bestFit="1" customWidth="1"/>
    <col min="312" max="316" width="12" bestFit="1" customWidth="1"/>
    <col min="317" max="317" width="11" bestFit="1" customWidth="1"/>
    <col min="318" max="349" width="12" bestFit="1" customWidth="1"/>
    <col min="350" max="350" width="11" bestFit="1" customWidth="1"/>
    <col min="351" max="355" width="12" bestFit="1" customWidth="1"/>
    <col min="356" max="357" width="11" bestFit="1" customWidth="1"/>
    <col min="358" max="379" width="12" bestFit="1" customWidth="1"/>
    <col min="380" max="382" width="11" bestFit="1" customWidth="1"/>
    <col min="383" max="388" width="12" bestFit="1" customWidth="1"/>
    <col min="389" max="390" width="11" bestFit="1" customWidth="1"/>
    <col min="391" max="393" width="12" bestFit="1" customWidth="1"/>
    <col min="394" max="394" width="11" bestFit="1" customWidth="1"/>
    <col min="395" max="487" width="12" bestFit="1" customWidth="1"/>
    <col min="488" max="490" width="11" bestFit="1" customWidth="1"/>
    <col min="491" max="501" width="12" bestFit="1" customWidth="1"/>
    <col min="502" max="503" width="11" bestFit="1" customWidth="1"/>
    <col min="504" max="518" width="12" bestFit="1" customWidth="1"/>
    <col min="519" max="519" width="11" bestFit="1" customWidth="1"/>
    <col min="520" max="548" width="12" bestFit="1" customWidth="1"/>
    <col min="549" max="550" width="11" bestFit="1" customWidth="1"/>
    <col min="551" max="567" width="12" bestFit="1" customWidth="1"/>
    <col min="568" max="568" width="11" bestFit="1" customWidth="1"/>
    <col min="569" max="581" width="12" bestFit="1" customWidth="1"/>
    <col min="582" max="584" width="11" bestFit="1" customWidth="1"/>
    <col min="585" max="592" width="12" bestFit="1" customWidth="1"/>
    <col min="593" max="595" width="11" bestFit="1" customWidth="1"/>
    <col min="596" max="634" width="12" bestFit="1" customWidth="1"/>
    <col min="635" max="635" width="11" bestFit="1" customWidth="1"/>
    <col min="636" max="644" width="12" bestFit="1" customWidth="1"/>
    <col min="645" max="645" width="11" bestFit="1" customWidth="1"/>
    <col min="646" max="674" width="12" bestFit="1" customWidth="1"/>
    <col min="675" max="676" width="10" bestFit="1" customWidth="1"/>
    <col min="677" max="684" width="12" bestFit="1" customWidth="1"/>
    <col min="685" max="687" width="11" bestFit="1" customWidth="1"/>
    <col min="688" max="727" width="12" bestFit="1" customWidth="1"/>
    <col min="728" max="728" width="11" bestFit="1" customWidth="1"/>
    <col min="729" max="733" width="12" bestFit="1" customWidth="1"/>
    <col min="734" max="735" width="11" bestFit="1" customWidth="1"/>
    <col min="736" max="760" width="12" bestFit="1" customWidth="1"/>
    <col min="761" max="761" width="11" bestFit="1" customWidth="1"/>
    <col min="762" max="789" width="12" bestFit="1" customWidth="1"/>
    <col min="790" max="791" width="11" bestFit="1" customWidth="1"/>
    <col min="792" max="826" width="12" bestFit="1" customWidth="1"/>
    <col min="827" max="827" width="11" bestFit="1" customWidth="1"/>
    <col min="828" max="876" width="12" bestFit="1" customWidth="1"/>
    <col min="877" max="880" width="8" bestFit="1" customWidth="1"/>
    <col min="881" max="885" width="12" bestFit="1" customWidth="1"/>
    <col min="886" max="887" width="11" bestFit="1" customWidth="1"/>
    <col min="888" max="920" width="12" bestFit="1" customWidth="1"/>
    <col min="921" max="924" width="10" bestFit="1" customWidth="1"/>
    <col min="925" max="932" width="12" bestFit="1" customWidth="1"/>
    <col min="933" max="935" width="9" bestFit="1" customWidth="1"/>
    <col min="936" max="937" width="11" bestFit="1" customWidth="1"/>
    <col min="938" max="938" width="12" bestFit="1" customWidth="1"/>
    <col min="939" max="940" width="11" bestFit="1" customWidth="1"/>
    <col min="941" max="968" width="12" bestFit="1" customWidth="1"/>
    <col min="969" max="970" width="10" bestFit="1" customWidth="1"/>
    <col min="971" max="1015" width="12" bestFit="1" customWidth="1"/>
    <col min="1016" max="1016" width="11" bestFit="1" customWidth="1"/>
    <col min="1017" max="1090" width="12" bestFit="1" customWidth="1"/>
    <col min="1091" max="1093" width="11" bestFit="1" customWidth="1"/>
    <col min="1094" max="1097" width="12" bestFit="1" customWidth="1"/>
    <col min="1098" max="1098" width="11" bestFit="1" customWidth="1"/>
    <col min="1099" max="1133" width="12" bestFit="1" customWidth="1"/>
    <col min="1134" max="1134" width="11" bestFit="1" customWidth="1"/>
    <col min="1135" max="1143" width="12" bestFit="1" customWidth="1"/>
    <col min="1144" max="1144" width="11" bestFit="1" customWidth="1"/>
    <col min="1145" max="1174" width="12" bestFit="1" customWidth="1"/>
    <col min="1175" max="1175" width="11" bestFit="1" customWidth="1"/>
    <col min="1176" max="1187" width="12" bestFit="1" customWidth="1"/>
    <col min="1188" max="1189" width="11" bestFit="1" customWidth="1"/>
    <col min="1190" max="1190" width="12" bestFit="1" customWidth="1"/>
    <col min="1191" max="1193" width="11" bestFit="1" customWidth="1"/>
    <col min="1194" max="1245" width="12" bestFit="1" customWidth="1"/>
    <col min="1246" max="1248" width="11" bestFit="1" customWidth="1"/>
    <col min="1249" max="1256" width="12" bestFit="1" customWidth="1"/>
    <col min="1257" max="1257" width="11" bestFit="1" customWidth="1"/>
    <col min="1258" max="1259" width="12" bestFit="1" customWidth="1"/>
    <col min="1260" max="1261" width="11" bestFit="1" customWidth="1"/>
    <col min="1262" max="1285" width="12" bestFit="1" customWidth="1"/>
    <col min="1286" max="1286" width="11" bestFit="1" customWidth="1"/>
    <col min="1287" max="1293" width="12" bestFit="1" customWidth="1"/>
    <col min="1294" max="1294" width="10" bestFit="1" customWidth="1"/>
    <col min="1295" max="1303" width="12" bestFit="1" customWidth="1"/>
    <col min="1304" max="1306" width="10" bestFit="1" customWidth="1"/>
    <col min="1307" max="1330" width="12" bestFit="1" customWidth="1"/>
    <col min="1331" max="1331" width="11" bestFit="1" customWidth="1"/>
    <col min="1332" max="1333" width="12" bestFit="1" customWidth="1"/>
    <col min="1334" max="1334" width="11" bestFit="1" customWidth="1"/>
    <col min="1335" max="1346" width="12" bestFit="1" customWidth="1"/>
    <col min="1347" max="1347" width="11" bestFit="1" customWidth="1"/>
    <col min="1348" max="1350" width="12" bestFit="1" customWidth="1"/>
    <col min="1351" max="1351" width="11" bestFit="1" customWidth="1"/>
    <col min="1352" max="1377" width="12" bestFit="1" customWidth="1"/>
    <col min="1378" max="1379" width="11" bestFit="1" customWidth="1"/>
    <col min="1380" max="1391" width="12" bestFit="1" customWidth="1"/>
    <col min="1392" max="1394" width="10" bestFit="1" customWidth="1"/>
    <col min="1395" max="1412" width="12" bestFit="1" customWidth="1"/>
    <col min="1413" max="1413" width="11" bestFit="1" customWidth="1"/>
    <col min="1414" max="1420" width="12" bestFit="1" customWidth="1"/>
    <col min="1421" max="1422" width="11" bestFit="1" customWidth="1"/>
    <col min="1423" max="1437" width="12" bestFit="1" customWidth="1"/>
    <col min="1438" max="1441" width="11" bestFit="1" customWidth="1"/>
    <col min="1442" max="1447" width="12" bestFit="1" customWidth="1"/>
    <col min="1448" max="1448" width="11" bestFit="1" customWidth="1"/>
    <col min="1449" max="1450" width="12" bestFit="1" customWidth="1"/>
    <col min="1451" max="1451" width="10" bestFit="1" customWidth="1"/>
    <col min="1452" max="1458" width="12" bestFit="1" customWidth="1"/>
    <col min="1459" max="1459" width="11" bestFit="1" customWidth="1"/>
    <col min="1460" max="1468" width="12" bestFit="1" customWidth="1"/>
    <col min="1469" max="1471" width="10" bestFit="1" customWidth="1"/>
    <col min="1472" max="1478" width="12" bestFit="1" customWidth="1"/>
    <col min="1479" max="1480" width="11" bestFit="1" customWidth="1"/>
    <col min="1481" max="1481" width="12" bestFit="1" customWidth="1"/>
    <col min="1482" max="1482" width="11" bestFit="1" customWidth="1"/>
    <col min="1483" max="1515" width="12" bestFit="1" customWidth="1"/>
    <col min="1516" max="1517" width="10" bestFit="1" customWidth="1"/>
    <col min="1518" max="1539" width="12" bestFit="1" customWidth="1"/>
    <col min="1540" max="1540" width="11" bestFit="1" customWidth="1"/>
    <col min="1541" max="1543" width="12" bestFit="1" customWidth="1"/>
    <col min="1544" max="1544" width="11" bestFit="1" customWidth="1"/>
    <col min="1545" max="1567" width="12" bestFit="1" customWidth="1"/>
    <col min="1568" max="1568" width="9" bestFit="1" customWidth="1"/>
    <col min="1569" max="1575" width="11" bestFit="1" customWidth="1"/>
    <col min="1576" max="1588" width="12" bestFit="1" customWidth="1"/>
    <col min="1589" max="1589" width="11" bestFit="1" customWidth="1"/>
    <col min="1590" max="1593" width="12" bestFit="1" customWidth="1"/>
    <col min="1594" max="1594" width="11" bestFit="1" customWidth="1"/>
    <col min="1595" max="1600" width="12" bestFit="1" customWidth="1"/>
    <col min="1601" max="1601" width="11" bestFit="1" customWidth="1"/>
    <col min="1602" max="1622" width="12" bestFit="1" customWidth="1"/>
    <col min="1623" max="1623" width="11" bestFit="1" customWidth="1"/>
    <col min="1624" max="1635" width="12" bestFit="1" customWidth="1"/>
    <col min="1636" max="1639" width="11" bestFit="1" customWidth="1"/>
    <col min="1640" max="1642" width="12" bestFit="1" customWidth="1"/>
    <col min="1643" max="1643" width="11" bestFit="1" customWidth="1"/>
    <col min="1644" max="1645" width="12" bestFit="1" customWidth="1"/>
    <col min="1646" max="1649" width="11" bestFit="1" customWidth="1"/>
    <col min="1650" max="1654" width="12" bestFit="1" customWidth="1"/>
    <col min="1655" max="1657" width="10" bestFit="1" customWidth="1"/>
    <col min="1658" max="1674" width="12" bestFit="1" customWidth="1"/>
    <col min="1675" max="1675" width="11" bestFit="1" customWidth="1"/>
    <col min="1676" max="1710" width="12" bestFit="1" customWidth="1"/>
    <col min="1711" max="1711" width="11" bestFit="1" customWidth="1"/>
    <col min="1712" max="1715" width="12" bestFit="1" customWidth="1"/>
    <col min="1716" max="1716" width="11" bestFit="1" customWidth="1"/>
    <col min="1717" max="1717" width="12" bestFit="1" customWidth="1"/>
    <col min="1718" max="1720" width="11" bestFit="1" customWidth="1"/>
    <col min="1721" max="1725" width="12" bestFit="1" customWidth="1"/>
    <col min="1726" max="1726" width="11" bestFit="1" customWidth="1"/>
    <col min="1727" max="1742" width="12" bestFit="1" customWidth="1"/>
    <col min="1743" max="1743" width="11" bestFit="1" customWidth="1"/>
    <col min="1744" max="1745" width="12" bestFit="1" customWidth="1"/>
    <col min="1746" max="1749" width="11" bestFit="1" customWidth="1"/>
    <col min="1750" max="1790" width="12" bestFit="1" customWidth="1"/>
    <col min="1791" max="1791" width="11" bestFit="1" customWidth="1"/>
    <col min="1792" max="1802" width="12" bestFit="1" customWidth="1"/>
    <col min="1803" max="1803" width="11" bestFit="1" customWidth="1"/>
    <col min="1804" max="1816" width="12" bestFit="1" customWidth="1"/>
    <col min="1817" max="1817" width="10" bestFit="1" customWidth="1"/>
    <col min="1818" max="1819" width="11" bestFit="1" customWidth="1"/>
    <col min="1820" max="1822" width="12" bestFit="1" customWidth="1"/>
    <col min="1823" max="1824" width="11" bestFit="1" customWidth="1"/>
    <col min="1825" max="1837" width="12" bestFit="1" customWidth="1"/>
    <col min="1838" max="1838" width="11" bestFit="1" customWidth="1"/>
    <col min="1839" max="1845" width="12" bestFit="1" customWidth="1"/>
    <col min="1846" max="1846" width="11" bestFit="1" customWidth="1"/>
    <col min="1847" max="1853" width="12" bestFit="1" customWidth="1"/>
    <col min="1854" max="1854" width="11" bestFit="1" customWidth="1"/>
    <col min="1855" max="1864" width="12" bestFit="1" customWidth="1"/>
    <col min="1865" max="1867" width="11" bestFit="1" customWidth="1"/>
    <col min="1868" max="1876" width="12" bestFit="1" customWidth="1"/>
    <col min="1877" max="1879" width="11" bestFit="1" customWidth="1"/>
    <col min="1880" max="1894" width="12" bestFit="1" customWidth="1"/>
    <col min="1895" max="1896" width="9" bestFit="1" customWidth="1"/>
    <col min="1897" max="1914" width="12" bestFit="1" customWidth="1"/>
    <col min="1915" max="1916" width="11" bestFit="1" customWidth="1"/>
    <col min="1917" max="1919" width="12" bestFit="1" customWidth="1"/>
    <col min="1920" max="1920" width="11" bestFit="1" customWidth="1"/>
    <col min="1921" max="1923" width="12" bestFit="1" customWidth="1"/>
    <col min="1924" max="1924" width="10" bestFit="1" customWidth="1"/>
    <col min="1925" max="1925" width="11" bestFit="1" customWidth="1"/>
    <col min="1926" max="1930" width="12" bestFit="1" customWidth="1"/>
    <col min="1931" max="1934" width="11" bestFit="1" customWidth="1"/>
    <col min="1935" max="1936" width="12" bestFit="1" customWidth="1"/>
    <col min="1937" max="1939" width="11" bestFit="1" customWidth="1"/>
    <col min="1940" max="1956" width="12" bestFit="1" customWidth="1"/>
    <col min="1957" max="1959" width="11" bestFit="1" customWidth="1"/>
    <col min="1960" max="1964" width="12" bestFit="1" customWidth="1"/>
    <col min="1965" max="1966" width="11" bestFit="1" customWidth="1"/>
    <col min="1967" max="1972" width="12" bestFit="1" customWidth="1"/>
    <col min="1973" max="1974" width="11" bestFit="1" customWidth="1"/>
    <col min="1975" max="1985" width="12" bestFit="1" customWidth="1"/>
    <col min="1986" max="1988" width="11" bestFit="1" customWidth="1"/>
    <col min="1989" max="1993" width="12" bestFit="1" customWidth="1"/>
    <col min="1994" max="1995" width="11" bestFit="1" customWidth="1"/>
    <col min="1996" max="2009" width="12" bestFit="1" customWidth="1"/>
    <col min="2010" max="2010" width="11" bestFit="1" customWidth="1"/>
    <col min="2011" max="2018" width="12" bestFit="1" customWidth="1"/>
    <col min="2019" max="2020" width="10" bestFit="1" customWidth="1"/>
    <col min="2021" max="2062" width="12" bestFit="1" customWidth="1"/>
    <col min="2063" max="2065" width="11" bestFit="1" customWidth="1"/>
    <col min="2066" max="2071" width="12" bestFit="1" customWidth="1"/>
    <col min="2072" max="2074" width="11" bestFit="1" customWidth="1"/>
    <col min="2075" max="2078" width="12" bestFit="1" customWidth="1"/>
    <col min="2079" max="2080" width="11" bestFit="1" customWidth="1"/>
    <col min="2081" max="2084" width="12" bestFit="1" customWidth="1"/>
    <col min="2085" max="2085" width="11" bestFit="1" customWidth="1"/>
    <col min="2086" max="2089" width="12" bestFit="1" customWidth="1"/>
    <col min="2090" max="2091" width="11" bestFit="1" customWidth="1"/>
    <col min="2092" max="2102" width="12" bestFit="1" customWidth="1"/>
    <col min="2103" max="2103" width="11" bestFit="1" customWidth="1"/>
    <col min="2104" max="2112" width="12" bestFit="1" customWidth="1"/>
    <col min="2113" max="2113" width="10" bestFit="1" customWidth="1"/>
    <col min="2114" max="2141" width="12" bestFit="1" customWidth="1"/>
    <col min="2142" max="2142" width="10" bestFit="1" customWidth="1"/>
    <col min="2143" max="2157" width="12" bestFit="1" customWidth="1"/>
    <col min="2158" max="2159" width="11" bestFit="1" customWidth="1"/>
    <col min="2160" max="2183" width="12" bestFit="1" customWidth="1"/>
    <col min="2184" max="2184" width="11" bestFit="1" customWidth="1"/>
    <col min="2185" max="2186" width="12" bestFit="1" customWidth="1"/>
    <col min="2187" max="2187" width="10" bestFit="1" customWidth="1"/>
    <col min="2188" max="2196" width="12" bestFit="1" customWidth="1"/>
    <col min="2197" max="2198" width="11" bestFit="1" customWidth="1"/>
    <col min="2199" max="2212" width="12" bestFit="1" customWidth="1"/>
    <col min="2213" max="2213" width="10" bestFit="1" customWidth="1"/>
    <col min="2214" max="2223" width="12" bestFit="1" customWidth="1"/>
    <col min="2224" max="2225" width="11" bestFit="1" customWidth="1"/>
    <col min="2226" max="2227" width="12" bestFit="1" customWidth="1"/>
    <col min="2228" max="2230" width="11" bestFit="1" customWidth="1"/>
    <col min="2231" max="2234" width="12" bestFit="1" customWidth="1"/>
    <col min="2235" max="2235" width="11" bestFit="1" customWidth="1"/>
    <col min="2236" max="2255" width="12" bestFit="1" customWidth="1"/>
    <col min="2256" max="2258" width="11" bestFit="1" customWidth="1"/>
    <col min="2259" max="2264" width="12" bestFit="1" customWidth="1"/>
    <col min="2265" max="2267" width="11" bestFit="1" customWidth="1"/>
    <col min="2268" max="2270" width="12" bestFit="1" customWidth="1"/>
    <col min="2271" max="2273" width="11" bestFit="1" customWidth="1"/>
    <col min="2274" max="2297" width="12" bestFit="1" customWidth="1"/>
    <col min="2298" max="2299" width="11" bestFit="1" customWidth="1"/>
    <col min="2300" max="2345" width="12" bestFit="1" customWidth="1"/>
    <col min="2346" max="2346" width="10" bestFit="1" customWidth="1"/>
    <col min="2347" max="2353" width="12" bestFit="1" customWidth="1"/>
    <col min="2354" max="2354" width="11" bestFit="1" customWidth="1"/>
    <col min="2355" max="2358" width="10" bestFit="1" customWidth="1"/>
    <col min="2359" max="2365" width="12" bestFit="1" customWidth="1"/>
    <col min="2366" max="2367" width="11" bestFit="1" customWidth="1"/>
    <col min="2368" max="2378" width="12" bestFit="1" customWidth="1"/>
    <col min="2379" max="2379" width="11" bestFit="1" customWidth="1"/>
    <col min="2380" max="2405" width="12" bestFit="1" customWidth="1"/>
    <col min="2406" max="2406" width="11" bestFit="1" customWidth="1"/>
    <col min="2407" max="2415" width="12" bestFit="1" customWidth="1"/>
    <col min="2416" max="2418" width="10" bestFit="1" customWidth="1"/>
    <col min="2419" max="2440" width="12" bestFit="1" customWidth="1"/>
    <col min="2441" max="2442" width="11" bestFit="1" customWidth="1"/>
    <col min="2443" max="2449" width="12" bestFit="1" customWidth="1"/>
    <col min="2450" max="2450" width="11" bestFit="1" customWidth="1"/>
    <col min="2451" max="2474" width="12" bestFit="1" customWidth="1"/>
    <col min="2475" max="2477" width="11" bestFit="1" customWidth="1"/>
    <col min="2478" max="2479" width="12" bestFit="1" customWidth="1"/>
    <col min="2480" max="2482" width="10" bestFit="1" customWidth="1"/>
    <col min="2483" max="2493" width="12" bestFit="1" customWidth="1"/>
    <col min="2494" max="2494" width="11" bestFit="1" customWidth="1"/>
    <col min="2495" max="2511" width="12" bestFit="1" customWidth="1"/>
    <col min="2512" max="2514" width="11" bestFit="1" customWidth="1"/>
    <col min="2515" max="2521" width="12" bestFit="1" customWidth="1"/>
    <col min="2522" max="2524" width="10" bestFit="1" customWidth="1"/>
    <col min="2525" max="2565" width="12" bestFit="1" customWidth="1"/>
    <col min="2566" max="2566" width="11" bestFit="1" customWidth="1"/>
    <col min="2567" max="2571" width="12" bestFit="1" customWidth="1"/>
    <col min="2572" max="2574" width="10" bestFit="1" customWidth="1"/>
    <col min="2575" max="2617" width="12" bestFit="1" customWidth="1"/>
    <col min="2618" max="2623" width="11" bestFit="1" customWidth="1"/>
    <col min="2624" max="2702" width="12" bestFit="1" customWidth="1"/>
    <col min="2703" max="2703" width="11" bestFit="1" customWidth="1"/>
    <col min="2704" max="2730" width="12" bestFit="1" customWidth="1"/>
    <col min="2731" max="2731" width="11" bestFit="1" customWidth="1"/>
    <col min="2732" max="2739" width="12" bestFit="1" customWidth="1"/>
    <col min="2740" max="2741" width="10" bestFit="1" customWidth="1"/>
    <col min="2742" max="2757" width="12" bestFit="1" customWidth="1"/>
    <col min="2758" max="2759" width="11" bestFit="1" customWidth="1"/>
    <col min="2760" max="2790" width="12" bestFit="1" customWidth="1"/>
    <col min="2791" max="2793" width="11" bestFit="1" customWidth="1"/>
    <col min="2794" max="2794" width="12" bestFit="1" customWidth="1"/>
    <col min="2795" max="2796" width="11" bestFit="1" customWidth="1"/>
    <col min="2797" max="2828" width="12" bestFit="1" customWidth="1"/>
    <col min="2829" max="2830" width="11" bestFit="1" customWidth="1"/>
    <col min="2831" max="2834" width="12" bestFit="1" customWidth="1"/>
    <col min="2835" max="2835" width="11" bestFit="1" customWidth="1"/>
    <col min="2836" max="2862" width="12" bestFit="1" customWidth="1"/>
    <col min="2863" max="2866" width="11" bestFit="1" customWidth="1"/>
    <col min="2867" max="2879" width="12" bestFit="1" customWidth="1"/>
    <col min="2880" max="2881" width="11" bestFit="1" customWidth="1"/>
    <col min="2882" max="2900" width="12" bestFit="1" customWidth="1"/>
    <col min="2901" max="2903" width="9" bestFit="1" customWidth="1"/>
    <col min="2904" max="2999" width="12" bestFit="1" customWidth="1"/>
    <col min="3000" max="3001" width="10" bestFit="1" customWidth="1"/>
    <col min="3002" max="3002" width="12" bestFit="1" customWidth="1"/>
  </cols>
  <sheetData>
    <row r="4" spans="1:3" x14ac:dyDescent="0.25">
      <c r="A4" s="1" t="s">
        <v>30</v>
      </c>
      <c r="B4" t="s">
        <v>79</v>
      </c>
      <c r="C4" t="s">
        <v>80</v>
      </c>
    </row>
    <row r="5" spans="1:3" x14ac:dyDescent="0.25">
      <c r="A5" s="2">
        <v>1</v>
      </c>
      <c r="B5" s="7">
        <v>0</v>
      </c>
      <c r="C5" s="7">
        <v>9.81982</v>
      </c>
    </row>
    <row r="6" spans="1:3" x14ac:dyDescent="0.25">
      <c r="A6" s="2">
        <v>2</v>
      </c>
      <c r="B6" s="7">
        <v>0</v>
      </c>
      <c r="C6" s="7">
        <v>9.63964</v>
      </c>
    </row>
    <row r="7" spans="1:3" x14ac:dyDescent="0.25">
      <c r="A7" s="2">
        <v>3</v>
      </c>
      <c r="B7" s="7">
        <v>0</v>
      </c>
      <c r="C7" s="7">
        <v>9.45946</v>
      </c>
    </row>
    <row r="8" spans="1:3" x14ac:dyDescent="0.25">
      <c r="A8" s="2">
        <v>4</v>
      </c>
      <c r="B8" s="7">
        <v>0</v>
      </c>
      <c r="C8" s="7">
        <v>9.27928</v>
      </c>
    </row>
    <row r="9" spans="1:3" x14ac:dyDescent="0.25">
      <c r="A9" s="2">
        <v>5</v>
      </c>
      <c r="B9" s="7">
        <v>0</v>
      </c>
      <c r="C9" s="7">
        <v>9.0991</v>
      </c>
    </row>
    <row r="10" spans="1:3" x14ac:dyDescent="0.25">
      <c r="A10" s="2">
        <v>6</v>
      </c>
      <c r="B10" s="7">
        <v>0</v>
      </c>
      <c r="C10" s="7">
        <v>8.91892</v>
      </c>
    </row>
    <row r="11" spans="1:3" x14ac:dyDescent="0.25">
      <c r="A11" s="2">
        <v>7</v>
      </c>
      <c r="B11" s="7">
        <v>0</v>
      </c>
      <c r="C11" s="7">
        <v>8.7405399999999993</v>
      </c>
    </row>
    <row r="12" spans="1:3" x14ac:dyDescent="0.25">
      <c r="A12" s="2">
        <v>8</v>
      </c>
      <c r="B12" s="7">
        <v>0</v>
      </c>
      <c r="C12" s="7">
        <v>8.5657300000000003</v>
      </c>
    </row>
    <row r="13" spans="1:3" x14ac:dyDescent="0.25">
      <c r="A13" s="2">
        <v>9</v>
      </c>
      <c r="B13" s="7">
        <v>0</v>
      </c>
      <c r="C13" s="7">
        <v>10.9316</v>
      </c>
    </row>
    <row r="14" spans="1:3" x14ac:dyDescent="0.25">
      <c r="A14" s="2">
        <v>10</v>
      </c>
      <c r="B14" s="7">
        <v>0</v>
      </c>
      <c r="C14" s="7">
        <v>10.7514</v>
      </c>
    </row>
    <row r="15" spans="1:3" x14ac:dyDescent="0.25">
      <c r="A15" s="2">
        <v>11</v>
      </c>
      <c r="B15" s="7">
        <v>0</v>
      </c>
      <c r="C15" s="7">
        <v>10.571199999999999</v>
      </c>
    </row>
    <row r="16" spans="1:3" x14ac:dyDescent="0.25">
      <c r="A16" s="2">
        <v>12</v>
      </c>
      <c r="B16" s="7">
        <v>0</v>
      </c>
      <c r="C16" s="7">
        <v>10.3911</v>
      </c>
    </row>
    <row r="17" spans="1:3" x14ac:dyDescent="0.25">
      <c r="A17" s="2">
        <v>13</v>
      </c>
      <c r="B17" s="7">
        <v>0</v>
      </c>
      <c r="C17" s="7">
        <v>10.210900000000001</v>
      </c>
    </row>
    <row r="18" spans="1:3" x14ac:dyDescent="0.25">
      <c r="A18" s="2">
        <v>14</v>
      </c>
      <c r="B18" s="7">
        <v>0</v>
      </c>
      <c r="C18" s="7">
        <v>10.0307</v>
      </c>
    </row>
    <row r="19" spans="1:3" x14ac:dyDescent="0.25">
      <c r="A19" s="2">
        <v>15</v>
      </c>
      <c r="B19" s="7">
        <v>0</v>
      </c>
      <c r="C19" s="7">
        <v>9.8505199999999995</v>
      </c>
    </row>
    <row r="20" spans="1:3" x14ac:dyDescent="0.25">
      <c r="A20" s="2">
        <v>16</v>
      </c>
      <c r="B20" s="7">
        <v>0</v>
      </c>
      <c r="C20" s="7">
        <v>9.6703399999999995</v>
      </c>
    </row>
    <row r="21" spans="1:3" x14ac:dyDescent="0.25">
      <c r="A21" s="2">
        <v>17</v>
      </c>
      <c r="B21" s="7">
        <v>0</v>
      </c>
      <c r="C21" s="7">
        <v>9.4901599999999995</v>
      </c>
    </row>
    <row r="22" spans="1:3" x14ac:dyDescent="0.25">
      <c r="A22" s="2">
        <v>18</v>
      </c>
      <c r="B22" s="7">
        <v>0</v>
      </c>
      <c r="C22" s="7">
        <v>9.3099799999999995</v>
      </c>
    </row>
    <row r="23" spans="1:3" x14ac:dyDescent="0.25">
      <c r="A23" s="2">
        <v>19</v>
      </c>
      <c r="B23" s="7">
        <v>0</v>
      </c>
      <c r="C23" s="7">
        <v>10.527200000000001</v>
      </c>
    </row>
    <row r="24" spans="1:3" x14ac:dyDescent="0.25">
      <c r="A24" s="2">
        <v>20</v>
      </c>
      <c r="B24" s="7">
        <v>0</v>
      </c>
      <c r="C24" s="7">
        <v>10.347</v>
      </c>
    </row>
    <row r="25" spans="1:3" x14ac:dyDescent="0.25">
      <c r="A25" s="2">
        <v>21</v>
      </c>
      <c r="B25" s="7">
        <v>0</v>
      </c>
      <c r="C25" s="7">
        <v>10.1668</v>
      </c>
    </row>
    <row r="26" spans="1:3" x14ac:dyDescent="0.25">
      <c r="A26" s="2">
        <v>22</v>
      </c>
      <c r="B26" s="7">
        <v>0</v>
      </c>
      <c r="C26" s="7">
        <v>9.9866200000000003</v>
      </c>
    </row>
    <row r="27" spans="1:3" x14ac:dyDescent="0.25">
      <c r="A27" s="2">
        <v>23</v>
      </c>
      <c r="B27" s="7">
        <v>0</v>
      </c>
      <c r="C27" s="7">
        <v>9.8064499999999999</v>
      </c>
    </row>
    <row r="28" spans="1:3" x14ac:dyDescent="0.25">
      <c r="A28" s="2">
        <v>24</v>
      </c>
      <c r="B28" s="7">
        <v>0</v>
      </c>
      <c r="C28" s="7">
        <v>9.6262600000000003</v>
      </c>
    </row>
    <row r="29" spans="1:3" x14ac:dyDescent="0.25">
      <c r="A29" s="2">
        <v>25</v>
      </c>
      <c r="B29" s="7">
        <v>0</v>
      </c>
      <c r="C29" s="7">
        <v>9.4460800000000003</v>
      </c>
    </row>
    <row r="30" spans="1:3" x14ac:dyDescent="0.25">
      <c r="A30" s="2">
        <v>26</v>
      </c>
      <c r="B30" s="7">
        <v>0</v>
      </c>
      <c r="C30" s="7">
        <v>9.2659000000000002</v>
      </c>
    </row>
    <row r="31" spans="1:3" x14ac:dyDescent="0.25">
      <c r="A31" s="2">
        <v>27</v>
      </c>
      <c r="B31" s="7">
        <v>0</v>
      </c>
      <c r="C31" s="7">
        <v>9.0857200000000002</v>
      </c>
    </row>
    <row r="32" spans="1:3" x14ac:dyDescent="0.25">
      <c r="A32" s="2">
        <v>28</v>
      </c>
      <c r="B32" s="7">
        <v>0</v>
      </c>
      <c r="C32" s="7">
        <v>8.9055400000000002</v>
      </c>
    </row>
    <row r="33" spans="1:3" x14ac:dyDescent="0.25">
      <c r="A33" s="2">
        <v>29</v>
      </c>
      <c r="B33" s="7">
        <v>0</v>
      </c>
      <c r="C33" s="7">
        <v>8.72743</v>
      </c>
    </row>
    <row r="34" spans="1:3" x14ac:dyDescent="0.25">
      <c r="A34" s="2">
        <v>30</v>
      </c>
      <c r="B34" s="7">
        <v>0</v>
      </c>
      <c r="C34" s="7">
        <v>8.55288</v>
      </c>
    </row>
    <row r="35" spans="1:3" x14ac:dyDescent="0.25">
      <c r="A35" s="2">
        <v>31</v>
      </c>
      <c r="B35" s="7">
        <v>0</v>
      </c>
      <c r="C35" s="7">
        <v>8.3818300000000008</v>
      </c>
    </row>
    <row r="36" spans="1:3" x14ac:dyDescent="0.25">
      <c r="A36" s="2">
        <v>32</v>
      </c>
      <c r="B36" s="7">
        <v>0</v>
      </c>
      <c r="C36" s="7">
        <v>9.1843900000000005</v>
      </c>
    </row>
    <row r="37" spans="1:3" x14ac:dyDescent="0.25">
      <c r="A37" s="2">
        <v>33</v>
      </c>
      <c r="B37" s="7">
        <v>0</v>
      </c>
      <c r="C37" s="7">
        <v>9.0042100000000005</v>
      </c>
    </row>
    <row r="38" spans="1:3" x14ac:dyDescent="0.25">
      <c r="A38" s="2">
        <v>34</v>
      </c>
      <c r="B38" s="7">
        <v>0</v>
      </c>
      <c r="C38" s="7">
        <v>8.8241300000000003</v>
      </c>
    </row>
    <row r="39" spans="1:3" x14ac:dyDescent="0.25">
      <c r="A39" s="2">
        <v>35</v>
      </c>
      <c r="B39" s="7">
        <v>0</v>
      </c>
      <c r="C39" s="7">
        <v>8.6476400000000009</v>
      </c>
    </row>
    <row r="40" spans="1:3" x14ac:dyDescent="0.25">
      <c r="A40" s="2">
        <v>36</v>
      </c>
      <c r="B40" s="7">
        <v>0</v>
      </c>
      <c r="C40" s="7">
        <v>8.4746900000000007</v>
      </c>
    </row>
    <row r="41" spans="1:3" x14ac:dyDescent="0.25">
      <c r="A41" s="2">
        <v>37</v>
      </c>
      <c r="B41" s="7">
        <v>0</v>
      </c>
      <c r="C41" s="7">
        <v>8.3051999999999992</v>
      </c>
    </row>
    <row r="42" spans="1:3" x14ac:dyDescent="0.25">
      <c r="A42" s="2">
        <v>38</v>
      </c>
      <c r="B42" s="7">
        <v>0</v>
      </c>
      <c r="C42" s="7">
        <v>8.1390899999999995</v>
      </c>
    </row>
    <row r="43" spans="1:3" x14ac:dyDescent="0.25">
      <c r="A43" s="2">
        <v>39</v>
      </c>
      <c r="B43" s="7">
        <v>0</v>
      </c>
      <c r="C43" s="7">
        <v>9.46631</v>
      </c>
    </row>
    <row r="44" spans="1:3" x14ac:dyDescent="0.25">
      <c r="A44" s="2">
        <v>40</v>
      </c>
      <c r="B44" s="7">
        <v>0</v>
      </c>
      <c r="C44" s="7">
        <v>9.28613</v>
      </c>
    </row>
    <row r="45" spans="1:3" x14ac:dyDescent="0.25">
      <c r="A45" s="2">
        <v>41</v>
      </c>
      <c r="B45" s="7">
        <v>0</v>
      </c>
      <c r="C45" s="7">
        <v>9.16601</v>
      </c>
    </row>
    <row r="46" spans="1:3" x14ac:dyDescent="0.25">
      <c r="A46" s="2">
        <v>42</v>
      </c>
      <c r="B46" s="7">
        <v>0</v>
      </c>
      <c r="C46" s="7">
        <v>9.04589</v>
      </c>
    </row>
    <row r="47" spans="1:3" x14ac:dyDescent="0.25">
      <c r="A47" s="2">
        <v>43</v>
      </c>
      <c r="B47" s="7">
        <v>0</v>
      </c>
      <c r="C47" s="7">
        <v>8.92577</v>
      </c>
    </row>
    <row r="48" spans="1:3" x14ac:dyDescent="0.25">
      <c r="A48" s="2">
        <v>44</v>
      </c>
      <c r="B48" s="7">
        <v>0</v>
      </c>
      <c r="C48" s="7">
        <v>8.80565</v>
      </c>
    </row>
    <row r="49" spans="1:3" x14ac:dyDescent="0.25">
      <c r="A49" s="2">
        <v>45</v>
      </c>
      <c r="B49" s="7">
        <v>0</v>
      </c>
      <c r="C49" s="7">
        <v>8.68553</v>
      </c>
    </row>
    <row r="50" spans="1:3" x14ac:dyDescent="0.25">
      <c r="A50" s="2">
        <v>46</v>
      </c>
      <c r="B50" s="7">
        <v>0</v>
      </c>
      <c r="C50" s="7">
        <v>8.56541</v>
      </c>
    </row>
    <row r="51" spans="1:3" x14ac:dyDescent="0.25">
      <c r="A51" s="2">
        <v>47</v>
      </c>
      <c r="B51" s="7">
        <v>0</v>
      </c>
      <c r="C51" s="7">
        <v>8.41526</v>
      </c>
    </row>
    <row r="52" spans="1:3" x14ac:dyDescent="0.25">
      <c r="A52" s="2">
        <v>48</v>
      </c>
      <c r="B52" s="7">
        <v>0</v>
      </c>
      <c r="C52" s="7">
        <v>8.26511</v>
      </c>
    </row>
    <row r="53" spans="1:3" x14ac:dyDescent="0.25">
      <c r="A53" s="2">
        <v>49</v>
      </c>
      <c r="B53" s="7">
        <v>0</v>
      </c>
      <c r="C53" s="7">
        <v>8.11496</v>
      </c>
    </row>
    <row r="54" spans="1:3" x14ac:dyDescent="0.25">
      <c r="A54" s="2">
        <v>50</v>
      </c>
      <c r="B54" s="7">
        <v>0</v>
      </c>
      <c r="C54" s="7">
        <v>9.05349</v>
      </c>
    </row>
    <row r="55" spans="1:3" x14ac:dyDescent="0.25">
      <c r="A55" s="2">
        <v>51</v>
      </c>
      <c r="B55" s="7">
        <v>0</v>
      </c>
      <c r="C55" s="7">
        <v>8.90334</v>
      </c>
    </row>
    <row r="56" spans="1:3" x14ac:dyDescent="0.25">
      <c r="A56" s="2">
        <v>52</v>
      </c>
      <c r="B56" s="7">
        <v>0</v>
      </c>
      <c r="C56" s="7">
        <v>8.75319</v>
      </c>
    </row>
    <row r="57" spans="1:3" x14ac:dyDescent="0.25">
      <c r="A57" s="2">
        <v>53</v>
      </c>
      <c r="B57" s="7">
        <v>0</v>
      </c>
      <c r="C57" s="7">
        <v>8.60304</v>
      </c>
    </row>
    <row r="58" spans="1:3" x14ac:dyDescent="0.25">
      <c r="A58" s="2">
        <v>54</v>
      </c>
      <c r="B58" s="7">
        <v>0</v>
      </c>
      <c r="C58" s="7">
        <v>8.45289</v>
      </c>
    </row>
    <row r="59" spans="1:3" x14ac:dyDescent="0.25">
      <c r="A59" s="2">
        <v>55</v>
      </c>
      <c r="B59" s="7">
        <v>0</v>
      </c>
      <c r="C59" s="7">
        <v>8.30274</v>
      </c>
    </row>
    <row r="60" spans="1:3" x14ac:dyDescent="0.25">
      <c r="A60" s="2">
        <v>56</v>
      </c>
      <c r="B60" s="7">
        <v>0.31848199999999999</v>
      </c>
      <c r="C60" s="7">
        <v>8.7363999999999997</v>
      </c>
    </row>
    <row r="61" spans="1:3" x14ac:dyDescent="0.25">
      <c r="A61" s="2">
        <v>57</v>
      </c>
      <c r="B61" s="7">
        <v>0.30255799999999999</v>
      </c>
      <c r="C61" s="7">
        <v>8.6162799999999997</v>
      </c>
    </row>
    <row r="62" spans="1:3" x14ac:dyDescent="0.25">
      <c r="A62" s="2">
        <v>58</v>
      </c>
      <c r="B62" s="7">
        <v>0.28743000000000002</v>
      </c>
      <c r="C62" s="7">
        <v>8.4961599999999997</v>
      </c>
    </row>
    <row r="63" spans="1:3" x14ac:dyDescent="0.25">
      <c r="A63" s="2">
        <v>59</v>
      </c>
      <c r="B63" s="7">
        <v>0.273059</v>
      </c>
      <c r="C63" s="7">
        <v>8.3760399999999997</v>
      </c>
    </row>
    <row r="64" spans="1:3" x14ac:dyDescent="0.25">
      <c r="A64" s="2">
        <v>60</v>
      </c>
      <c r="B64" s="7">
        <v>0.25940600000000003</v>
      </c>
      <c r="C64" s="7">
        <v>8.2559199999999997</v>
      </c>
    </row>
    <row r="65" spans="1:3" x14ac:dyDescent="0.25">
      <c r="A65" s="2">
        <v>61</v>
      </c>
      <c r="B65" s="7">
        <v>0.24643599999999999</v>
      </c>
      <c r="C65" s="7">
        <v>8.1357999999999997</v>
      </c>
    </row>
    <row r="66" spans="1:3" x14ac:dyDescent="0.25">
      <c r="A66" s="2">
        <v>62</v>
      </c>
      <c r="B66" s="7">
        <v>0.23411399999999999</v>
      </c>
      <c r="C66" s="7">
        <v>8.0156799999999997</v>
      </c>
    </row>
    <row r="67" spans="1:3" x14ac:dyDescent="0.25">
      <c r="A67" s="2">
        <v>63</v>
      </c>
      <c r="B67" s="7">
        <v>0.22240799999999999</v>
      </c>
      <c r="C67" s="7">
        <v>7.8955599999999997</v>
      </c>
    </row>
    <row r="68" spans="1:3" x14ac:dyDescent="0.25">
      <c r="A68" s="2">
        <v>64</v>
      </c>
      <c r="B68" s="7">
        <v>0.35309600000000002</v>
      </c>
      <c r="C68" s="7">
        <v>7.7754399999999997</v>
      </c>
    </row>
    <row r="69" spans="1:3" x14ac:dyDescent="0.25">
      <c r="A69" s="2">
        <v>65</v>
      </c>
      <c r="B69" s="7">
        <v>0.52551499999999995</v>
      </c>
      <c r="C69" s="7">
        <v>7.6553199999999997</v>
      </c>
    </row>
    <row r="70" spans="1:3" x14ac:dyDescent="0.25">
      <c r="A70" s="2">
        <v>66</v>
      </c>
      <c r="B70" s="7">
        <v>0.70532399999999995</v>
      </c>
      <c r="C70" s="7">
        <v>7.5351999999999997</v>
      </c>
    </row>
    <row r="71" spans="1:3" x14ac:dyDescent="0.25">
      <c r="A71" s="2">
        <v>67</v>
      </c>
      <c r="B71" s="7">
        <v>0.90425800000000001</v>
      </c>
      <c r="C71" s="7">
        <v>7.4150799999999997</v>
      </c>
    </row>
    <row r="72" spans="1:3" x14ac:dyDescent="0.25">
      <c r="A72" s="2">
        <v>68</v>
      </c>
      <c r="B72" s="7">
        <v>1.1500300000000001</v>
      </c>
      <c r="C72" s="7">
        <v>7.2949599999999997</v>
      </c>
    </row>
    <row r="73" spans="1:3" x14ac:dyDescent="0.25">
      <c r="A73" s="2">
        <v>69</v>
      </c>
      <c r="B73" s="7">
        <v>1.5136499999999999</v>
      </c>
      <c r="C73" s="7">
        <v>7.1748399999999997</v>
      </c>
    </row>
    <row r="74" spans="1:3" x14ac:dyDescent="0.25">
      <c r="A74" s="2">
        <v>70</v>
      </c>
      <c r="B74" s="7">
        <v>1.9</v>
      </c>
      <c r="C74" s="7">
        <v>7.0547199999999997</v>
      </c>
    </row>
    <row r="75" spans="1:3" x14ac:dyDescent="0.25">
      <c r="A75" s="2">
        <v>71</v>
      </c>
      <c r="B75" s="7">
        <v>3.2197100000000001</v>
      </c>
      <c r="C75" s="7">
        <v>7.4263599999999999</v>
      </c>
    </row>
    <row r="76" spans="1:3" x14ac:dyDescent="0.25">
      <c r="A76" s="2">
        <v>72</v>
      </c>
      <c r="B76" s="7">
        <v>1.9</v>
      </c>
      <c r="C76" s="7">
        <v>7.3062399999999998</v>
      </c>
    </row>
    <row r="77" spans="1:3" x14ac:dyDescent="0.25">
      <c r="A77" s="2">
        <v>73</v>
      </c>
      <c r="B77" s="7">
        <v>1.9</v>
      </c>
      <c r="C77" s="7">
        <v>7.1861199999999998</v>
      </c>
    </row>
    <row r="78" spans="1:3" x14ac:dyDescent="0.25">
      <c r="A78" s="2">
        <v>74</v>
      </c>
      <c r="B78" s="7">
        <v>1.9</v>
      </c>
      <c r="C78" s="7">
        <v>7.0659999999999998</v>
      </c>
    </row>
    <row r="79" spans="1:3" x14ac:dyDescent="0.25">
      <c r="A79" s="2">
        <v>75</v>
      </c>
      <c r="B79" s="7">
        <v>1.9</v>
      </c>
      <c r="C79" s="7">
        <v>6.9458799999999998</v>
      </c>
    </row>
    <row r="80" spans="1:3" x14ac:dyDescent="0.25">
      <c r="A80" s="2">
        <v>76</v>
      </c>
      <c r="B80" s="7">
        <v>1.9</v>
      </c>
      <c r="C80" s="7">
        <v>6.8257599999999998</v>
      </c>
    </row>
    <row r="81" spans="1:3" x14ac:dyDescent="0.25">
      <c r="A81" s="2">
        <v>77</v>
      </c>
      <c r="B81" s="7">
        <v>1.9</v>
      </c>
      <c r="C81" s="7">
        <v>6.7056399999999998</v>
      </c>
    </row>
    <row r="82" spans="1:3" x14ac:dyDescent="0.25">
      <c r="A82" s="2">
        <v>78</v>
      </c>
      <c r="B82" s="7">
        <v>1.9</v>
      </c>
      <c r="C82" s="7">
        <v>6.5855199999999998</v>
      </c>
    </row>
    <row r="83" spans="1:3" x14ac:dyDescent="0.25">
      <c r="A83" s="2">
        <v>79</v>
      </c>
      <c r="B83" s="7">
        <v>4.6684200000000002</v>
      </c>
      <c r="C83" s="7">
        <v>7.4262499999999996</v>
      </c>
    </row>
    <row r="84" spans="1:3" x14ac:dyDescent="0.25">
      <c r="A84" s="2">
        <v>80</v>
      </c>
      <c r="B84" s="7">
        <v>1.9</v>
      </c>
      <c r="C84" s="7">
        <v>7.3061299999999996</v>
      </c>
    </row>
    <row r="85" spans="1:3" x14ac:dyDescent="0.25">
      <c r="A85" s="2">
        <v>81</v>
      </c>
      <c r="B85" s="7">
        <v>1.9</v>
      </c>
      <c r="C85" s="7">
        <v>7.1860099999999996</v>
      </c>
    </row>
    <row r="86" spans="1:3" x14ac:dyDescent="0.25">
      <c r="A86" s="2">
        <v>82</v>
      </c>
      <c r="B86" s="7">
        <v>1.9</v>
      </c>
      <c r="C86" s="7">
        <v>7.0658899999999996</v>
      </c>
    </row>
    <row r="87" spans="1:3" x14ac:dyDescent="0.25">
      <c r="A87" s="2">
        <v>83</v>
      </c>
      <c r="B87" s="7">
        <v>1.9</v>
      </c>
      <c r="C87" s="7">
        <v>6.9457700000000004</v>
      </c>
    </row>
    <row r="88" spans="1:3" x14ac:dyDescent="0.25">
      <c r="A88" s="2">
        <v>84</v>
      </c>
      <c r="B88" s="7">
        <v>3.7343199999999999</v>
      </c>
      <c r="C88" s="7">
        <v>6.8256500000000004</v>
      </c>
    </row>
    <row r="89" spans="1:3" x14ac:dyDescent="0.25">
      <c r="A89" s="2">
        <v>85</v>
      </c>
      <c r="B89" s="7">
        <v>1.9</v>
      </c>
      <c r="C89" s="7">
        <v>6.7055300000000004</v>
      </c>
    </row>
    <row r="90" spans="1:3" x14ac:dyDescent="0.25">
      <c r="A90" s="2">
        <v>86</v>
      </c>
      <c r="B90" s="7">
        <v>4.4674100000000001</v>
      </c>
      <c r="C90" s="7">
        <v>7.4262499999999996</v>
      </c>
    </row>
    <row r="91" spans="1:3" x14ac:dyDescent="0.25">
      <c r="A91" s="2">
        <v>87</v>
      </c>
      <c r="B91" s="7">
        <v>1.9</v>
      </c>
      <c r="C91" s="7">
        <v>7.3061299999999996</v>
      </c>
    </row>
    <row r="92" spans="1:3" x14ac:dyDescent="0.25">
      <c r="A92" s="2">
        <v>88</v>
      </c>
      <c r="B92" s="7">
        <v>1.9</v>
      </c>
      <c r="C92" s="7">
        <v>7.1860099999999996</v>
      </c>
    </row>
    <row r="93" spans="1:3" x14ac:dyDescent="0.25">
      <c r="A93" s="2">
        <v>89</v>
      </c>
      <c r="B93" s="7">
        <v>1.9</v>
      </c>
      <c r="C93" s="7">
        <v>7.0658899999999996</v>
      </c>
    </row>
    <row r="94" spans="1:3" x14ac:dyDescent="0.25">
      <c r="A94" s="2">
        <v>90</v>
      </c>
      <c r="B94" s="7">
        <v>1.9</v>
      </c>
      <c r="C94" s="7">
        <v>6.9457700000000004</v>
      </c>
    </row>
    <row r="95" spans="1:3" x14ac:dyDescent="0.25">
      <c r="A95" s="2">
        <v>91</v>
      </c>
      <c r="B95" s="7">
        <v>1.9</v>
      </c>
      <c r="C95" s="7">
        <v>6.8256500000000004</v>
      </c>
    </row>
    <row r="96" spans="1:3" x14ac:dyDescent="0.25">
      <c r="A96" s="2">
        <v>92</v>
      </c>
      <c r="B96" s="7">
        <v>4.0295300000000003</v>
      </c>
      <c r="C96" s="7">
        <v>7.4262499999999996</v>
      </c>
    </row>
    <row r="97" spans="1:3" x14ac:dyDescent="0.25">
      <c r="A97" s="2">
        <v>93</v>
      </c>
      <c r="B97" s="7">
        <v>1.9</v>
      </c>
      <c r="C97" s="7">
        <v>7.3061299999999996</v>
      </c>
    </row>
    <row r="98" spans="1:3" x14ac:dyDescent="0.25">
      <c r="A98" s="2">
        <v>94</v>
      </c>
      <c r="B98" s="7">
        <v>1.9</v>
      </c>
      <c r="C98" s="7">
        <v>7.1860099999999996</v>
      </c>
    </row>
    <row r="99" spans="1:3" x14ac:dyDescent="0.25">
      <c r="A99" s="2">
        <v>95</v>
      </c>
      <c r="B99" s="7">
        <v>1.9</v>
      </c>
      <c r="C99" s="7">
        <v>7.0658899999999996</v>
      </c>
    </row>
    <row r="100" spans="1:3" x14ac:dyDescent="0.25">
      <c r="A100" s="2">
        <v>96</v>
      </c>
      <c r="B100" s="7">
        <v>1.9</v>
      </c>
      <c r="C100" s="7">
        <v>6.9457700000000004</v>
      </c>
    </row>
    <row r="101" spans="1:3" x14ac:dyDescent="0.25">
      <c r="A101" s="2">
        <v>97</v>
      </c>
      <c r="B101" s="7">
        <v>1.9</v>
      </c>
      <c r="C101" s="7">
        <v>6.8256500000000004</v>
      </c>
    </row>
    <row r="102" spans="1:3" x14ac:dyDescent="0.25">
      <c r="A102" s="2">
        <v>98</v>
      </c>
      <c r="B102" s="7">
        <v>1.9</v>
      </c>
      <c r="C102" s="7">
        <v>6.7055300000000004</v>
      </c>
    </row>
    <row r="103" spans="1:3" x14ac:dyDescent="0.25">
      <c r="A103" s="2">
        <v>99</v>
      </c>
      <c r="B103" s="7">
        <v>1.9</v>
      </c>
      <c r="C103" s="7">
        <v>6.5854100000000004</v>
      </c>
    </row>
    <row r="104" spans="1:3" x14ac:dyDescent="0.25">
      <c r="A104" s="2">
        <v>100</v>
      </c>
      <c r="B104" s="7">
        <v>1.9</v>
      </c>
      <c r="C104" s="7">
        <v>6.4652900000000004</v>
      </c>
    </row>
    <row r="105" spans="1:3" x14ac:dyDescent="0.25">
      <c r="A105" s="2">
        <v>101</v>
      </c>
      <c r="B105" s="7">
        <v>1.9</v>
      </c>
      <c r="C105" s="7">
        <v>6.3451700000000004</v>
      </c>
    </row>
    <row r="106" spans="1:3" x14ac:dyDescent="0.25">
      <c r="A106" s="2">
        <v>102</v>
      </c>
      <c r="B106" s="7">
        <v>1.9</v>
      </c>
      <c r="C106" s="7">
        <v>6.2250500000000004</v>
      </c>
    </row>
    <row r="107" spans="1:3" x14ac:dyDescent="0.25">
      <c r="A107" s="2">
        <v>103</v>
      </c>
      <c r="B107" s="7">
        <v>3.14859</v>
      </c>
      <c r="C107" s="7">
        <v>7.4262499999999996</v>
      </c>
    </row>
    <row r="108" spans="1:3" x14ac:dyDescent="0.25">
      <c r="A108" s="2">
        <v>104</v>
      </c>
      <c r="B108" s="7">
        <v>1.9</v>
      </c>
      <c r="C108" s="7">
        <v>7.3061299999999996</v>
      </c>
    </row>
    <row r="109" spans="1:3" x14ac:dyDescent="0.25">
      <c r="A109" s="2">
        <v>105</v>
      </c>
      <c r="B109" s="7">
        <v>1.9</v>
      </c>
      <c r="C109" s="7">
        <v>7.1860099999999996</v>
      </c>
    </row>
    <row r="110" spans="1:3" x14ac:dyDescent="0.25">
      <c r="A110" s="2">
        <v>106</v>
      </c>
      <c r="B110" s="7">
        <v>1.9</v>
      </c>
      <c r="C110" s="7">
        <v>7.0658899999999996</v>
      </c>
    </row>
    <row r="111" spans="1:3" x14ac:dyDescent="0.25">
      <c r="A111" s="2">
        <v>107</v>
      </c>
      <c r="B111" s="7">
        <v>1.9</v>
      </c>
      <c r="C111" s="7">
        <v>6.9457700000000004</v>
      </c>
    </row>
    <row r="112" spans="1:3" x14ac:dyDescent="0.25">
      <c r="A112" s="2">
        <v>108</v>
      </c>
      <c r="B112" s="7">
        <v>1.9</v>
      </c>
      <c r="C112" s="7">
        <v>6.8256500000000004</v>
      </c>
    </row>
    <row r="113" spans="1:3" x14ac:dyDescent="0.25">
      <c r="A113" s="2">
        <v>109</v>
      </c>
      <c r="B113" s="7">
        <v>1.9</v>
      </c>
      <c r="C113" s="7">
        <v>6.7055300000000004</v>
      </c>
    </row>
    <row r="114" spans="1:3" x14ac:dyDescent="0.25">
      <c r="A114" s="2">
        <v>110</v>
      </c>
      <c r="B114" s="7">
        <v>1.9</v>
      </c>
      <c r="C114" s="7">
        <v>6.5854100000000004</v>
      </c>
    </row>
    <row r="115" spans="1:3" x14ac:dyDescent="0.25">
      <c r="A115" s="2">
        <v>111</v>
      </c>
      <c r="B115" s="7">
        <v>1.9</v>
      </c>
      <c r="C115" s="7">
        <v>6.4652900000000004</v>
      </c>
    </row>
    <row r="116" spans="1:3" x14ac:dyDescent="0.25">
      <c r="A116" s="2">
        <v>112</v>
      </c>
      <c r="B116" s="7">
        <v>1.9</v>
      </c>
      <c r="C116" s="7">
        <v>6.3451700000000004</v>
      </c>
    </row>
    <row r="117" spans="1:3" x14ac:dyDescent="0.25">
      <c r="A117" s="2">
        <v>113</v>
      </c>
      <c r="B117" s="7">
        <v>1.9</v>
      </c>
      <c r="C117" s="7">
        <v>6.2250500000000004</v>
      </c>
    </row>
    <row r="118" spans="1:3" x14ac:dyDescent="0.25">
      <c r="A118" s="2">
        <v>114</v>
      </c>
      <c r="B118" s="7">
        <v>1.9</v>
      </c>
      <c r="C118" s="7">
        <v>6.1049300000000004</v>
      </c>
    </row>
    <row r="119" spans="1:3" x14ac:dyDescent="0.25">
      <c r="A119" s="2">
        <v>115</v>
      </c>
      <c r="B119" s="7">
        <v>1.9</v>
      </c>
      <c r="C119" s="7">
        <v>5.9848100000000004</v>
      </c>
    </row>
    <row r="120" spans="1:3" x14ac:dyDescent="0.25">
      <c r="A120" s="2">
        <v>116</v>
      </c>
      <c r="B120" s="7">
        <v>1.9</v>
      </c>
      <c r="C120" s="7">
        <v>5.8651099999999996</v>
      </c>
    </row>
    <row r="121" spans="1:3" x14ac:dyDescent="0.25">
      <c r="A121" s="2">
        <v>117</v>
      </c>
      <c r="B121" s="7">
        <v>1.88252</v>
      </c>
      <c r="C121" s="7">
        <v>5.7478100000000003</v>
      </c>
    </row>
    <row r="122" spans="1:3" x14ac:dyDescent="0.25">
      <c r="A122" s="2">
        <v>118</v>
      </c>
      <c r="B122" s="7">
        <v>1.81216</v>
      </c>
      <c r="C122" s="7">
        <v>6.6328500000000004</v>
      </c>
    </row>
    <row r="123" spans="1:3" x14ac:dyDescent="0.25">
      <c r="A123" s="2">
        <v>119</v>
      </c>
      <c r="B123" s="7">
        <v>1.66384</v>
      </c>
      <c r="C123" s="7">
        <v>6.5127300000000004</v>
      </c>
    </row>
    <row r="124" spans="1:3" x14ac:dyDescent="0.25">
      <c r="A124" s="2">
        <v>120</v>
      </c>
      <c r="B124" s="7">
        <v>1.55322</v>
      </c>
      <c r="C124" s="7">
        <v>6.3926100000000003</v>
      </c>
    </row>
    <row r="125" spans="1:3" x14ac:dyDescent="0.25">
      <c r="A125" s="2">
        <v>121</v>
      </c>
      <c r="B125" s="7">
        <v>1.4484300000000001</v>
      </c>
      <c r="C125" s="7">
        <v>6.2724900000000003</v>
      </c>
    </row>
    <row r="126" spans="1:3" x14ac:dyDescent="0.25">
      <c r="A126" s="2">
        <v>122</v>
      </c>
      <c r="B126" s="7">
        <v>1.3449</v>
      </c>
      <c r="C126" s="7">
        <v>6.1523700000000003</v>
      </c>
    </row>
    <row r="127" spans="1:3" x14ac:dyDescent="0.25">
      <c r="A127" s="2">
        <v>123</v>
      </c>
      <c r="B127" s="7">
        <v>1.24936</v>
      </c>
      <c r="C127" s="7">
        <v>6.0322500000000003</v>
      </c>
    </row>
    <row r="128" spans="1:3" x14ac:dyDescent="0.25">
      <c r="A128" s="2">
        <v>124</v>
      </c>
      <c r="B128" s="7">
        <v>1.1504000000000001</v>
      </c>
      <c r="C128" s="7">
        <v>5.9121300000000003</v>
      </c>
    </row>
    <row r="129" spans="1:3" x14ac:dyDescent="0.25">
      <c r="A129" s="2">
        <v>125</v>
      </c>
      <c r="B129" s="7">
        <v>1.05497</v>
      </c>
      <c r="C129" s="7">
        <v>5.7938900000000002</v>
      </c>
    </row>
    <row r="130" spans="1:3" x14ac:dyDescent="0.25">
      <c r="A130" s="2">
        <v>126</v>
      </c>
      <c r="B130" s="7">
        <v>0.98614299999999999</v>
      </c>
      <c r="C130" s="7">
        <v>5.6780099999999996</v>
      </c>
    </row>
    <row r="131" spans="1:3" x14ac:dyDescent="0.25">
      <c r="A131" s="2">
        <v>127</v>
      </c>
      <c r="B131" s="7">
        <v>0.90044500000000005</v>
      </c>
      <c r="C131" s="7">
        <v>6.7204300000000003</v>
      </c>
    </row>
    <row r="132" spans="1:3" x14ac:dyDescent="0.25">
      <c r="A132" s="2">
        <v>128</v>
      </c>
      <c r="B132" s="7">
        <v>0.84909599999999996</v>
      </c>
      <c r="C132" s="7">
        <v>6.6003100000000003</v>
      </c>
    </row>
    <row r="133" spans="1:3" x14ac:dyDescent="0.25">
      <c r="A133" s="2">
        <v>129</v>
      </c>
      <c r="B133" s="7">
        <v>0.73081300000000005</v>
      </c>
      <c r="C133" s="7">
        <v>6.4801900000000003</v>
      </c>
    </row>
    <row r="134" spans="1:3" x14ac:dyDescent="0.25">
      <c r="A134" s="2">
        <v>130</v>
      </c>
      <c r="B134" s="7">
        <v>0.66464699999999999</v>
      </c>
      <c r="C134" s="7">
        <v>6.3600700000000003</v>
      </c>
    </row>
    <row r="135" spans="1:3" x14ac:dyDescent="0.25">
      <c r="A135" s="2">
        <v>131</v>
      </c>
      <c r="B135" s="7">
        <v>0.57082699999999997</v>
      </c>
      <c r="C135" s="7">
        <v>6.2399500000000003</v>
      </c>
    </row>
    <row r="136" spans="1:3" x14ac:dyDescent="0.25">
      <c r="A136" s="2">
        <v>132</v>
      </c>
      <c r="B136" s="7">
        <v>0.48664299999999999</v>
      </c>
      <c r="C136" s="7">
        <v>6.1198300000000003</v>
      </c>
    </row>
    <row r="137" spans="1:3" x14ac:dyDescent="0.25">
      <c r="A137" s="2">
        <v>133</v>
      </c>
      <c r="B137" s="7">
        <v>0.40711399999999998</v>
      </c>
      <c r="C137" s="7">
        <v>5.9997100000000003</v>
      </c>
    </row>
    <row r="138" spans="1:3" x14ac:dyDescent="0.25">
      <c r="A138" s="2">
        <v>134</v>
      </c>
      <c r="B138" s="7">
        <v>0.30806699999999998</v>
      </c>
      <c r="C138" s="7">
        <v>5.8797100000000002</v>
      </c>
    </row>
    <row r="139" spans="1:3" x14ac:dyDescent="0.25">
      <c r="A139" s="2">
        <v>135</v>
      </c>
      <c r="B139" s="7">
        <v>0.170853</v>
      </c>
      <c r="C139" s="7">
        <v>5.7621200000000004</v>
      </c>
    </row>
    <row r="140" spans="1:3" x14ac:dyDescent="0.25">
      <c r="A140" s="2">
        <v>136</v>
      </c>
      <c r="B140" s="7">
        <v>5.9958999999999998E-2</v>
      </c>
      <c r="C140" s="7">
        <v>5.6468800000000003</v>
      </c>
    </row>
    <row r="141" spans="1:3" x14ac:dyDescent="0.25">
      <c r="A141" s="2">
        <v>137</v>
      </c>
      <c r="B141" s="7">
        <v>0</v>
      </c>
      <c r="C141" s="7">
        <v>5.5339400000000003</v>
      </c>
    </row>
    <row r="142" spans="1:3" x14ac:dyDescent="0.25">
      <c r="A142" s="2">
        <v>138</v>
      </c>
      <c r="B142" s="7">
        <v>0</v>
      </c>
      <c r="C142" s="7">
        <v>5.42326</v>
      </c>
    </row>
    <row r="143" spans="1:3" x14ac:dyDescent="0.25">
      <c r="A143" s="2">
        <v>139</v>
      </c>
      <c r="B143" s="7">
        <v>0</v>
      </c>
      <c r="C143" s="7">
        <v>5.3148</v>
      </c>
    </row>
    <row r="144" spans="1:3" x14ac:dyDescent="0.25">
      <c r="A144" s="2">
        <v>140</v>
      </c>
      <c r="B144" s="7">
        <v>0</v>
      </c>
      <c r="C144" s="7">
        <v>5.2084999999999999</v>
      </c>
    </row>
    <row r="145" spans="1:3" x14ac:dyDescent="0.25">
      <c r="A145" s="2">
        <v>141</v>
      </c>
      <c r="B145" s="7">
        <v>0</v>
      </c>
      <c r="C145" s="7">
        <v>5.10433</v>
      </c>
    </row>
    <row r="146" spans="1:3" x14ac:dyDescent="0.25">
      <c r="A146" s="2">
        <v>142</v>
      </c>
      <c r="B146" s="7">
        <v>0</v>
      </c>
      <c r="C146" s="7">
        <v>5.0022399999999996</v>
      </c>
    </row>
    <row r="147" spans="1:3" x14ac:dyDescent="0.25">
      <c r="A147" s="2">
        <v>143</v>
      </c>
      <c r="B147" s="7">
        <v>0</v>
      </c>
      <c r="C147" s="7">
        <v>4.9021999999999997</v>
      </c>
    </row>
    <row r="148" spans="1:3" x14ac:dyDescent="0.25">
      <c r="A148" s="2">
        <v>144</v>
      </c>
      <c r="B148" s="7">
        <v>0</v>
      </c>
      <c r="C148" s="7">
        <v>4.8041499999999999</v>
      </c>
    </row>
    <row r="149" spans="1:3" x14ac:dyDescent="0.25">
      <c r="A149" s="2">
        <v>145</v>
      </c>
      <c r="B149" s="7">
        <v>0</v>
      </c>
      <c r="C149" s="7">
        <v>4.7080700000000002</v>
      </c>
    </row>
    <row r="150" spans="1:3" x14ac:dyDescent="0.25">
      <c r="A150" s="2">
        <v>146</v>
      </c>
      <c r="B150" s="7">
        <v>0</v>
      </c>
      <c r="C150" s="7">
        <v>4.6139099999999997</v>
      </c>
    </row>
    <row r="151" spans="1:3" x14ac:dyDescent="0.25">
      <c r="A151" s="2">
        <v>147</v>
      </c>
      <c r="B151" s="7">
        <v>0</v>
      </c>
      <c r="C151" s="7">
        <v>4.52163</v>
      </c>
    </row>
    <row r="152" spans="1:3" x14ac:dyDescent="0.25">
      <c r="A152" s="2">
        <v>148</v>
      </c>
      <c r="B152" s="7">
        <v>0</v>
      </c>
      <c r="C152" s="7">
        <v>5.8275699999999997</v>
      </c>
    </row>
    <row r="153" spans="1:3" x14ac:dyDescent="0.25">
      <c r="A153" s="2">
        <v>149</v>
      </c>
      <c r="B153" s="7">
        <v>0</v>
      </c>
      <c r="C153" s="7">
        <v>5.7110099999999999</v>
      </c>
    </row>
    <row r="154" spans="1:3" x14ac:dyDescent="0.25">
      <c r="A154" s="2">
        <v>150</v>
      </c>
      <c r="B154" s="7">
        <v>0</v>
      </c>
      <c r="C154" s="7">
        <v>6.4466900000000003</v>
      </c>
    </row>
    <row r="155" spans="1:3" x14ac:dyDescent="0.25">
      <c r="A155" s="2">
        <v>151</v>
      </c>
      <c r="B155" s="7">
        <v>0</v>
      </c>
      <c r="C155" s="7">
        <v>6.3265700000000002</v>
      </c>
    </row>
    <row r="156" spans="1:3" x14ac:dyDescent="0.25">
      <c r="A156" s="2">
        <v>152</v>
      </c>
      <c r="B156" s="7">
        <v>0</v>
      </c>
      <c r="C156" s="7">
        <v>7.0872200000000003</v>
      </c>
    </row>
    <row r="157" spans="1:3" x14ac:dyDescent="0.25">
      <c r="A157" s="2">
        <v>153</v>
      </c>
      <c r="B157" s="7">
        <v>0</v>
      </c>
      <c r="C157" s="7">
        <v>6.9671000000000003</v>
      </c>
    </row>
    <row r="158" spans="1:3" x14ac:dyDescent="0.25">
      <c r="A158" s="2">
        <v>154</v>
      </c>
      <c r="B158" s="7">
        <v>0</v>
      </c>
      <c r="C158" s="7">
        <v>7.3414900000000003</v>
      </c>
    </row>
    <row r="159" spans="1:3" x14ac:dyDescent="0.25">
      <c r="A159" s="2">
        <v>155</v>
      </c>
      <c r="B159" s="7">
        <v>0</v>
      </c>
      <c r="C159" s="7">
        <v>7.2213700000000003</v>
      </c>
    </row>
    <row r="160" spans="1:3" x14ac:dyDescent="0.25">
      <c r="A160" s="2">
        <v>156</v>
      </c>
      <c r="B160" s="7">
        <v>0</v>
      </c>
      <c r="C160" s="7">
        <v>7.1012500000000003</v>
      </c>
    </row>
    <row r="161" spans="1:3" x14ac:dyDescent="0.25">
      <c r="A161" s="2">
        <v>157</v>
      </c>
      <c r="B161" s="7">
        <v>0</v>
      </c>
      <c r="C161" s="7">
        <v>6.9811300000000003</v>
      </c>
    </row>
    <row r="162" spans="1:3" x14ac:dyDescent="0.25">
      <c r="A162" s="2">
        <v>158</v>
      </c>
      <c r="B162" s="7">
        <v>0</v>
      </c>
      <c r="C162" s="7">
        <v>7.4209500000000004</v>
      </c>
    </row>
    <row r="163" spans="1:3" x14ac:dyDescent="0.25">
      <c r="A163" s="2">
        <v>159</v>
      </c>
      <c r="B163" s="7">
        <v>0</v>
      </c>
      <c r="C163" s="7">
        <v>7.3008300000000004</v>
      </c>
    </row>
    <row r="164" spans="1:3" x14ac:dyDescent="0.25">
      <c r="A164" s="2">
        <v>160</v>
      </c>
      <c r="B164" s="7">
        <v>0</v>
      </c>
      <c r="C164" s="7">
        <v>7.1807100000000004</v>
      </c>
    </row>
    <row r="165" spans="1:3" x14ac:dyDescent="0.25">
      <c r="A165" s="2">
        <v>161</v>
      </c>
      <c r="B165" s="7">
        <v>0</v>
      </c>
      <c r="C165" s="7">
        <v>7.0605900000000004</v>
      </c>
    </row>
    <row r="166" spans="1:3" x14ac:dyDescent="0.25">
      <c r="A166" s="2">
        <v>162</v>
      </c>
      <c r="B166" s="7">
        <v>0</v>
      </c>
      <c r="C166" s="7">
        <v>6.9404700000000004</v>
      </c>
    </row>
    <row r="167" spans="1:3" x14ac:dyDescent="0.25">
      <c r="A167" s="2">
        <v>163</v>
      </c>
      <c r="B167" s="7">
        <v>0</v>
      </c>
      <c r="C167" s="7">
        <v>7.4260799999999998</v>
      </c>
    </row>
    <row r="168" spans="1:3" x14ac:dyDescent="0.25">
      <c r="A168" s="2">
        <v>164</v>
      </c>
      <c r="B168" s="7">
        <v>0</v>
      </c>
      <c r="C168" s="7">
        <v>7.3059599999999998</v>
      </c>
    </row>
    <row r="169" spans="1:3" x14ac:dyDescent="0.25">
      <c r="A169" s="2">
        <v>165</v>
      </c>
      <c r="B169" s="7">
        <v>0</v>
      </c>
      <c r="C169" s="7">
        <v>7.1858399999999998</v>
      </c>
    </row>
    <row r="170" spans="1:3" x14ac:dyDescent="0.25">
      <c r="A170" s="2">
        <v>166</v>
      </c>
      <c r="B170" s="7">
        <v>0</v>
      </c>
      <c r="C170" s="7">
        <v>7.0657199999999998</v>
      </c>
    </row>
    <row r="171" spans="1:3" x14ac:dyDescent="0.25">
      <c r="A171" s="2">
        <v>167</v>
      </c>
      <c r="B171" s="7">
        <v>0</v>
      </c>
      <c r="C171" s="7">
        <v>6.9455999999999998</v>
      </c>
    </row>
    <row r="172" spans="1:3" x14ac:dyDescent="0.25">
      <c r="A172" s="2">
        <v>168</v>
      </c>
      <c r="B172" s="7">
        <v>0</v>
      </c>
      <c r="C172" s="7">
        <v>6.8254799999999998</v>
      </c>
    </row>
    <row r="173" spans="1:3" x14ac:dyDescent="0.25">
      <c r="A173" s="2">
        <v>169</v>
      </c>
      <c r="B173" s="7">
        <v>0</v>
      </c>
      <c r="C173" s="7">
        <v>6.7053599999999998</v>
      </c>
    </row>
    <row r="174" spans="1:3" x14ac:dyDescent="0.25">
      <c r="A174" s="2">
        <v>170</v>
      </c>
      <c r="B174" s="7">
        <v>0</v>
      </c>
      <c r="C174" s="7">
        <v>6.5852399999999998</v>
      </c>
    </row>
    <row r="175" spans="1:3" x14ac:dyDescent="0.25">
      <c r="A175" s="2">
        <v>171</v>
      </c>
      <c r="B175" s="7">
        <v>0</v>
      </c>
      <c r="C175" s="7">
        <v>6.4651199999999998</v>
      </c>
    </row>
    <row r="176" spans="1:3" x14ac:dyDescent="0.25">
      <c r="A176" s="2">
        <v>172</v>
      </c>
      <c r="B176" s="7">
        <v>0</v>
      </c>
      <c r="C176" s="7">
        <v>6.8449999999999998</v>
      </c>
    </row>
    <row r="177" spans="1:3" x14ac:dyDescent="0.25">
      <c r="A177" s="2">
        <v>173</v>
      </c>
      <c r="B177" s="7">
        <v>0</v>
      </c>
      <c r="C177" s="7">
        <v>6.7248799999999997</v>
      </c>
    </row>
    <row r="178" spans="1:3" x14ac:dyDescent="0.25">
      <c r="A178" s="2">
        <v>174</v>
      </c>
      <c r="B178" s="7">
        <v>0</v>
      </c>
      <c r="C178" s="7">
        <v>6.6047599999999997</v>
      </c>
    </row>
    <row r="179" spans="1:3" x14ac:dyDescent="0.25">
      <c r="A179" s="2">
        <v>175</v>
      </c>
      <c r="B179" s="7">
        <v>0</v>
      </c>
      <c r="C179" s="7">
        <v>6.4846399999999997</v>
      </c>
    </row>
    <row r="180" spans="1:3" x14ac:dyDescent="0.25">
      <c r="A180" s="2">
        <v>176</v>
      </c>
      <c r="B180" s="7">
        <v>0</v>
      </c>
      <c r="C180" s="7">
        <v>6.3645199999999997</v>
      </c>
    </row>
    <row r="181" spans="1:3" x14ac:dyDescent="0.25">
      <c r="A181" s="2">
        <v>177</v>
      </c>
      <c r="B181" s="7">
        <v>0</v>
      </c>
      <c r="C181" s="7">
        <v>6.2443999999999997</v>
      </c>
    </row>
    <row r="182" spans="1:3" x14ac:dyDescent="0.25">
      <c r="A182" s="2">
        <v>178</v>
      </c>
      <c r="B182" s="7">
        <v>0</v>
      </c>
      <c r="C182" s="7">
        <v>7.4262499999999996</v>
      </c>
    </row>
    <row r="183" spans="1:3" x14ac:dyDescent="0.25">
      <c r="A183" s="2">
        <v>179</v>
      </c>
      <c r="B183" s="7">
        <v>0</v>
      </c>
      <c r="C183" s="7">
        <v>7.3061299999999996</v>
      </c>
    </row>
    <row r="184" spans="1:3" x14ac:dyDescent="0.25">
      <c r="A184" s="2">
        <v>180</v>
      </c>
      <c r="B184" s="7">
        <v>0</v>
      </c>
      <c r="C184" s="7">
        <v>7.4262499999999996</v>
      </c>
    </row>
    <row r="185" spans="1:3" x14ac:dyDescent="0.25">
      <c r="A185" s="2">
        <v>181</v>
      </c>
      <c r="B185" s="7">
        <v>0</v>
      </c>
      <c r="C185" s="7">
        <v>7.3061299999999996</v>
      </c>
    </row>
    <row r="186" spans="1:3" x14ac:dyDescent="0.25">
      <c r="A186" s="2">
        <v>182</v>
      </c>
      <c r="B186" s="7">
        <v>0</v>
      </c>
      <c r="C186" s="7">
        <v>7.4262499999999996</v>
      </c>
    </row>
    <row r="187" spans="1:3" x14ac:dyDescent="0.25">
      <c r="A187" s="2">
        <v>183</v>
      </c>
      <c r="B187" s="7">
        <v>0</v>
      </c>
      <c r="C187" s="7">
        <v>7.4262499999999996</v>
      </c>
    </row>
    <row r="188" spans="1:3" x14ac:dyDescent="0.25">
      <c r="A188" s="2">
        <v>184</v>
      </c>
      <c r="B188" s="7">
        <v>0</v>
      </c>
      <c r="C188" s="7">
        <v>7.3061299999999996</v>
      </c>
    </row>
    <row r="189" spans="1:3" x14ac:dyDescent="0.25">
      <c r="A189" s="2">
        <v>185</v>
      </c>
      <c r="B189" s="7">
        <v>0</v>
      </c>
      <c r="C189" s="7">
        <v>7.1860099999999996</v>
      </c>
    </row>
    <row r="190" spans="1:3" x14ac:dyDescent="0.25">
      <c r="A190" s="2">
        <v>186</v>
      </c>
      <c r="B190" s="7">
        <v>0</v>
      </c>
      <c r="C190" s="7">
        <v>7.4262499999999996</v>
      </c>
    </row>
    <row r="191" spans="1:3" x14ac:dyDescent="0.25">
      <c r="A191" s="2">
        <v>187</v>
      </c>
      <c r="B191" s="7">
        <v>0</v>
      </c>
      <c r="C191" s="7">
        <v>7.4262499999999996</v>
      </c>
    </row>
    <row r="192" spans="1:3" x14ac:dyDescent="0.25">
      <c r="A192" s="2">
        <v>188</v>
      </c>
      <c r="B192" s="7">
        <v>0</v>
      </c>
      <c r="C192" s="7">
        <v>7.3061299999999996</v>
      </c>
    </row>
    <row r="193" spans="1:3" x14ac:dyDescent="0.25">
      <c r="A193" s="2">
        <v>189</v>
      </c>
      <c r="B193" s="7">
        <v>0</v>
      </c>
      <c r="C193" s="7">
        <v>7.1860099999999996</v>
      </c>
    </row>
    <row r="194" spans="1:3" x14ac:dyDescent="0.25">
      <c r="A194" s="2">
        <v>190</v>
      </c>
      <c r="B194" s="7">
        <v>0</v>
      </c>
      <c r="C194" s="7">
        <v>7.0658899999999996</v>
      </c>
    </row>
    <row r="195" spans="1:3" x14ac:dyDescent="0.25">
      <c r="A195" s="2">
        <v>191</v>
      </c>
      <c r="B195" s="7">
        <v>0</v>
      </c>
      <c r="C195" s="7">
        <v>7.4262499999999996</v>
      </c>
    </row>
    <row r="196" spans="1:3" x14ac:dyDescent="0.25">
      <c r="A196" s="2">
        <v>192</v>
      </c>
      <c r="B196" s="7">
        <v>0</v>
      </c>
      <c r="C196" s="7">
        <v>7.3061299999999996</v>
      </c>
    </row>
    <row r="197" spans="1:3" x14ac:dyDescent="0.25">
      <c r="A197" s="2">
        <v>193</v>
      </c>
      <c r="B197" s="7">
        <v>0</v>
      </c>
      <c r="C197" s="7">
        <v>7.1860099999999996</v>
      </c>
    </row>
    <row r="198" spans="1:3" x14ac:dyDescent="0.25">
      <c r="A198" s="2">
        <v>194</v>
      </c>
      <c r="B198" s="7">
        <v>0</v>
      </c>
      <c r="C198" s="7">
        <v>7.0658899999999996</v>
      </c>
    </row>
    <row r="199" spans="1:3" x14ac:dyDescent="0.25">
      <c r="A199" s="2">
        <v>195</v>
      </c>
      <c r="B199" s="7">
        <v>0</v>
      </c>
      <c r="C199" s="7">
        <v>7.4262499999999996</v>
      </c>
    </row>
    <row r="200" spans="1:3" x14ac:dyDescent="0.25">
      <c r="A200" s="2">
        <v>196</v>
      </c>
      <c r="B200" s="7">
        <v>0</v>
      </c>
      <c r="C200" s="7">
        <v>7.3061299999999996</v>
      </c>
    </row>
    <row r="201" spans="1:3" x14ac:dyDescent="0.25">
      <c r="A201" s="2">
        <v>197</v>
      </c>
      <c r="B201" s="7">
        <v>0</v>
      </c>
      <c r="C201" s="7">
        <v>7.1860099999999996</v>
      </c>
    </row>
    <row r="202" spans="1:3" x14ac:dyDescent="0.25">
      <c r="A202" s="2">
        <v>198</v>
      </c>
      <c r="B202" s="7">
        <v>0</v>
      </c>
      <c r="C202" s="7">
        <v>7.0658899999999996</v>
      </c>
    </row>
    <row r="203" spans="1:3" x14ac:dyDescent="0.25">
      <c r="A203" s="2">
        <v>199</v>
      </c>
      <c r="B203" s="7">
        <v>0</v>
      </c>
      <c r="C203" s="7">
        <v>6.9457700000000004</v>
      </c>
    </row>
    <row r="204" spans="1:3" x14ac:dyDescent="0.25">
      <c r="A204" s="2">
        <v>200</v>
      </c>
      <c r="B204" s="7">
        <v>0</v>
      </c>
      <c r="C204" s="7">
        <v>7.4262499999999996</v>
      </c>
    </row>
    <row r="205" spans="1:3" x14ac:dyDescent="0.25">
      <c r="A205" s="2">
        <v>201</v>
      </c>
      <c r="B205" s="7">
        <v>0</v>
      </c>
      <c r="C205" s="7">
        <v>7.3061299999999996</v>
      </c>
    </row>
    <row r="206" spans="1:3" x14ac:dyDescent="0.25">
      <c r="A206" s="2">
        <v>202</v>
      </c>
      <c r="B206" s="7">
        <v>0</v>
      </c>
      <c r="C206" s="7">
        <v>7.1860099999999996</v>
      </c>
    </row>
    <row r="207" spans="1:3" x14ac:dyDescent="0.25">
      <c r="A207" s="2">
        <v>203</v>
      </c>
      <c r="B207" s="7">
        <v>0</v>
      </c>
      <c r="C207" s="7">
        <v>7.0658899999999996</v>
      </c>
    </row>
    <row r="208" spans="1:3" x14ac:dyDescent="0.25">
      <c r="A208" s="2">
        <v>204</v>
      </c>
      <c r="B208" s="7">
        <v>0</v>
      </c>
      <c r="C208" s="7">
        <v>6.9457700000000004</v>
      </c>
    </row>
    <row r="209" spans="1:3" x14ac:dyDescent="0.25">
      <c r="A209" s="2">
        <v>205</v>
      </c>
      <c r="B209" s="7">
        <v>0</v>
      </c>
      <c r="C209" s="7">
        <v>6.8256500000000004</v>
      </c>
    </row>
    <row r="210" spans="1:3" x14ac:dyDescent="0.25">
      <c r="A210" s="2">
        <v>206</v>
      </c>
      <c r="B210" s="7">
        <v>0</v>
      </c>
      <c r="C210" s="7">
        <v>6.7055300000000004</v>
      </c>
    </row>
    <row r="211" spans="1:3" x14ac:dyDescent="0.25">
      <c r="A211" s="2">
        <v>207</v>
      </c>
      <c r="B211" s="7">
        <v>0</v>
      </c>
      <c r="C211" s="7">
        <v>6.5854100000000004</v>
      </c>
    </row>
    <row r="212" spans="1:3" x14ac:dyDescent="0.25">
      <c r="A212" s="2">
        <v>208</v>
      </c>
      <c r="B212" s="7">
        <v>0</v>
      </c>
      <c r="C212" s="7">
        <v>6.4652900000000004</v>
      </c>
    </row>
    <row r="213" spans="1:3" x14ac:dyDescent="0.25">
      <c r="A213" s="2">
        <v>209</v>
      </c>
      <c r="B213" s="7">
        <v>0</v>
      </c>
      <c r="C213" s="7">
        <v>6.3451700000000004</v>
      </c>
    </row>
    <row r="214" spans="1:3" x14ac:dyDescent="0.25">
      <c r="A214" s="2">
        <v>210</v>
      </c>
      <c r="B214" s="7">
        <v>0</v>
      </c>
      <c r="C214" s="7">
        <v>6.2250500000000004</v>
      </c>
    </row>
    <row r="215" spans="1:3" x14ac:dyDescent="0.25">
      <c r="A215" s="2">
        <v>211</v>
      </c>
      <c r="B215" s="7">
        <v>0</v>
      </c>
      <c r="C215" s="7">
        <v>6.1049300000000004</v>
      </c>
    </row>
    <row r="216" spans="1:3" x14ac:dyDescent="0.25">
      <c r="A216" s="2">
        <v>212</v>
      </c>
      <c r="B216" s="7">
        <v>0</v>
      </c>
      <c r="C216" s="7">
        <v>5.9848100000000004</v>
      </c>
    </row>
    <row r="217" spans="1:3" x14ac:dyDescent="0.25">
      <c r="A217" s="2">
        <v>213</v>
      </c>
      <c r="B217" s="7">
        <v>0</v>
      </c>
      <c r="C217" s="7">
        <v>5.8651099999999996</v>
      </c>
    </row>
    <row r="218" spans="1:3" x14ac:dyDescent="0.25">
      <c r="A218" s="2">
        <v>214</v>
      </c>
      <c r="B218" s="7">
        <v>0</v>
      </c>
      <c r="C218" s="7">
        <v>6.7478100000000003</v>
      </c>
    </row>
    <row r="219" spans="1:3" x14ac:dyDescent="0.25">
      <c r="A219" s="2">
        <v>215</v>
      </c>
      <c r="B219" s="7">
        <v>0</v>
      </c>
      <c r="C219" s="7">
        <v>6.6276900000000003</v>
      </c>
    </row>
    <row r="220" spans="1:3" x14ac:dyDescent="0.25">
      <c r="A220" s="2">
        <v>216</v>
      </c>
      <c r="B220" s="7">
        <v>0</v>
      </c>
      <c r="C220" s="7">
        <v>6.5075700000000003</v>
      </c>
    </row>
    <row r="221" spans="1:3" x14ac:dyDescent="0.25">
      <c r="A221" s="2">
        <v>217</v>
      </c>
      <c r="B221" s="7">
        <v>0</v>
      </c>
      <c r="C221" s="7">
        <v>6.8874500000000003</v>
      </c>
    </row>
    <row r="222" spans="1:3" x14ac:dyDescent="0.25">
      <c r="A222" s="2">
        <v>218</v>
      </c>
      <c r="B222" s="7">
        <v>0</v>
      </c>
      <c r="C222" s="7">
        <v>7.2864599999999999</v>
      </c>
    </row>
    <row r="223" spans="1:3" x14ac:dyDescent="0.25">
      <c r="A223" s="2">
        <v>219</v>
      </c>
      <c r="B223" s="7">
        <v>0</v>
      </c>
      <c r="C223" s="7">
        <v>7.1663399999999999</v>
      </c>
    </row>
    <row r="224" spans="1:3" x14ac:dyDescent="0.25">
      <c r="A224" s="2">
        <v>220</v>
      </c>
      <c r="B224" s="7">
        <v>0</v>
      </c>
      <c r="C224" s="7">
        <v>7.4232800000000001</v>
      </c>
    </row>
    <row r="225" spans="1:3" x14ac:dyDescent="0.25">
      <c r="A225" s="2">
        <v>221</v>
      </c>
      <c r="B225" s="7">
        <v>0</v>
      </c>
      <c r="C225" s="7">
        <v>7.3031600000000001</v>
      </c>
    </row>
    <row r="226" spans="1:3" x14ac:dyDescent="0.25">
      <c r="A226" s="2">
        <v>222</v>
      </c>
      <c r="B226" s="7">
        <v>0</v>
      </c>
      <c r="C226" s="7">
        <v>7.1830400000000001</v>
      </c>
    </row>
    <row r="227" spans="1:3" x14ac:dyDescent="0.25">
      <c r="A227" s="2">
        <v>223</v>
      </c>
      <c r="B227" s="7">
        <v>0</v>
      </c>
      <c r="C227" s="7">
        <v>7.0629200000000001</v>
      </c>
    </row>
    <row r="228" spans="1:3" x14ac:dyDescent="0.25">
      <c r="A228" s="2">
        <v>224</v>
      </c>
      <c r="B228" s="7">
        <v>0</v>
      </c>
      <c r="C228" s="7">
        <v>6.9428000000000001</v>
      </c>
    </row>
    <row r="229" spans="1:3" x14ac:dyDescent="0.25">
      <c r="A229" s="2">
        <v>225</v>
      </c>
      <c r="B229" s="7">
        <v>0</v>
      </c>
      <c r="C229" s="7">
        <v>7.4261600000000003</v>
      </c>
    </row>
    <row r="230" spans="1:3" x14ac:dyDescent="0.25">
      <c r="A230" s="2">
        <v>226</v>
      </c>
      <c r="B230" s="7">
        <v>0</v>
      </c>
      <c r="C230" s="7">
        <v>7.3060400000000003</v>
      </c>
    </row>
    <row r="231" spans="1:3" x14ac:dyDescent="0.25">
      <c r="A231" s="2">
        <v>227</v>
      </c>
      <c r="B231" s="7">
        <v>0</v>
      </c>
      <c r="C231" s="7">
        <v>7.1859200000000003</v>
      </c>
    </row>
    <row r="232" spans="1:3" x14ac:dyDescent="0.25">
      <c r="A232" s="2">
        <v>228</v>
      </c>
      <c r="B232" s="7">
        <v>0</v>
      </c>
      <c r="C232" s="7">
        <v>7.42624</v>
      </c>
    </row>
    <row r="233" spans="1:3" x14ac:dyDescent="0.25">
      <c r="A233" s="2">
        <v>229</v>
      </c>
      <c r="B233" s="7">
        <v>0</v>
      </c>
      <c r="C233" s="7">
        <v>7.42624</v>
      </c>
    </row>
    <row r="234" spans="1:3" x14ac:dyDescent="0.25">
      <c r="A234" s="2">
        <v>230</v>
      </c>
      <c r="B234" s="7">
        <v>0</v>
      </c>
      <c r="C234" s="7">
        <v>7.3061199999999999</v>
      </c>
    </row>
    <row r="235" spans="1:3" x14ac:dyDescent="0.25">
      <c r="A235" s="2">
        <v>231</v>
      </c>
      <c r="B235" s="7">
        <v>0</v>
      </c>
      <c r="C235" s="7">
        <v>7.1859999999999999</v>
      </c>
    </row>
    <row r="236" spans="1:3" x14ac:dyDescent="0.25">
      <c r="A236" s="2">
        <v>232</v>
      </c>
      <c r="B236" s="7">
        <v>0</v>
      </c>
      <c r="C236" s="7">
        <v>7.0658799999999999</v>
      </c>
    </row>
    <row r="237" spans="1:3" x14ac:dyDescent="0.25">
      <c r="A237" s="2">
        <v>233</v>
      </c>
      <c r="B237" s="7">
        <v>0</v>
      </c>
      <c r="C237" s="7">
        <v>6.9457599999999999</v>
      </c>
    </row>
    <row r="238" spans="1:3" x14ac:dyDescent="0.25">
      <c r="A238" s="2">
        <v>234</v>
      </c>
      <c r="B238" s="7">
        <v>0</v>
      </c>
      <c r="C238" s="7">
        <v>7.4262499999999996</v>
      </c>
    </row>
    <row r="239" spans="1:3" x14ac:dyDescent="0.25">
      <c r="A239" s="2">
        <v>235</v>
      </c>
      <c r="B239" s="7">
        <v>0</v>
      </c>
      <c r="C239" s="7">
        <v>7.3061299999999996</v>
      </c>
    </row>
    <row r="240" spans="1:3" x14ac:dyDescent="0.25">
      <c r="A240" s="2">
        <v>236</v>
      </c>
      <c r="B240" s="7">
        <v>0</v>
      </c>
      <c r="C240" s="7">
        <v>7.1860099999999996</v>
      </c>
    </row>
    <row r="241" spans="1:3" x14ac:dyDescent="0.25">
      <c r="A241" s="2">
        <v>237</v>
      </c>
      <c r="B241" s="7">
        <v>0</v>
      </c>
      <c r="C241" s="7">
        <v>7.4262499999999996</v>
      </c>
    </row>
    <row r="242" spans="1:3" x14ac:dyDescent="0.25">
      <c r="A242" s="2">
        <v>238</v>
      </c>
      <c r="B242" s="7">
        <v>0</v>
      </c>
      <c r="C242" s="7">
        <v>7.3061299999999996</v>
      </c>
    </row>
    <row r="243" spans="1:3" x14ac:dyDescent="0.25">
      <c r="A243" s="2">
        <v>239</v>
      </c>
      <c r="B243" s="7">
        <v>0</v>
      </c>
      <c r="C243" s="7">
        <v>7.1860099999999996</v>
      </c>
    </row>
    <row r="244" spans="1:3" x14ac:dyDescent="0.25">
      <c r="A244" s="2">
        <v>240</v>
      </c>
      <c r="B244" s="7">
        <v>0</v>
      </c>
      <c r="C244" s="7">
        <v>7.0658899999999996</v>
      </c>
    </row>
    <row r="245" spans="1:3" x14ac:dyDescent="0.25">
      <c r="A245" s="2">
        <v>241</v>
      </c>
      <c r="B245" s="7">
        <v>0</v>
      </c>
      <c r="C245" s="7">
        <v>6.9457700000000004</v>
      </c>
    </row>
    <row r="246" spans="1:3" x14ac:dyDescent="0.25">
      <c r="A246" s="2">
        <v>242</v>
      </c>
      <c r="B246" s="7">
        <v>0</v>
      </c>
      <c r="C246" s="7">
        <v>7.4262499999999996</v>
      </c>
    </row>
    <row r="247" spans="1:3" x14ac:dyDescent="0.25">
      <c r="A247" s="2">
        <v>243</v>
      </c>
      <c r="B247" s="7">
        <v>0</v>
      </c>
      <c r="C247" s="7">
        <v>7.4262499999999996</v>
      </c>
    </row>
    <row r="248" spans="1:3" x14ac:dyDescent="0.25">
      <c r="A248" s="2">
        <v>244</v>
      </c>
      <c r="B248" s="7">
        <v>0</v>
      </c>
      <c r="C248" s="7">
        <v>7.3061299999999996</v>
      </c>
    </row>
    <row r="249" spans="1:3" x14ac:dyDescent="0.25">
      <c r="A249" s="2">
        <v>245</v>
      </c>
      <c r="B249" s="7">
        <v>0</v>
      </c>
      <c r="C249" s="7">
        <v>7.1860099999999996</v>
      </c>
    </row>
    <row r="250" spans="1:3" x14ac:dyDescent="0.25">
      <c r="A250" s="2">
        <v>246</v>
      </c>
      <c r="B250" s="7">
        <v>0</v>
      </c>
      <c r="C250" s="7">
        <v>7.0658899999999996</v>
      </c>
    </row>
    <row r="251" spans="1:3" x14ac:dyDescent="0.25">
      <c r="A251" s="2">
        <v>247</v>
      </c>
      <c r="B251" s="7">
        <v>0</v>
      </c>
      <c r="C251" s="7">
        <v>6.9457700000000004</v>
      </c>
    </row>
    <row r="252" spans="1:3" x14ac:dyDescent="0.25">
      <c r="A252" s="2">
        <v>248</v>
      </c>
      <c r="B252" s="7">
        <v>0</v>
      </c>
      <c r="C252" s="7">
        <v>6.8256500000000004</v>
      </c>
    </row>
    <row r="253" spans="1:3" x14ac:dyDescent="0.25">
      <c r="A253" s="2">
        <v>249</v>
      </c>
      <c r="B253" s="7">
        <v>0</v>
      </c>
      <c r="C253" s="7">
        <v>6.7055300000000004</v>
      </c>
    </row>
    <row r="254" spans="1:3" x14ac:dyDescent="0.25">
      <c r="A254" s="2">
        <v>250</v>
      </c>
      <c r="B254" s="7">
        <v>0</v>
      </c>
      <c r="C254" s="7">
        <v>6.5854100000000004</v>
      </c>
    </row>
    <row r="255" spans="1:3" x14ac:dyDescent="0.25">
      <c r="A255" s="2">
        <v>251</v>
      </c>
      <c r="B255" s="7">
        <v>0</v>
      </c>
      <c r="C255" s="7">
        <v>6.4652900000000004</v>
      </c>
    </row>
    <row r="256" spans="1:3" x14ac:dyDescent="0.25">
      <c r="A256" s="2">
        <v>252</v>
      </c>
      <c r="B256" s="7">
        <v>0</v>
      </c>
      <c r="C256" s="7">
        <v>7.3451700000000004</v>
      </c>
    </row>
    <row r="257" spans="1:3" x14ac:dyDescent="0.25">
      <c r="A257" s="2">
        <v>253</v>
      </c>
      <c r="B257" s="7">
        <v>0</v>
      </c>
      <c r="C257" s="7">
        <v>7.4262499999999996</v>
      </c>
    </row>
    <row r="258" spans="1:3" x14ac:dyDescent="0.25">
      <c r="A258" s="2">
        <v>254</v>
      </c>
      <c r="B258" s="7">
        <v>0</v>
      </c>
      <c r="C258" s="7">
        <v>7.3061299999999996</v>
      </c>
    </row>
    <row r="259" spans="1:3" x14ac:dyDescent="0.25">
      <c r="A259" s="2">
        <v>255</v>
      </c>
      <c r="B259" s="7">
        <v>0</v>
      </c>
      <c r="C259" s="7">
        <v>7.1860099999999996</v>
      </c>
    </row>
    <row r="260" spans="1:3" x14ac:dyDescent="0.25">
      <c r="A260" s="2">
        <v>256</v>
      </c>
      <c r="B260" s="7">
        <v>0</v>
      </c>
      <c r="C260" s="7">
        <v>7.4262499999999996</v>
      </c>
    </row>
    <row r="261" spans="1:3" x14ac:dyDescent="0.25">
      <c r="A261" s="2">
        <v>257</v>
      </c>
      <c r="B261" s="7">
        <v>0</v>
      </c>
      <c r="C261" s="7">
        <v>7.3061299999999996</v>
      </c>
    </row>
    <row r="262" spans="1:3" x14ac:dyDescent="0.25">
      <c r="A262" s="2">
        <v>258</v>
      </c>
      <c r="B262" s="7">
        <v>0</v>
      </c>
      <c r="C262" s="7">
        <v>7.1860099999999996</v>
      </c>
    </row>
    <row r="263" spans="1:3" x14ac:dyDescent="0.25">
      <c r="A263" s="2">
        <v>259</v>
      </c>
      <c r="B263" s="7">
        <v>0</v>
      </c>
      <c r="C263" s="7">
        <v>7.0658899999999996</v>
      </c>
    </row>
    <row r="264" spans="1:3" x14ac:dyDescent="0.25">
      <c r="A264" s="2">
        <v>260</v>
      </c>
      <c r="B264" s="7">
        <v>0</v>
      </c>
      <c r="C264" s="7">
        <v>6.9457700000000004</v>
      </c>
    </row>
    <row r="265" spans="1:3" x14ac:dyDescent="0.25">
      <c r="A265" s="2">
        <v>261</v>
      </c>
      <c r="B265" s="7">
        <v>0</v>
      </c>
      <c r="C265" s="7">
        <v>6.8256500000000004</v>
      </c>
    </row>
    <row r="266" spans="1:3" x14ac:dyDescent="0.25">
      <c r="A266" s="2">
        <v>262</v>
      </c>
      <c r="B266" s="7">
        <v>0</v>
      </c>
      <c r="C266" s="7">
        <v>6.7055300000000004</v>
      </c>
    </row>
    <row r="267" spans="1:3" x14ac:dyDescent="0.25">
      <c r="A267" s="2">
        <v>263</v>
      </c>
      <c r="B267" s="7">
        <v>0</v>
      </c>
      <c r="C267" s="7">
        <v>6.5854100000000004</v>
      </c>
    </row>
    <row r="268" spans="1:3" x14ac:dyDescent="0.25">
      <c r="A268" s="2">
        <v>264</v>
      </c>
      <c r="B268" s="7">
        <v>0</v>
      </c>
      <c r="C268" s="7">
        <v>7.4262499999999996</v>
      </c>
    </row>
    <row r="269" spans="1:3" x14ac:dyDescent="0.25">
      <c r="A269" s="2">
        <v>265</v>
      </c>
      <c r="B269" s="7">
        <v>0</v>
      </c>
      <c r="C269" s="7">
        <v>7.3061299999999996</v>
      </c>
    </row>
    <row r="270" spans="1:3" x14ac:dyDescent="0.25">
      <c r="A270" s="2">
        <v>266</v>
      </c>
      <c r="B270" s="7">
        <v>0</v>
      </c>
      <c r="C270" s="7">
        <v>7.1860099999999996</v>
      </c>
    </row>
    <row r="271" spans="1:3" x14ac:dyDescent="0.25">
      <c r="A271" s="2">
        <v>267</v>
      </c>
      <c r="B271" s="7">
        <v>0</v>
      </c>
      <c r="C271" s="7">
        <v>7.0658899999999996</v>
      </c>
    </row>
    <row r="272" spans="1:3" x14ac:dyDescent="0.25">
      <c r="A272" s="2">
        <v>268</v>
      </c>
      <c r="B272" s="7">
        <v>0</v>
      </c>
      <c r="C272" s="7">
        <v>6.9457700000000004</v>
      </c>
    </row>
    <row r="273" spans="1:3" x14ac:dyDescent="0.25">
      <c r="A273" s="2">
        <v>269</v>
      </c>
      <c r="B273" s="7">
        <v>0</v>
      </c>
      <c r="C273" s="7">
        <v>6.8256500000000004</v>
      </c>
    </row>
    <row r="274" spans="1:3" x14ac:dyDescent="0.25">
      <c r="A274" s="2">
        <v>270</v>
      </c>
      <c r="B274" s="7">
        <v>0</v>
      </c>
      <c r="C274" s="7">
        <v>6.7055300000000004</v>
      </c>
    </row>
    <row r="275" spans="1:3" x14ac:dyDescent="0.25">
      <c r="A275" s="2">
        <v>271</v>
      </c>
      <c r="B275" s="7">
        <v>0</v>
      </c>
      <c r="C275" s="7">
        <v>6.5854100000000004</v>
      </c>
    </row>
    <row r="276" spans="1:3" x14ac:dyDescent="0.25">
      <c r="A276" s="2">
        <v>272</v>
      </c>
      <c r="B276" s="7">
        <v>0</v>
      </c>
      <c r="C276" s="7">
        <v>7.4262499999999996</v>
      </c>
    </row>
    <row r="277" spans="1:3" x14ac:dyDescent="0.25">
      <c r="A277" s="2">
        <v>273</v>
      </c>
      <c r="B277" s="7">
        <v>0</v>
      </c>
      <c r="C277" s="7">
        <v>7.3061299999999996</v>
      </c>
    </row>
    <row r="278" spans="1:3" x14ac:dyDescent="0.25">
      <c r="A278" s="2">
        <v>274</v>
      </c>
      <c r="B278" s="7">
        <v>0</v>
      </c>
      <c r="C278" s="7">
        <v>7.4262499999999996</v>
      </c>
    </row>
    <row r="279" spans="1:3" x14ac:dyDescent="0.25">
      <c r="A279" s="2">
        <v>275</v>
      </c>
      <c r="B279" s="7">
        <v>0</v>
      </c>
      <c r="C279" s="7">
        <v>7.3061299999999996</v>
      </c>
    </row>
    <row r="280" spans="1:3" x14ac:dyDescent="0.25">
      <c r="A280" s="2">
        <v>276</v>
      </c>
      <c r="B280" s="7">
        <v>0</v>
      </c>
      <c r="C280" s="7">
        <v>7.1860099999999996</v>
      </c>
    </row>
    <row r="281" spans="1:3" x14ac:dyDescent="0.25">
      <c r="A281" s="2">
        <v>277</v>
      </c>
      <c r="B281" s="7">
        <v>0</v>
      </c>
      <c r="C281" s="7">
        <v>7.4262499999999996</v>
      </c>
    </row>
    <row r="282" spans="1:3" x14ac:dyDescent="0.25">
      <c r="A282" s="2">
        <v>278</v>
      </c>
      <c r="B282" s="7">
        <v>0</v>
      </c>
      <c r="C282" s="7">
        <v>7.3061299999999996</v>
      </c>
    </row>
    <row r="283" spans="1:3" x14ac:dyDescent="0.25">
      <c r="A283" s="2">
        <v>279</v>
      </c>
      <c r="B283" s="7">
        <v>0</v>
      </c>
      <c r="C283" s="7">
        <v>7.1860099999999996</v>
      </c>
    </row>
    <row r="284" spans="1:3" x14ac:dyDescent="0.25">
      <c r="A284" s="2">
        <v>280</v>
      </c>
      <c r="B284" s="7">
        <v>0</v>
      </c>
      <c r="C284" s="7">
        <v>7.0658899999999996</v>
      </c>
    </row>
    <row r="285" spans="1:3" x14ac:dyDescent="0.25">
      <c r="A285" s="2">
        <v>281</v>
      </c>
      <c r="B285" s="7">
        <v>0</v>
      </c>
      <c r="C285" s="7">
        <v>6.9457700000000004</v>
      </c>
    </row>
    <row r="286" spans="1:3" x14ac:dyDescent="0.25">
      <c r="A286" s="2">
        <v>282</v>
      </c>
      <c r="B286" s="7">
        <v>0</v>
      </c>
      <c r="C286" s="7">
        <v>6.8256500000000004</v>
      </c>
    </row>
    <row r="287" spans="1:3" x14ac:dyDescent="0.25">
      <c r="A287" s="2">
        <v>283</v>
      </c>
      <c r="B287" s="7">
        <v>0</v>
      </c>
      <c r="C287" s="7">
        <v>6.7055300000000004</v>
      </c>
    </row>
    <row r="288" spans="1:3" x14ac:dyDescent="0.25">
      <c r="A288" s="2">
        <v>284</v>
      </c>
      <c r="B288" s="7">
        <v>0</v>
      </c>
      <c r="C288" s="7">
        <v>7.4262499999999996</v>
      </c>
    </row>
    <row r="289" spans="1:3" x14ac:dyDescent="0.25">
      <c r="A289" s="2">
        <v>285</v>
      </c>
      <c r="B289" s="7">
        <v>0</v>
      </c>
      <c r="C289" s="7">
        <v>7.4262499999999996</v>
      </c>
    </row>
    <row r="290" spans="1:3" x14ac:dyDescent="0.25">
      <c r="A290" s="2">
        <v>286</v>
      </c>
      <c r="B290" s="7">
        <v>0</v>
      </c>
      <c r="C290" s="7">
        <v>7.3061299999999996</v>
      </c>
    </row>
    <row r="291" spans="1:3" x14ac:dyDescent="0.25">
      <c r="A291" s="2">
        <v>287</v>
      </c>
      <c r="B291" s="7">
        <v>0</v>
      </c>
      <c r="C291" s="7">
        <v>7.1860099999999996</v>
      </c>
    </row>
    <row r="292" spans="1:3" x14ac:dyDescent="0.25">
      <c r="A292" s="2">
        <v>288</v>
      </c>
      <c r="B292" s="7">
        <v>0</v>
      </c>
      <c r="C292" s="7">
        <v>7.0658899999999996</v>
      </c>
    </row>
    <row r="293" spans="1:3" x14ac:dyDescent="0.25">
      <c r="A293" s="2">
        <v>289</v>
      </c>
      <c r="B293" s="7">
        <v>0</v>
      </c>
      <c r="C293" s="7">
        <v>6.9457700000000004</v>
      </c>
    </row>
    <row r="294" spans="1:3" x14ac:dyDescent="0.25">
      <c r="A294" s="2">
        <v>290</v>
      </c>
      <c r="B294" s="7">
        <v>0</v>
      </c>
      <c r="C294" s="7">
        <v>6.8256500000000004</v>
      </c>
    </row>
    <row r="295" spans="1:3" x14ac:dyDescent="0.25">
      <c r="A295" s="2">
        <v>291</v>
      </c>
      <c r="B295" s="7">
        <v>0</v>
      </c>
      <c r="C295" s="7">
        <v>6.7055300000000004</v>
      </c>
    </row>
    <row r="296" spans="1:3" x14ac:dyDescent="0.25">
      <c r="A296" s="2">
        <v>292</v>
      </c>
      <c r="B296" s="7">
        <v>0</v>
      </c>
      <c r="C296" s="7">
        <v>6.5854100000000004</v>
      </c>
    </row>
    <row r="297" spans="1:3" x14ac:dyDescent="0.25">
      <c r="A297" s="2">
        <v>293</v>
      </c>
      <c r="B297" s="7">
        <v>0</v>
      </c>
      <c r="C297" s="7">
        <v>7.2198500000000001</v>
      </c>
    </row>
    <row r="298" spans="1:3" x14ac:dyDescent="0.25">
      <c r="A298" s="2">
        <v>294</v>
      </c>
      <c r="B298" s="7">
        <v>0</v>
      </c>
      <c r="C298" s="7">
        <v>7.4262499999999996</v>
      </c>
    </row>
    <row r="299" spans="1:3" x14ac:dyDescent="0.25">
      <c r="A299" s="2">
        <v>295</v>
      </c>
      <c r="B299" s="7">
        <v>0</v>
      </c>
      <c r="C299" s="7">
        <v>7.3061299999999996</v>
      </c>
    </row>
    <row r="300" spans="1:3" x14ac:dyDescent="0.25">
      <c r="A300" s="2">
        <v>296</v>
      </c>
      <c r="B300" s="7">
        <v>0</v>
      </c>
      <c r="C300" s="7">
        <v>7.1860099999999996</v>
      </c>
    </row>
    <row r="301" spans="1:3" x14ac:dyDescent="0.25">
      <c r="A301" s="2">
        <v>297</v>
      </c>
      <c r="B301" s="7">
        <v>0</v>
      </c>
      <c r="C301" s="7">
        <v>7.0658899999999996</v>
      </c>
    </row>
    <row r="302" spans="1:3" x14ac:dyDescent="0.25">
      <c r="A302" s="2">
        <v>298</v>
      </c>
      <c r="B302" s="7">
        <v>0</v>
      </c>
      <c r="C302" s="7">
        <v>6.9457700000000004</v>
      </c>
    </row>
    <row r="303" spans="1:3" x14ac:dyDescent="0.25">
      <c r="A303" s="2">
        <v>299</v>
      </c>
      <c r="B303" s="7">
        <v>0</v>
      </c>
      <c r="C303" s="7">
        <v>6.8256500000000004</v>
      </c>
    </row>
    <row r="304" spans="1:3" x14ac:dyDescent="0.25">
      <c r="A304" s="2">
        <v>300</v>
      </c>
      <c r="B304" s="7">
        <v>0</v>
      </c>
      <c r="C304" s="7">
        <v>6.7055300000000004</v>
      </c>
    </row>
    <row r="305" spans="1:3" x14ac:dyDescent="0.25">
      <c r="A305" s="2">
        <v>301</v>
      </c>
      <c r="B305" s="7">
        <v>0</v>
      </c>
      <c r="C305" s="7">
        <v>6.5854100000000004</v>
      </c>
    </row>
    <row r="306" spans="1:3" x14ac:dyDescent="0.25">
      <c r="A306" s="2">
        <v>302</v>
      </c>
      <c r="B306" s="7">
        <v>0</v>
      </c>
      <c r="C306" s="7">
        <v>7.1575800000000003</v>
      </c>
    </row>
    <row r="307" spans="1:3" x14ac:dyDescent="0.25">
      <c r="A307" s="2">
        <v>303</v>
      </c>
      <c r="B307" s="7">
        <v>0</v>
      </c>
      <c r="C307" s="7">
        <v>7.4262499999999996</v>
      </c>
    </row>
    <row r="308" spans="1:3" x14ac:dyDescent="0.25">
      <c r="A308" s="2">
        <v>304</v>
      </c>
      <c r="B308" s="7">
        <v>0</v>
      </c>
      <c r="C308" s="7">
        <v>7.3061299999999996</v>
      </c>
    </row>
    <row r="309" spans="1:3" x14ac:dyDescent="0.25">
      <c r="A309" s="2">
        <v>305</v>
      </c>
      <c r="B309" s="7">
        <v>0</v>
      </c>
      <c r="C309" s="7">
        <v>7.1860099999999996</v>
      </c>
    </row>
    <row r="310" spans="1:3" x14ac:dyDescent="0.25">
      <c r="A310" s="2">
        <v>306</v>
      </c>
      <c r="B310" s="7">
        <v>0</v>
      </c>
      <c r="C310" s="7">
        <v>7.0658899999999996</v>
      </c>
    </row>
    <row r="311" spans="1:3" x14ac:dyDescent="0.25">
      <c r="A311" s="2">
        <v>307</v>
      </c>
      <c r="B311" s="7">
        <v>0</v>
      </c>
      <c r="C311" s="7">
        <v>6.9457700000000004</v>
      </c>
    </row>
    <row r="312" spans="1:3" x14ac:dyDescent="0.25">
      <c r="A312" s="2">
        <v>308</v>
      </c>
      <c r="B312" s="7">
        <v>0</v>
      </c>
      <c r="C312" s="7">
        <v>6.8256500000000004</v>
      </c>
    </row>
    <row r="313" spans="1:3" x14ac:dyDescent="0.25">
      <c r="A313" s="2">
        <v>309</v>
      </c>
      <c r="B313" s="7">
        <v>0</v>
      </c>
      <c r="C313" s="7">
        <v>6.7055300000000004</v>
      </c>
    </row>
    <row r="314" spans="1:3" x14ac:dyDescent="0.25">
      <c r="A314" s="2">
        <v>310</v>
      </c>
      <c r="B314" s="7">
        <v>0</v>
      </c>
      <c r="C314" s="7">
        <v>6.5854100000000004</v>
      </c>
    </row>
    <row r="315" spans="1:3" x14ac:dyDescent="0.25">
      <c r="A315" s="2">
        <v>311</v>
      </c>
      <c r="B315" s="7">
        <v>0</v>
      </c>
      <c r="C315" s="7">
        <v>6.4652900000000004</v>
      </c>
    </row>
    <row r="316" spans="1:3" x14ac:dyDescent="0.25">
      <c r="A316" s="2">
        <v>312</v>
      </c>
      <c r="B316" s="7">
        <v>0</v>
      </c>
      <c r="C316" s="7">
        <v>6.3451700000000004</v>
      </c>
    </row>
    <row r="317" spans="1:3" x14ac:dyDescent="0.25">
      <c r="A317" s="2">
        <v>313</v>
      </c>
      <c r="B317" s="7">
        <v>0</v>
      </c>
      <c r="C317" s="7">
        <v>6.2250500000000004</v>
      </c>
    </row>
    <row r="318" spans="1:3" x14ac:dyDescent="0.25">
      <c r="A318" s="2">
        <v>314</v>
      </c>
      <c r="B318" s="7">
        <v>0</v>
      </c>
      <c r="C318" s="7">
        <v>7.4262499999999996</v>
      </c>
    </row>
    <row r="319" spans="1:3" x14ac:dyDescent="0.25">
      <c r="A319" s="2">
        <v>315</v>
      </c>
      <c r="B319" s="7">
        <v>0</v>
      </c>
      <c r="C319" s="7">
        <v>7.3061299999999996</v>
      </c>
    </row>
    <row r="320" spans="1:3" x14ac:dyDescent="0.25">
      <c r="A320" s="2">
        <v>316</v>
      </c>
      <c r="B320" s="7">
        <v>0</v>
      </c>
      <c r="C320" s="7">
        <v>7.1860099999999996</v>
      </c>
    </row>
    <row r="321" spans="1:3" x14ac:dyDescent="0.25">
      <c r="A321" s="2">
        <v>317</v>
      </c>
      <c r="B321" s="7">
        <v>0</v>
      </c>
      <c r="C321" s="7">
        <v>7.0658899999999996</v>
      </c>
    </row>
    <row r="322" spans="1:3" x14ac:dyDescent="0.25">
      <c r="A322" s="2">
        <v>318</v>
      </c>
      <c r="B322" s="7">
        <v>0</v>
      </c>
      <c r="C322" s="7">
        <v>6.9457700000000004</v>
      </c>
    </row>
    <row r="323" spans="1:3" x14ac:dyDescent="0.25">
      <c r="A323" s="2">
        <v>319</v>
      </c>
      <c r="B323" s="7">
        <v>0</v>
      </c>
      <c r="C323" s="7">
        <v>6.8256500000000004</v>
      </c>
    </row>
    <row r="324" spans="1:3" x14ac:dyDescent="0.25">
      <c r="A324" s="2">
        <v>320</v>
      </c>
      <c r="B324" s="7">
        <v>0</v>
      </c>
      <c r="C324" s="7">
        <v>6.8934100000000003</v>
      </c>
    </row>
    <row r="325" spans="1:3" x14ac:dyDescent="0.25">
      <c r="A325" s="2">
        <v>321</v>
      </c>
      <c r="B325" s="7">
        <v>0</v>
      </c>
      <c r="C325" s="7">
        <v>6.7732900000000003</v>
      </c>
    </row>
    <row r="326" spans="1:3" x14ac:dyDescent="0.25">
      <c r="A326" s="2">
        <v>322</v>
      </c>
      <c r="B326" s="7">
        <v>0</v>
      </c>
      <c r="C326" s="7">
        <v>7.1531700000000003</v>
      </c>
    </row>
    <row r="327" spans="1:3" x14ac:dyDescent="0.25">
      <c r="A327" s="2">
        <v>323</v>
      </c>
      <c r="B327" s="7">
        <v>0</v>
      </c>
      <c r="C327" s="7">
        <v>7.0330500000000002</v>
      </c>
    </row>
    <row r="328" spans="1:3" x14ac:dyDescent="0.25">
      <c r="A328" s="2">
        <v>324</v>
      </c>
      <c r="B328" s="7">
        <v>0</v>
      </c>
      <c r="C328" s="7">
        <v>7.4262499999999996</v>
      </c>
    </row>
    <row r="329" spans="1:3" x14ac:dyDescent="0.25">
      <c r="A329" s="2">
        <v>325</v>
      </c>
      <c r="B329" s="7">
        <v>0</v>
      </c>
      <c r="C329" s="7">
        <v>7.3061299999999996</v>
      </c>
    </row>
    <row r="330" spans="1:3" x14ac:dyDescent="0.25">
      <c r="A330" s="2">
        <v>326</v>
      </c>
      <c r="B330" s="7">
        <v>0</v>
      </c>
      <c r="C330" s="7">
        <v>7.1860099999999996</v>
      </c>
    </row>
    <row r="331" spans="1:3" x14ac:dyDescent="0.25">
      <c r="A331" s="2">
        <v>327</v>
      </c>
      <c r="B331" s="7">
        <v>0</v>
      </c>
      <c r="C331" s="7">
        <v>7.0658899999999996</v>
      </c>
    </row>
    <row r="332" spans="1:3" x14ac:dyDescent="0.25">
      <c r="A332" s="2">
        <v>328</v>
      </c>
      <c r="B332" s="7">
        <v>0</v>
      </c>
      <c r="C332" s="7">
        <v>6.9457700000000004</v>
      </c>
    </row>
    <row r="333" spans="1:3" x14ac:dyDescent="0.25">
      <c r="A333" s="2">
        <v>329</v>
      </c>
      <c r="B333" s="7">
        <v>0</v>
      </c>
      <c r="C333" s="7">
        <v>6.8256500000000004</v>
      </c>
    </row>
    <row r="334" spans="1:3" x14ac:dyDescent="0.25">
      <c r="A334" s="2">
        <v>330</v>
      </c>
      <c r="B334" s="7">
        <v>0</v>
      </c>
      <c r="C334" s="7">
        <v>6.7055300000000004</v>
      </c>
    </row>
    <row r="335" spans="1:3" x14ac:dyDescent="0.25">
      <c r="A335" s="2">
        <v>331</v>
      </c>
      <c r="B335" s="7">
        <v>0</v>
      </c>
      <c r="C335" s="7">
        <v>6.5854100000000004</v>
      </c>
    </row>
    <row r="336" spans="1:3" x14ac:dyDescent="0.25">
      <c r="A336" s="2">
        <v>332</v>
      </c>
      <c r="B336" s="7">
        <v>0</v>
      </c>
      <c r="C336" s="7">
        <v>6.4652900000000004</v>
      </c>
    </row>
    <row r="337" spans="1:3" x14ac:dyDescent="0.25">
      <c r="A337" s="2">
        <v>333</v>
      </c>
      <c r="B337" s="7">
        <v>0</v>
      </c>
      <c r="C337" s="7">
        <v>6.3451700000000004</v>
      </c>
    </row>
    <row r="338" spans="1:3" x14ac:dyDescent="0.25">
      <c r="A338" s="2">
        <v>334</v>
      </c>
      <c r="B338" s="7">
        <v>0</v>
      </c>
      <c r="C338" s="7">
        <v>6.2250500000000004</v>
      </c>
    </row>
    <row r="339" spans="1:3" x14ac:dyDescent="0.25">
      <c r="A339" s="2">
        <v>335</v>
      </c>
      <c r="B339" s="7">
        <v>0</v>
      </c>
      <c r="C339" s="7">
        <v>6.1049300000000004</v>
      </c>
    </row>
    <row r="340" spans="1:3" x14ac:dyDescent="0.25">
      <c r="A340" s="2">
        <v>336</v>
      </c>
      <c r="B340" s="7">
        <v>0</v>
      </c>
      <c r="C340" s="7">
        <v>5.9848100000000004</v>
      </c>
    </row>
    <row r="341" spans="1:3" x14ac:dyDescent="0.25">
      <c r="A341" s="2">
        <v>337</v>
      </c>
      <c r="B341" s="7">
        <v>0</v>
      </c>
      <c r="C341" s="7">
        <v>7.3444500000000001</v>
      </c>
    </row>
    <row r="342" spans="1:3" x14ac:dyDescent="0.25">
      <c r="A342" s="2">
        <v>338</v>
      </c>
      <c r="B342" s="7">
        <v>0</v>
      </c>
      <c r="C342" s="7">
        <v>7.2243300000000001</v>
      </c>
    </row>
    <row r="343" spans="1:3" x14ac:dyDescent="0.25">
      <c r="A343" s="2">
        <v>339</v>
      </c>
      <c r="B343" s="7">
        <v>0</v>
      </c>
      <c r="C343" s="7">
        <v>7.4195900000000004</v>
      </c>
    </row>
    <row r="344" spans="1:3" x14ac:dyDescent="0.25">
      <c r="A344" s="2">
        <v>340</v>
      </c>
      <c r="B344" s="7">
        <v>0</v>
      </c>
      <c r="C344" s="7">
        <v>7.4229200000000004</v>
      </c>
    </row>
    <row r="345" spans="1:3" x14ac:dyDescent="0.25">
      <c r="A345" s="2">
        <v>341</v>
      </c>
      <c r="B345" s="7">
        <v>0</v>
      </c>
      <c r="C345" s="7">
        <v>7.3028000000000004</v>
      </c>
    </row>
    <row r="346" spans="1:3" x14ac:dyDescent="0.25">
      <c r="A346" s="2">
        <v>342</v>
      </c>
      <c r="B346" s="7">
        <v>0</v>
      </c>
      <c r="C346" s="7">
        <v>7.4254199999999999</v>
      </c>
    </row>
    <row r="347" spans="1:3" x14ac:dyDescent="0.25">
      <c r="A347" s="2">
        <v>343</v>
      </c>
      <c r="B347" s="7">
        <v>0</v>
      </c>
      <c r="C347" s="7">
        <v>7.4258300000000004</v>
      </c>
    </row>
    <row r="348" spans="1:3" x14ac:dyDescent="0.25">
      <c r="A348" s="2">
        <v>344</v>
      </c>
      <c r="B348" s="7">
        <v>0</v>
      </c>
      <c r="C348" s="7">
        <v>7.3057100000000004</v>
      </c>
    </row>
    <row r="349" spans="1:3" x14ac:dyDescent="0.25">
      <c r="A349" s="2">
        <v>345</v>
      </c>
      <c r="B349" s="7">
        <v>0</v>
      </c>
      <c r="C349" s="7">
        <v>7.1855900000000004</v>
      </c>
    </row>
    <row r="350" spans="1:3" x14ac:dyDescent="0.25">
      <c r="A350" s="2">
        <v>346</v>
      </c>
      <c r="B350" s="7">
        <v>0</v>
      </c>
      <c r="C350" s="7">
        <v>7.4261999999999997</v>
      </c>
    </row>
    <row r="351" spans="1:3" x14ac:dyDescent="0.25">
      <c r="A351" s="2">
        <v>347</v>
      </c>
      <c r="B351" s="7">
        <v>0</v>
      </c>
      <c r="C351" s="7">
        <v>7.3060799999999997</v>
      </c>
    </row>
    <row r="352" spans="1:3" x14ac:dyDescent="0.25">
      <c r="A352" s="2">
        <v>348</v>
      </c>
      <c r="B352" s="7">
        <v>0</v>
      </c>
      <c r="C352" s="7">
        <v>7.1859599999999997</v>
      </c>
    </row>
    <row r="353" spans="1:3" x14ac:dyDescent="0.25">
      <c r="A353" s="2">
        <v>349</v>
      </c>
      <c r="B353" s="7">
        <v>0</v>
      </c>
      <c r="C353" s="7">
        <v>7.0658399999999997</v>
      </c>
    </row>
    <row r="354" spans="1:3" x14ac:dyDescent="0.25">
      <c r="A354" s="2">
        <v>350</v>
      </c>
      <c r="B354" s="7">
        <v>0</v>
      </c>
      <c r="C354" s="7">
        <v>6.9457199999999997</v>
      </c>
    </row>
    <row r="355" spans="1:3" x14ac:dyDescent="0.25">
      <c r="A355" s="2">
        <v>351</v>
      </c>
      <c r="B355" s="7">
        <v>0</v>
      </c>
      <c r="C355" s="7">
        <v>6.8255999999999997</v>
      </c>
    </row>
    <row r="356" spans="1:3" x14ac:dyDescent="0.25">
      <c r="A356" s="2">
        <v>352</v>
      </c>
      <c r="B356" s="7">
        <v>0</v>
      </c>
      <c r="C356" s="7">
        <v>6.7054799999999997</v>
      </c>
    </row>
    <row r="357" spans="1:3" x14ac:dyDescent="0.25">
      <c r="A357" s="2">
        <v>353</v>
      </c>
      <c r="B357" s="7">
        <v>0</v>
      </c>
      <c r="C357" s="7">
        <v>7.4262499999999996</v>
      </c>
    </row>
    <row r="358" spans="1:3" x14ac:dyDescent="0.25">
      <c r="A358" s="2">
        <v>354</v>
      </c>
      <c r="B358" s="7">
        <v>0</v>
      </c>
      <c r="C358" s="7">
        <v>7.4262499999999996</v>
      </c>
    </row>
    <row r="359" spans="1:3" x14ac:dyDescent="0.25">
      <c r="A359" s="2">
        <v>355</v>
      </c>
      <c r="B359" s="7">
        <v>0</v>
      </c>
      <c r="C359" s="7">
        <v>7.3061299999999996</v>
      </c>
    </row>
    <row r="360" spans="1:3" x14ac:dyDescent="0.25">
      <c r="A360" s="2">
        <v>356</v>
      </c>
      <c r="B360" s="7">
        <v>0</v>
      </c>
      <c r="C360" s="7">
        <v>7.1860099999999996</v>
      </c>
    </row>
    <row r="361" spans="1:3" x14ac:dyDescent="0.25">
      <c r="A361" s="2">
        <v>357</v>
      </c>
      <c r="B361" s="7">
        <v>0</v>
      </c>
      <c r="C361" s="7">
        <v>7.4262499999999996</v>
      </c>
    </row>
    <row r="362" spans="1:3" x14ac:dyDescent="0.25">
      <c r="A362" s="2">
        <v>358</v>
      </c>
      <c r="B362" s="7">
        <v>0</v>
      </c>
      <c r="C362" s="7">
        <v>7.4262499999999996</v>
      </c>
    </row>
    <row r="363" spans="1:3" x14ac:dyDescent="0.25">
      <c r="A363" s="2">
        <v>359</v>
      </c>
      <c r="B363" s="7">
        <v>0</v>
      </c>
      <c r="C363" s="7">
        <v>7.3061299999999996</v>
      </c>
    </row>
    <row r="364" spans="1:3" x14ac:dyDescent="0.25">
      <c r="A364" s="2">
        <v>360</v>
      </c>
      <c r="B364" s="7">
        <v>0</v>
      </c>
      <c r="C364" s="7">
        <v>7.4262499999999996</v>
      </c>
    </row>
    <row r="365" spans="1:3" x14ac:dyDescent="0.25">
      <c r="A365" s="2">
        <v>361</v>
      </c>
      <c r="B365" s="7">
        <v>0</v>
      </c>
      <c r="C365" s="7">
        <v>7.4262499999999996</v>
      </c>
    </row>
    <row r="366" spans="1:3" x14ac:dyDescent="0.25">
      <c r="A366" s="2">
        <v>362</v>
      </c>
      <c r="B366" s="7">
        <v>0</v>
      </c>
      <c r="C366" s="7">
        <v>7.3061299999999996</v>
      </c>
    </row>
    <row r="367" spans="1:3" x14ac:dyDescent="0.25">
      <c r="A367" s="2">
        <v>363</v>
      </c>
      <c r="B367" s="7">
        <v>0</v>
      </c>
      <c r="C367" s="7">
        <v>7.4262499999999996</v>
      </c>
    </row>
    <row r="368" spans="1:3" x14ac:dyDescent="0.25">
      <c r="A368" s="2">
        <v>364</v>
      </c>
      <c r="B368" s="7">
        <v>0</v>
      </c>
      <c r="C368" s="7">
        <v>7.3061299999999996</v>
      </c>
    </row>
    <row r="369" spans="1:3" x14ac:dyDescent="0.25">
      <c r="A369" s="2">
        <v>365</v>
      </c>
      <c r="B369" s="7">
        <v>0</v>
      </c>
      <c r="C369" s="7">
        <v>7.1860099999999996</v>
      </c>
    </row>
    <row r="370" spans="1:3" x14ac:dyDescent="0.25">
      <c r="A370" s="2">
        <v>366</v>
      </c>
      <c r="B370" s="7">
        <v>0</v>
      </c>
      <c r="C370" s="7">
        <v>7.4262499999999996</v>
      </c>
    </row>
    <row r="371" spans="1:3" x14ac:dyDescent="0.25">
      <c r="A371" s="2">
        <v>367</v>
      </c>
      <c r="B371" s="7">
        <v>0</v>
      </c>
      <c r="C371" s="7">
        <v>7.3061299999999996</v>
      </c>
    </row>
    <row r="372" spans="1:3" x14ac:dyDescent="0.25">
      <c r="A372" s="2">
        <v>368</v>
      </c>
      <c r="B372" s="7">
        <v>0</v>
      </c>
      <c r="C372" s="7">
        <v>7.1860099999999996</v>
      </c>
    </row>
    <row r="373" spans="1:3" x14ac:dyDescent="0.25">
      <c r="A373" s="2">
        <v>369</v>
      </c>
      <c r="B373" s="7">
        <v>0</v>
      </c>
      <c r="C373" s="7">
        <v>7.4262499999999996</v>
      </c>
    </row>
    <row r="374" spans="1:3" x14ac:dyDescent="0.25">
      <c r="A374" s="2">
        <v>370</v>
      </c>
      <c r="B374" s="7">
        <v>0</v>
      </c>
      <c r="C374" s="7">
        <v>7.3061299999999996</v>
      </c>
    </row>
    <row r="375" spans="1:3" x14ac:dyDescent="0.25">
      <c r="A375" s="2">
        <v>371</v>
      </c>
      <c r="B375" s="7">
        <v>0</v>
      </c>
      <c r="C375" s="7">
        <v>7.1860099999999996</v>
      </c>
    </row>
    <row r="376" spans="1:3" x14ac:dyDescent="0.25">
      <c r="A376" s="2">
        <v>372</v>
      </c>
      <c r="B376" s="7">
        <v>0</v>
      </c>
      <c r="C376" s="7">
        <v>7.0658899999999996</v>
      </c>
    </row>
    <row r="377" spans="1:3" x14ac:dyDescent="0.25">
      <c r="A377" s="2">
        <v>373</v>
      </c>
      <c r="B377" s="7">
        <v>0</v>
      </c>
      <c r="C377" s="7">
        <v>6.9457700000000004</v>
      </c>
    </row>
    <row r="378" spans="1:3" x14ac:dyDescent="0.25">
      <c r="A378" s="2">
        <v>374</v>
      </c>
      <c r="B378" s="7">
        <v>0</v>
      </c>
      <c r="C378" s="7">
        <v>6.8256500000000004</v>
      </c>
    </row>
    <row r="379" spans="1:3" x14ac:dyDescent="0.25">
      <c r="A379" s="2">
        <v>375</v>
      </c>
      <c r="B379" s="7">
        <v>0</v>
      </c>
      <c r="C379" s="7">
        <v>6.7055300000000004</v>
      </c>
    </row>
    <row r="380" spans="1:3" x14ac:dyDescent="0.25">
      <c r="A380" s="2">
        <v>376</v>
      </c>
      <c r="B380" s="7">
        <v>0</v>
      </c>
      <c r="C380" s="7">
        <v>6.5854100000000004</v>
      </c>
    </row>
    <row r="381" spans="1:3" x14ac:dyDescent="0.25">
      <c r="A381" s="2">
        <v>377</v>
      </c>
      <c r="B381" s="7">
        <v>0</v>
      </c>
      <c r="C381" s="7">
        <v>6.4652900000000004</v>
      </c>
    </row>
    <row r="382" spans="1:3" x14ac:dyDescent="0.25">
      <c r="A382" s="2">
        <v>378</v>
      </c>
      <c r="B382" s="7">
        <v>0</v>
      </c>
      <c r="C382" s="7">
        <v>6.8451700000000004</v>
      </c>
    </row>
    <row r="383" spans="1:3" x14ac:dyDescent="0.25">
      <c r="A383" s="2">
        <v>379</v>
      </c>
      <c r="B383" s="7">
        <v>0</v>
      </c>
      <c r="C383" s="7">
        <v>6.7250500000000004</v>
      </c>
    </row>
    <row r="384" spans="1:3" x14ac:dyDescent="0.25">
      <c r="A384" s="2">
        <v>380</v>
      </c>
      <c r="B384" s="7">
        <v>0</v>
      </c>
      <c r="C384" s="7">
        <v>6.6049300000000004</v>
      </c>
    </row>
    <row r="385" spans="1:3" x14ac:dyDescent="0.25">
      <c r="A385" s="2">
        <v>381</v>
      </c>
      <c r="B385" s="7">
        <v>0</v>
      </c>
      <c r="C385" s="7">
        <v>7.2094800000000001</v>
      </c>
    </row>
    <row r="386" spans="1:3" x14ac:dyDescent="0.25">
      <c r="A386" s="2">
        <v>382</v>
      </c>
      <c r="B386" s="7">
        <v>0</v>
      </c>
      <c r="C386" s="7">
        <v>7.0893600000000001</v>
      </c>
    </row>
    <row r="387" spans="1:3" x14ac:dyDescent="0.25">
      <c r="A387" s="2">
        <v>383</v>
      </c>
      <c r="B387" s="7">
        <v>0</v>
      </c>
      <c r="C387" s="7">
        <v>6.9692400000000001</v>
      </c>
    </row>
    <row r="388" spans="1:3" x14ac:dyDescent="0.25">
      <c r="A388" s="2">
        <v>384</v>
      </c>
      <c r="B388" s="7">
        <v>0</v>
      </c>
      <c r="C388" s="7">
        <v>6.8491200000000001</v>
      </c>
    </row>
    <row r="389" spans="1:3" x14ac:dyDescent="0.25">
      <c r="A389" s="2">
        <v>385</v>
      </c>
      <c r="B389" s="7">
        <v>0</v>
      </c>
      <c r="C389" s="7">
        <v>6.7290000000000001</v>
      </c>
    </row>
    <row r="390" spans="1:3" x14ac:dyDescent="0.25">
      <c r="A390" s="2">
        <v>386</v>
      </c>
      <c r="B390" s="7">
        <v>0</v>
      </c>
      <c r="C390" s="7">
        <v>6.6088800000000001</v>
      </c>
    </row>
    <row r="391" spans="1:3" x14ac:dyDescent="0.25">
      <c r="A391" s="2">
        <v>387</v>
      </c>
      <c r="B391" s="7">
        <v>0</v>
      </c>
      <c r="C391" s="7">
        <v>6.4887600000000001</v>
      </c>
    </row>
    <row r="392" spans="1:3" x14ac:dyDescent="0.25">
      <c r="A392" s="2">
        <v>388</v>
      </c>
      <c r="B392" s="7">
        <v>0</v>
      </c>
      <c r="C392" s="7">
        <v>6.3686400000000001</v>
      </c>
    </row>
    <row r="393" spans="1:3" x14ac:dyDescent="0.25">
      <c r="A393" s="2">
        <v>389</v>
      </c>
      <c r="B393" s="7">
        <v>0</v>
      </c>
      <c r="C393" s="7">
        <v>7.2485200000000001</v>
      </c>
    </row>
    <row r="394" spans="1:3" x14ac:dyDescent="0.25">
      <c r="A394" s="2">
        <v>390</v>
      </c>
      <c r="B394" s="7">
        <v>0</v>
      </c>
      <c r="C394" s="7">
        <v>7.1284000000000001</v>
      </c>
    </row>
    <row r="395" spans="1:3" x14ac:dyDescent="0.25">
      <c r="A395" s="2">
        <v>391</v>
      </c>
      <c r="B395" s="7">
        <v>0</v>
      </c>
      <c r="C395" s="7">
        <v>7.0082800000000001</v>
      </c>
    </row>
    <row r="396" spans="1:3" x14ac:dyDescent="0.25">
      <c r="A396" s="2">
        <v>392</v>
      </c>
      <c r="B396" s="7">
        <v>0</v>
      </c>
      <c r="C396" s="7">
        <v>7.4262499999999996</v>
      </c>
    </row>
    <row r="397" spans="1:3" x14ac:dyDescent="0.25">
      <c r="A397" s="2">
        <v>393</v>
      </c>
      <c r="B397" s="7">
        <v>0</v>
      </c>
      <c r="C397" s="7">
        <v>7.3061299999999996</v>
      </c>
    </row>
    <row r="398" spans="1:3" x14ac:dyDescent="0.25">
      <c r="A398" s="2">
        <v>394</v>
      </c>
      <c r="B398" s="7">
        <v>0</v>
      </c>
      <c r="C398" s="7">
        <v>7.1860099999999996</v>
      </c>
    </row>
    <row r="399" spans="1:3" x14ac:dyDescent="0.25">
      <c r="A399" s="2">
        <v>395</v>
      </c>
      <c r="B399" s="7">
        <v>0</v>
      </c>
      <c r="C399" s="7">
        <v>7.0658899999999996</v>
      </c>
    </row>
    <row r="400" spans="1:3" x14ac:dyDescent="0.25">
      <c r="A400" s="2">
        <v>396</v>
      </c>
      <c r="B400" s="7">
        <v>0</v>
      </c>
      <c r="C400" s="7">
        <v>6.9457700000000004</v>
      </c>
    </row>
    <row r="401" spans="1:3" x14ac:dyDescent="0.25">
      <c r="A401" s="2">
        <v>397</v>
      </c>
      <c r="B401" s="7">
        <v>0</v>
      </c>
      <c r="C401" s="7">
        <v>6.8256500000000004</v>
      </c>
    </row>
    <row r="402" spans="1:3" x14ac:dyDescent="0.25">
      <c r="A402" s="2">
        <v>398</v>
      </c>
      <c r="B402" s="7">
        <v>0</v>
      </c>
      <c r="C402" s="7">
        <v>7.2055300000000004</v>
      </c>
    </row>
    <row r="403" spans="1:3" x14ac:dyDescent="0.25">
      <c r="A403" s="2">
        <v>399</v>
      </c>
      <c r="B403" s="7">
        <v>0</v>
      </c>
      <c r="C403" s="7">
        <v>7.0854100000000004</v>
      </c>
    </row>
    <row r="404" spans="1:3" x14ac:dyDescent="0.25">
      <c r="A404" s="2">
        <v>400</v>
      </c>
      <c r="B404" s="7">
        <v>0</v>
      </c>
      <c r="C404" s="7">
        <v>7.4262499999999996</v>
      </c>
    </row>
    <row r="405" spans="1:3" x14ac:dyDescent="0.25">
      <c r="A405" s="2">
        <v>401</v>
      </c>
      <c r="B405" s="7">
        <v>0</v>
      </c>
      <c r="C405" s="7">
        <v>7.3061299999999996</v>
      </c>
    </row>
    <row r="406" spans="1:3" x14ac:dyDescent="0.25">
      <c r="A406" s="2">
        <v>402</v>
      </c>
      <c r="B406" s="7">
        <v>0</v>
      </c>
      <c r="C406" s="7">
        <v>7.1860099999999996</v>
      </c>
    </row>
    <row r="407" spans="1:3" x14ac:dyDescent="0.25">
      <c r="A407" s="2">
        <v>403</v>
      </c>
      <c r="B407" s="7">
        <v>0</v>
      </c>
      <c r="C407" s="7">
        <v>7.0658899999999996</v>
      </c>
    </row>
    <row r="408" spans="1:3" x14ac:dyDescent="0.25">
      <c r="A408" s="2">
        <v>404</v>
      </c>
      <c r="B408" s="7">
        <v>0</v>
      </c>
      <c r="C408" s="7">
        <v>6.9457700000000004</v>
      </c>
    </row>
    <row r="409" spans="1:3" x14ac:dyDescent="0.25">
      <c r="A409" s="2">
        <v>405</v>
      </c>
      <c r="B409" s="7">
        <v>0</v>
      </c>
      <c r="C409" s="7">
        <v>7.3256500000000004</v>
      </c>
    </row>
    <row r="410" spans="1:3" x14ac:dyDescent="0.25">
      <c r="A410" s="2">
        <v>406</v>
      </c>
      <c r="B410" s="7">
        <v>0</v>
      </c>
      <c r="C410" s="7">
        <v>7.4262499999999996</v>
      </c>
    </row>
    <row r="411" spans="1:3" x14ac:dyDescent="0.25">
      <c r="A411" s="2">
        <v>407</v>
      </c>
      <c r="B411" s="7">
        <v>0</v>
      </c>
      <c r="C411" s="7">
        <v>7.3061299999999996</v>
      </c>
    </row>
    <row r="412" spans="1:3" x14ac:dyDescent="0.25">
      <c r="A412" s="2">
        <v>408</v>
      </c>
      <c r="B412" s="7">
        <v>0</v>
      </c>
      <c r="C412" s="7">
        <v>7.4262499999999996</v>
      </c>
    </row>
    <row r="413" spans="1:3" x14ac:dyDescent="0.25">
      <c r="A413" s="2">
        <v>409</v>
      </c>
      <c r="B413" s="7">
        <v>0</v>
      </c>
      <c r="C413" s="7">
        <v>7.3061299999999996</v>
      </c>
    </row>
    <row r="414" spans="1:3" x14ac:dyDescent="0.25">
      <c r="A414" s="2">
        <v>410</v>
      </c>
      <c r="B414" s="7">
        <v>0</v>
      </c>
      <c r="C414" s="7">
        <v>7.1860099999999996</v>
      </c>
    </row>
    <row r="415" spans="1:3" x14ac:dyDescent="0.25">
      <c r="A415" s="2">
        <v>411</v>
      </c>
      <c r="B415" s="7">
        <v>0</v>
      </c>
      <c r="C415" s="7">
        <v>7.0658899999999996</v>
      </c>
    </row>
    <row r="416" spans="1:3" x14ac:dyDescent="0.25">
      <c r="A416" s="2">
        <v>412</v>
      </c>
      <c r="B416" s="7">
        <v>0</v>
      </c>
      <c r="C416" s="7">
        <v>6.9457700000000004</v>
      </c>
    </row>
    <row r="417" spans="1:3" x14ac:dyDescent="0.25">
      <c r="A417" s="2">
        <v>413</v>
      </c>
      <c r="B417" s="7">
        <v>0</v>
      </c>
      <c r="C417" s="7">
        <v>6.8256500000000004</v>
      </c>
    </row>
    <row r="418" spans="1:3" x14ac:dyDescent="0.25">
      <c r="A418" s="2">
        <v>414</v>
      </c>
      <c r="B418" s="7">
        <v>0</v>
      </c>
      <c r="C418" s="7">
        <v>6.7055300000000004</v>
      </c>
    </row>
    <row r="419" spans="1:3" x14ac:dyDescent="0.25">
      <c r="A419" s="2">
        <v>415</v>
      </c>
      <c r="B419" s="7">
        <v>0</v>
      </c>
      <c r="C419" s="7">
        <v>6.5854100000000004</v>
      </c>
    </row>
    <row r="420" spans="1:3" x14ac:dyDescent="0.25">
      <c r="A420" s="2">
        <v>416</v>
      </c>
      <c r="B420" s="7">
        <v>0</v>
      </c>
      <c r="C420" s="7">
        <v>6.4652900000000004</v>
      </c>
    </row>
    <row r="421" spans="1:3" x14ac:dyDescent="0.25">
      <c r="A421" s="2">
        <v>417</v>
      </c>
      <c r="B421" s="7">
        <v>0</v>
      </c>
      <c r="C421" s="7">
        <v>6.3451700000000004</v>
      </c>
    </row>
    <row r="422" spans="1:3" x14ac:dyDescent="0.25">
      <c r="A422" s="2">
        <v>418</v>
      </c>
      <c r="B422" s="7">
        <v>0</v>
      </c>
      <c r="C422" s="7">
        <v>6.2250500000000004</v>
      </c>
    </row>
    <row r="423" spans="1:3" x14ac:dyDescent="0.25">
      <c r="A423" s="2">
        <v>419</v>
      </c>
      <c r="B423" s="7">
        <v>0</v>
      </c>
      <c r="C423" s="7">
        <v>6.1049300000000004</v>
      </c>
    </row>
    <row r="424" spans="1:3" x14ac:dyDescent="0.25">
      <c r="A424" s="2">
        <v>420</v>
      </c>
      <c r="B424" s="7">
        <v>0</v>
      </c>
      <c r="C424" s="7">
        <v>5.9848100000000004</v>
      </c>
    </row>
    <row r="425" spans="1:3" x14ac:dyDescent="0.25">
      <c r="A425" s="2">
        <v>421</v>
      </c>
      <c r="B425" s="7">
        <v>0</v>
      </c>
      <c r="C425" s="7">
        <v>5.8651099999999996</v>
      </c>
    </row>
    <row r="426" spans="1:3" x14ac:dyDescent="0.25">
      <c r="A426" s="2">
        <v>422</v>
      </c>
      <c r="B426" s="7">
        <v>0</v>
      </c>
      <c r="C426" s="7">
        <v>7.2478100000000003</v>
      </c>
    </row>
    <row r="427" spans="1:3" x14ac:dyDescent="0.25">
      <c r="A427" s="2">
        <v>423</v>
      </c>
      <c r="B427" s="7">
        <v>0</v>
      </c>
      <c r="C427" s="7">
        <v>7.1276900000000003</v>
      </c>
    </row>
    <row r="428" spans="1:3" x14ac:dyDescent="0.25">
      <c r="A428" s="2">
        <v>424</v>
      </c>
      <c r="B428" s="7">
        <v>0</v>
      </c>
      <c r="C428" s="7">
        <v>7.0075700000000003</v>
      </c>
    </row>
    <row r="429" spans="1:3" x14ac:dyDescent="0.25">
      <c r="A429" s="2">
        <v>425</v>
      </c>
      <c r="B429" s="7">
        <v>0</v>
      </c>
      <c r="C429" s="7">
        <v>6.8874500000000003</v>
      </c>
    </row>
    <row r="430" spans="1:3" x14ac:dyDescent="0.25">
      <c r="A430" s="2">
        <v>426</v>
      </c>
      <c r="B430" s="7">
        <v>0</v>
      </c>
      <c r="C430" s="7">
        <v>6.7673300000000003</v>
      </c>
    </row>
    <row r="431" spans="1:3" x14ac:dyDescent="0.25">
      <c r="A431" s="2">
        <v>427</v>
      </c>
      <c r="B431" s="7">
        <v>0</v>
      </c>
      <c r="C431" s="7">
        <v>6.6472100000000003</v>
      </c>
    </row>
    <row r="432" spans="1:3" x14ac:dyDescent="0.25">
      <c r="A432" s="2">
        <v>428</v>
      </c>
      <c r="B432" s="7">
        <v>0</v>
      </c>
      <c r="C432" s="7">
        <v>6.5270900000000003</v>
      </c>
    </row>
    <row r="433" spans="1:3" x14ac:dyDescent="0.25">
      <c r="A433" s="2">
        <v>429</v>
      </c>
      <c r="B433" s="7">
        <v>0</v>
      </c>
      <c r="C433" s="7">
        <v>6.4069700000000003</v>
      </c>
    </row>
    <row r="434" spans="1:3" x14ac:dyDescent="0.25">
      <c r="A434" s="2">
        <v>430</v>
      </c>
      <c r="B434" s="7">
        <v>0</v>
      </c>
      <c r="C434" s="7">
        <v>6.2868500000000003</v>
      </c>
    </row>
    <row r="435" spans="1:3" x14ac:dyDescent="0.25">
      <c r="A435" s="2">
        <v>431</v>
      </c>
      <c r="B435" s="7">
        <v>0</v>
      </c>
      <c r="C435" s="7">
        <v>6.1667300000000003</v>
      </c>
    </row>
    <row r="436" spans="1:3" x14ac:dyDescent="0.25">
      <c r="A436" s="2">
        <v>432</v>
      </c>
      <c r="B436" s="7">
        <v>0</v>
      </c>
      <c r="C436" s="7">
        <v>6.0466100000000003</v>
      </c>
    </row>
    <row r="437" spans="1:3" x14ac:dyDescent="0.25">
      <c r="A437" s="2">
        <v>433</v>
      </c>
      <c r="B437" s="7">
        <v>0</v>
      </c>
      <c r="C437" s="7">
        <v>5.9264900000000003</v>
      </c>
    </row>
    <row r="438" spans="1:3" x14ac:dyDescent="0.25">
      <c r="A438" s="2">
        <v>434</v>
      </c>
      <c r="B438" s="7">
        <v>0</v>
      </c>
      <c r="C438" s="7">
        <v>5.8079599999999996</v>
      </c>
    </row>
    <row r="439" spans="1:3" x14ac:dyDescent="0.25">
      <c r="A439" s="2">
        <v>435</v>
      </c>
      <c r="B439" s="7">
        <v>0</v>
      </c>
      <c r="C439" s="7">
        <v>6.1917999999999997</v>
      </c>
    </row>
    <row r="440" spans="1:3" x14ac:dyDescent="0.25">
      <c r="A440" s="2">
        <v>436</v>
      </c>
      <c r="B440" s="7">
        <v>0</v>
      </c>
      <c r="C440" s="7">
        <v>6.0716799999999997</v>
      </c>
    </row>
    <row r="441" spans="1:3" x14ac:dyDescent="0.25">
      <c r="A441" s="2">
        <v>437</v>
      </c>
      <c r="B441" s="7">
        <v>0</v>
      </c>
      <c r="C441" s="7">
        <v>6.4515599999999997</v>
      </c>
    </row>
    <row r="442" spans="1:3" x14ac:dyDescent="0.25">
      <c r="A442" s="2">
        <v>438</v>
      </c>
      <c r="B442" s="7">
        <v>0</v>
      </c>
      <c r="C442" s="7">
        <v>6.3314399999999997</v>
      </c>
    </row>
    <row r="443" spans="1:3" x14ac:dyDescent="0.25">
      <c r="A443" s="2">
        <v>439</v>
      </c>
      <c r="B443" s="7">
        <v>0</v>
      </c>
      <c r="C443" s="7">
        <v>6.2113199999999997</v>
      </c>
    </row>
    <row r="444" spans="1:3" x14ac:dyDescent="0.25">
      <c r="A444" s="2">
        <v>440</v>
      </c>
      <c r="B444" s="7">
        <v>0</v>
      </c>
      <c r="C444" s="7">
        <v>6.0911999999999997</v>
      </c>
    </row>
    <row r="445" spans="1:3" x14ac:dyDescent="0.25">
      <c r="A445" s="2">
        <v>441</v>
      </c>
      <c r="B445" s="7">
        <v>0</v>
      </c>
      <c r="C445" s="7">
        <v>5.9710799999999997</v>
      </c>
    </row>
    <row r="446" spans="1:3" x14ac:dyDescent="0.25">
      <c r="A446" s="2">
        <v>442</v>
      </c>
      <c r="B446" s="7">
        <v>0</v>
      </c>
      <c r="C446" s="7">
        <v>5.8516599999999999</v>
      </c>
    </row>
    <row r="447" spans="1:3" x14ac:dyDescent="0.25">
      <c r="A447" s="2">
        <v>443</v>
      </c>
      <c r="B447" s="7">
        <v>0</v>
      </c>
      <c r="C447" s="7">
        <v>5.7346199999999996</v>
      </c>
    </row>
    <row r="448" spans="1:3" x14ac:dyDescent="0.25">
      <c r="A448" s="2">
        <v>444</v>
      </c>
      <c r="B448" s="7">
        <v>0</v>
      </c>
      <c r="C448" s="7">
        <v>5.6199300000000001</v>
      </c>
    </row>
    <row r="449" spans="1:3" x14ac:dyDescent="0.25">
      <c r="A449" s="2">
        <v>445</v>
      </c>
      <c r="B449" s="7">
        <v>0</v>
      </c>
      <c r="C449" s="7">
        <v>5.50753</v>
      </c>
    </row>
    <row r="450" spans="1:3" x14ac:dyDescent="0.25">
      <c r="A450" s="2">
        <v>446</v>
      </c>
      <c r="B450" s="7">
        <v>0</v>
      </c>
      <c r="C450" s="7">
        <v>5.3973800000000001</v>
      </c>
    </row>
    <row r="451" spans="1:3" x14ac:dyDescent="0.25">
      <c r="A451" s="2">
        <v>447</v>
      </c>
      <c r="B451" s="7">
        <v>0</v>
      </c>
      <c r="C451" s="7">
        <v>6.2894300000000003</v>
      </c>
    </row>
    <row r="452" spans="1:3" x14ac:dyDescent="0.25">
      <c r="A452" s="2">
        <v>448</v>
      </c>
      <c r="B452" s="7">
        <v>0</v>
      </c>
      <c r="C452" s="7">
        <v>6.7985800000000003</v>
      </c>
    </row>
    <row r="453" spans="1:3" x14ac:dyDescent="0.25">
      <c r="A453" s="2">
        <v>449</v>
      </c>
      <c r="B453" s="7">
        <v>0</v>
      </c>
      <c r="C453" s="7">
        <v>6.6784600000000003</v>
      </c>
    </row>
    <row r="454" spans="1:3" x14ac:dyDescent="0.25">
      <c r="A454" s="2">
        <v>450</v>
      </c>
      <c r="B454" s="7">
        <v>0</v>
      </c>
      <c r="C454" s="7">
        <v>6.5583400000000003</v>
      </c>
    </row>
    <row r="455" spans="1:3" x14ac:dyDescent="0.25">
      <c r="A455" s="2">
        <v>451</v>
      </c>
      <c r="B455" s="7">
        <v>0</v>
      </c>
      <c r="C455" s="7">
        <v>7.3477899999999998</v>
      </c>
    </row>
    <row r="456" spans="1:3" x14ac:dyDescent="0.25">
      <c r="A456" s="2">
        <v>452</v>
      </c>
      <c r="B456" s="7">
        <v>0</v>
      </c>
      <c r="C456" s="7">
        <v>7.3870199999999997</v>
      </c>
    </row>
    <row r="457" spans="1:3" x14ac:dyDescent="0.25">
      <c r="A457" s="2">
        <v>453</v>
      </c>
      <c r="B457" s="7">
        <v>0</v>
      </c>
      <c r="C457" s="7">
        <v>7.2668999999999997</v>
      </c>
    </row>
    <row r="458" spans="1:3" x14ac:dyDescent="0.25">
      <c r="A458" s="2">
        <v>454</v>
      </c>
      <c r="B458" s="7">
        <v>0</v>
      </c>
      <c r="C458" s="7">
        <v>7.1467799999999997</v>
      </c>
    </row>
    <row r="459" spans="1:3" x14ac:dyDescent="0.25">
      <c r="A459" s="2">
        <v>455</v>
      </c>
      <c r="B459" s="7">
        <v>0</v>
      </c>
      <c r="C459" s="7">
        <v>7.4213500000000003</v>
      </c>
    </row>
    <row r="460" spans="1:3" x14ac:dyDescent="0.25">
      <c r="A460" s="2">
        <v>456</v>
      </c>
      <c r="B460" s="7">
        <v>0</v>
      </c>
      <c r="C460" s="7">
        <v>7.3012300000000003</v>
      </c>
    </row>
    <row r="461" spans="1:3" x14ac:dyDescent="0.25">
      <c r="A461" s="2">
        <v>457</v>
      </c>
      <c r="B461" s="7">
        <v>0</v>
      </c>
      <c r="C461" s="7">
        <v>7.1811100000000003</v>
      </c>
    </row>
    <row r="462" spans="1:3" x14ac:dyDescent="0.25">
      <c r="A462" s="2">
        <v>458</v>
      </c>
      <c r="B462" s="7">
        <v>0</v>
      </c>
      <c r="C462" s="7">
        <v>7.0609900000000003</v>
      </c>
    </row>
    <row r="463" spans="1:3" x14ac:dyDescent="0.25">
      <c r="A463" s="2">
        <v>459</v>
      </c>
      <c r="B463" s="7">
        <v>0</v>
      </c>
      <c r="C463" s="7">
        <v>6.9408700000000003</v>
      </c>
    </row>
    <row r="464" spans="1:3" x14ac:dyDescent="0.25">
      <c r="A464" s="2">
        <v>460</v>
      </c>
      <c r="B464" s="7">
        <v>0</v>
      </c>
      <c r="C464" s="7">
        <v>7.4260999999999999</v>
      </c>
    </row>
    <row r="465" spans="1:3" x14ac:dyDescent="0.25">
      <c r="A465" s="2">
        <v>461</v>
      </c>
      <c r="B465" s="7">
        <v>0</v>
      </c>
      <c r="C465" s="7">
        <v>7.3059799999999999</v>
      </c>
    </row>
    <row r="466" spans="1:3" x14ac:dyDescent="0.25">
      <c r="A466" s="2">
        <v>462</v>
      </c>
      <c r="B466" s="7">
        <v>0</v>
      </c>
      <c r="C466" s="7">
        <v>7.1858599999999999</v>
      </c>
    </row>
    <row r="467" spans="1:3" x14ac:dyDescent="0.25">
      <c r="A467" s="2">
        <v>463</v>
      </c>
      <c r="B467" s="7">
        <v>0</v>
      </c>
      <c r="C467" s="7">
        <v>7.0657399999999999</v>
      </c>
    </row>
    <row r="468" spans="1:3" x14ac:dyDescent="0.25">
      <c r="A468" s="2">
        <v>464</v>
      </c>
      <c r="B468" s="7">
        <v>0</v>
      </c>
      <c r="C468" s="7">
        <v>6.9456199999999999</v>
      </c>
    </row>
    <row r="469" spans="1:3" x14ac:dyDescent="0.25">
      <c r="A469" s="2">
        <v>465</v>
      </c>
      <c r="B469" s="7">
        <v>0</v>
      </c>
      <c r="C469" s="7">
        <v>7.3254999999999999</v>
      </c>
    </row>
    <row r="470" spans="1:3" x14ac:dyDescent="0.25">
      <c r="A470" s="2">
        <v>466</v>
      </c>
      <c r="B470" s="7">
        <v>0</v>
      </c>
      <c r="C470" s="7">
        <v>7.2053799999999999</v>
      </c>
    </row>
    <row r="471" spans="1:3" x14ac:dyDescent="0.25">
      <c r="A471" s="2">
        <v>467</v>
      </c>
      <c r="B471" s="7">
        <v>0</v>
      </c>
      <c r="C471" s="7">
        <v>7.0852599999999999</v>
      </c>
    </row>
    <row r="472" spans="1:3" x14ac:dyDescent="0.25">
      <c r="A472" s="2">
        <v>468</v>
      </c>
      <c r="B472" s="7">
        <v>0</v>
      </c>
      <c r="C472" s="7">
        <v>6.9651399999999999</v>
      </c>
    </row>
    <row r="473" spans="1:3" x14ac:dyDescent="0.25">
      <c r="A473" s="2">
        <v>469</v>
      </c>
      <c r="B473" s="7">
        <v>0</v>
      </c>
      <c r="C473" s="7">
        <v>6.8450199999999999</v>
      </c>
    </row>
    <row r="474" spans="1:3" x14ac:dyDescent="0.25">
      <c r="A474" s="2">
        <v>470</v>
      </c>
      <c r="B474" s="7">
        <v>0</v>
      </c>
      <c r="C474" s="7">
        <v>6.7248999999999999</v>
      </c>
    </row>
    <row r="475" spans="1:3" x14ac:dyDescent="0.25">
      <c r="A475" s="2">
        <v>471</v>
      </c>
      <c r="B475" s="7">
        <v>0</v>
      </c>
      <c r="C475" s="7">
        <v>7.2929199999999996</v>
      </c>
    </row>
    <row r="476" spans="1:3" x14ac:dyDescent="0.25">
      <c r="A476" s="2">
        <v>472</v>
      </c>
      <c r="B476" s="7">
        <v>0</v>
      </c>
      <c r="C476" s="7">
        <v>7.1727999999999996</v>
      </c>
    </row>
    <row r="477" spans="1:3" x14ac:dyDescent="0.25">
      <c r="A477" s="2">
        <v>473</v>
      </c>
      <c r="B477" s="7">
        <v>0</v>
      </c>
      <c r="C477" s="7">
        <v>7.4262499999999996</v>
      </c>
    </row>
    <row r="478" spans="1:3" x14ac:dyDescent="0.25">
      <c r="A478" s="2">
        <v>474</v>
      </c>
      <c r="B478" s="7">
        <v>0</v>
      </c>
      <c r="C478" s="7">
        <v>7.3061299999999996</v>
      </c>
    </row>
    <row r="479" spans="1:3" x14ac:dyDescent="0.25">
      <c r="A479" s="2">
        <v>475</v>
      </c>
      <c r="B479" s="7">
        <v>0</v>
      </c>
      <c r="C479" s="7">
        <v>7.1860099999999996</v>
      </c>
    </row>
    <row r="480" spans="1:3" x14ac:dyDescent="0.25">
      <c r="A480" s="2">
        <v>476</v>
      </c>
      <c r="B480" s="7">
        <v>0</v>
      </c>
      <c r="C480" s="7">
        <v>7.0658899999999996</v>
      </c>
    </row>
    <row r="481" spans="1:3" x14ac:dyDescent="0.25">
      <c r="A481" s="2">
        <v>477</v>
      </c>
      <c r="B481" s="7">
        <v>0</v>
      </c>
      <c r="C481" s="7">
        <v>6.9457700000000004</v>
      </c>
    </row>
    <row r="482" spans="1:3" x14ac:dyDescent="0.25">
      <c r="A482" s="2">
        <v>478</v>
      </c>
      <c r="B482" s="7">
        <v>0</v>
      </c>
      <c r="C482" s="7">
        <v>6.8256500000000004</v>
      </c>
    </row>
    <row r="483" spans="1:3" x14ac:dyDescent="0.25">
      <c r="A483" s="2">
        <v>479</v>
      </c>
      <c r="B483" s="7">
        <v>0</v>
      </c>
      <c r="C483" s="7">
        <v>6.7055300000000004</v>
      </c>
    </row>
    <row r="484" spans="1:3" x14ac:dyDescent="0.25">
      <c r="A484" s="2">
        <v>480</v>
      </c>
      <c r="B484" s="7">
        <v>0</v>
      </c>
      <c r="C484" s="7">
        <v>6.5854100000000004</v>
      </c>
    </row>
    <row r="485" spans="1:3" x14ac:dyDescent="0.25">
      <c r="A485" s="2">
        <v>481</v>
      </c>
      <c r="B485" s="7">
        <v>0</v>
      </c>
      <c r="C485" s="7">
        <v>6.4652900000000004</v>
      </c>
    </row>
    <row r="486" spans="1:3" x14ac:dyDescent="0.25">
      <c r="A486" s="2">
        <v>482</v>
      </c>
      <c r="B486" s="7">
        <v>0</v>
      </c>
      <c r="C486" s="7">
        <v>6.3451700000000004</v>
      </c>
    </row>
    <row r="487" spans="1:3" x14ac:dyDescent="0.25">
      <c r="A487" s="2">
        <v>483</v>
      </c>
      <c r="B487" s="7">
        <v>0</v>
      </c>
      <c r="C487" s="7">
        <v>7.0281399999999996</v>
      </c>
    </row>
    <row r="488" spans="1:3" x14ac:dyDescent="0.25">
      <c r="A488" s="2">
        <v>484</v>
      </c>
      <c r="B488" s="7">
        <v>0</v>
      </c>
      <c r="C488" s="7">
        <v>6.9080199999999996</v>
      </c>
    </row>
    <row r="489" spans="1:3" x14ac:dyDescent="0.25">
      <c r="A489" s="2">
        <v>485</v>
      </c>
      <c r="B489" s="7">
        <v>0</v>
      </c>
      <c r="C489" s="7">
        <v>7.4262499999999996</v>
      </c>
    </row>
    <row r="490" spans="1:3" x14ac:dyDescent="0.25">
      <c r="A490" s="2">
        <v>486</v>
      </c>
      <c r="B490" s="7">
        <v>0</v>
      </c>
      <c r="C490" s="7">
        <v>7.3061299999999996</v>
      </c>
    </row>
    <row r="491" spans="1:3" x14ac:dyDescent="0.25">
      <c r="A491" s="2">
        <v>487</v>
      </c>
      <c r="B491" s="7">
        <v>0</v>
      </c>
      <c r="C491" s="7">
        <v>7.1860099999999996</v>
      </c>
    </row>
    <row r="492" spans="1:3" x14ac:dyDescent="0.25">
      <c r="A492" s="2">
        <v>488</v>
      </c>
      <c r="B492" s="7">
        <v>0</v>
      </c>
      <c r="C492" s="7">
        <v>7.0658899999999996</v>
      </c>
    </row>
    <row r="493" spans="1:3" x14ac:dyDescent="0.25">
      <c r="A493" s="2">
        <v>489</v>
      </c>
      <c r="B493" s="7">
        <v>0</v>
      </c>
      <c r="C493" s="7">
        <v>6.9457700000000004</v>
      </c>
    </row>
    <row r="494" spans="1:3" x14ac:dyDescent="0.25">
      <c r="A494" s="2">
        <v>490</v>
      </c>
      <c r="B494" s="7">
        <v>0</v>
      </c>
      <c r="C494" s="7">
        <v>6.8256500000000004</v>
      </c>
    </row>
    <row r="495" spans="1:3" x14ac:dyDescent="0.25">
      <c r="A495" s="2">
        <v>491</v>
      </c>
      <c r="B495" s="7">
        <v>0</v>
      </c>
      <c r="C495" s="7">
        <v>7.4262499999999996</v>
      </c>
    </row>
    <row r="496" spans="1:3" x14ac:dyDescent="0.25">
      <c r="A496" s="2">
        <v>492</v>
      </c>
      <c r="B496" s="7">
        <v>0</v>
      </c>
      <c r="C496" s="7">
        <v>7.3061299999999996</v>
      </c>
    </row>
    <row r="497" spans="1:3" x14ac:dyDescent="0.25">
      <c r="A497" s="2">
        <v>493</v>
      </c>
      <c r="B497" s="7">
        <v>0</v>
      </c>
      <c r="C497" s="7">
        <v>7.4262499999999996</v>
      </c>
    </row>
    <row r="498" spans="1:3" x14ac:dyDescent="0.25">
      <c r="A498" s="2">
        <v>494</v>
      </c>
      <c r="B498" s="7">
        <v>0</v>
      </c>
      <c r="C498" s="7">
        <v>7.3061299999999996</v>
      </c>
    </row>
    <row r="499" spans="1:3" x14ac:dyDescent="0.25">
      <c r="A499" s="2">
        <v>495</v>
      </c>
      <c r="B499" s="7">
        <v>0</v>
      </c>
      <c r="C499" s="7">
        <v>7.1860099999999996</v>
      </c>
    </row>
    <row r="500" spans="1:3" x14ac:dyDescent="0.25">
      <c r="A500" s="2">
        <v>496</v>
      </c>
      <c r="B500" s="7">
        <v>0</v>
      </c>
      <c r="C500" s="7">
        <v>7.0658899999999996</v>
      </c>
    </row>
    <row r="501" spans="1:3" x14ac:dyDescent="0.25">
      <c r="A501" s="2">
        <v>497</v>
      </c>
      <c r="B501" s="7">
        <v>0</v>
      </c>
      <c r="C501" s="7">
        <v>6.9457700000000004</v>
      </c>
    </row>
    <row r="502" spans="1:3" x14ac:dyDescent="0.25">
      <c r="A502" s="2">
        <v>498</v>
      </c>
      <c r="B502" s="7">
        <v>0</v>
      </c>
      <c r="C502" s="7">
        <v>6.8256500000000004</v>
      </c>
    </row>
    <row r="503" spans="1:3" x14ac:dyDescent="0.25">
      <c r="A503" s="2">
        <v>499</v>
      </c>
      <c r="B503" s="7">
        <v>0</v>
      </c>
      <c r="C503" s="7">
        <v>6.7055300000000004</v>
      </c>
    </row>
    <row r="504" spans="1:3" x14ac:dyDescent="0.25">
      <c r="A504" s="2">
        <v>500</v>
      </c>
      <c r="B504" s="7">
        <v>0</v>
      </c>
      <c r="C504" s="7">
        <v>6.5854100000000004</v>
      </c>
    </row>
    <row r="505" spans="1:3" x14ac:dyDescent="0.25">
      <c r="A505" s="2">
        <v>501</v>
      </c>
      <c r="B505" s="7">
        <v>0</v>
      </c>
      <c r="C505" s="7">
        <v>7.4262499999999996</v>
      </c>
    </row>
    <row r="506" spans="1:3" x14ac:dyDescent="0.25">
      <c r="A506" s="2">
        <v>502</v>
      </c>
      <c r="B506" s="7">
        <v>0</v>
      </c>
      <c r="C506" s="7">
        <v>7.3061299999999996</v>
      </c>
    </row>
    <row r="507" spans="1:3" x14ac:dyDescent="0.25">
      <c r="A507" s="2">
        <v>503</v>
      </c>
      <c r="B507" s="7">
        <v>0</v>
      </c>
      <c r="C507" s="7">
        <v>7.1860099999999996</v>
      </c>
    </row>
    <row r="508" spans="1:3" x14ac:dyDescent="0.25">
      <c r="A508" s="2">
        <v>504</v>
      </c>
      <c r="B508" s="7">
        <v>0</v>
      </c>
      <c r="C508" s="7">
        <v>7.0658899999999996</v>
      </c>
    </row>
    <row r="509" spans="1:3" x14ac:dyDescent="0.25">
      <c r="A509" s="2">
        <v>505</v>
      </c>
      <c r="B509" s="7">
        <v>0</v>
      </c>
      <c r="C509" s="7">
        <v>6.9457700000000004</v>
      </c>
    </row>
    <row r="510" spans="1:3" x14ac:dyDescent="0.25">
      <c r="A510" s="2">
        <v>506</v>
      </c>
      <c r="B510" s="7">
        <v>0</v>
      </c>
      <c r="C510" s="7">
        <v>7.3256500000000004</v>
      </c>
    </row>
    <row r="511" spans="1:3" x14ac:dyDescent="0.25">
      <c r="A511" s="2">
        <v>507</v>
      </c>
      <c r="B511" s="7">
        <v>0</v>
      </c>
      <c r="C511" s="7">
        <v>7.2055300000000004</v>
      </c>
    </row>
    <row r="512" spans="1:3" x14ac:dyDescent="0.25">
      <c r="A512" s="2">
        <v>508</v>
      </c>
      <c r="B512" s="7">
        <v>0</v>
      </c>
      <c r="C512" s="7">
        <v>7.0854100000000004</v>
      </c>
    </row>
    <row r="513" spans="1:3" x14ac:dyDescent="0.25">
      <c r="A513" s="2">
        <v>509</v>
      </c>
      <c r="B513" s="7">
        <v>0</v>
      </c>
      <c r="C513" s="7">
        <v>6.9652900000000004</v>
      </c>
    </row>
    <row r="514" spans="1:3" x14ac:dyDescent="0.25">
      <c r="A514" s="2">
        <v>510</v>
      </c>
      <c r="B514" s="7">
        <v>0</v>
      </c>
      <c r="C514" s="7">
        <v>6.8451700000000004</v>
      </c>
    </row>
    <row r="515" spans="1:3" x14ac:dyDescent="0.25">
      <c r="A515" s="2">
        <v>511</v>
      </c>
      <c r="B515" s="7">
        <v>0</v>
      </c>
      <c r="C515" s="7">
        <v>6.7250500000000004</v>
      </c>
    </row>
    <row r="516" spans="1:3" x14ac:dyDescent="0.25">
      <c r="A516" s="2">
        <v>512</v>
      </c>
      <c r="B516" s="7">
        <v>0</v>
      </c>
      <c r="C516" s="7">
        <v>6.6049300000000004</v>
      </c>
    </row>
    <row r="517" spans="1:3" x14ac:dyDescent="0.25">
      <c r="A517" s="2">
        <v>513</v>
      </c>
      <c r="B517" s="7">
        <v>0</v>
      </c>
      <c r="C517" s="7">
        <v>7.4262499999999996</v>
      </c>
    </row>
    <row r="518" spans="1:3" x14ac:dyDescent="0.25">
      <c r="A518" s="2">
        <v>514</v>
      </c>
      <c r="B518" s="7">
        <v>0</v>
      </c>
      <c r="C518" s="7">
        <v>7.3061299999999996</v>
      </c>
    </row>
    <row r="519" spans="1:3" x14ac:dyDescent="0.25">
      <c r="A519" s="2">
        <v>515</v>
      </c>
      <c r="B519" s="7">
        <v>0</v>
      </c>
      <c r="C519" s="7">
        <v>7.1860099999999996</v>
      </c>
    </row>
    <row r="520" spans="1:3" x14ac:dyDescent="0.25">
      <c r="A520" s="2">
        <v>516</v>
      </c>
      <c r="B520" s="7">
        <v>0</v>
      </c>
      <c r="C520" s="7">
        <v>7.0658899999999996</v>
      </c>
    </row>
    <row r="521" spans="1:3" x14ac:dyDescent="0.25">
      <c r="A521" s="2">
        <v>517</v>
      </c>
      <c r="B521" s="7">
        <v>0</v>
      </c>
      <c r="C521" s="7">
        <v>7.4262499999999996</v>
      </c>
    </row>
    <row r="522" spans="1:3" x14ac:dyDescent="0.25">
      <c r="A522" s="2">
        <v>518</v>
      </c>
      <c r="B522" s="7">
        <v>0</v>
      </c>
      <c r="C522" s="7">
        <v>7.4262499999999996</v>
      </c>
    </row>
    <row r="523" spans="1:3" x14ac:dyDescent="0.25">
      <c r="A523" s="2">
        <v>519</v>
      </c>
      <c r="B523" s="7">
        <v>0</v>
      </c>
      <c r="C523" s="7">
        <v>7.3061299999999996</v>
      </c>
    </row>
    <row r="524" spans="1:3" x14ac:dyDescent="0.25">
      <c r="A524" s="2">
        <v>520</v>
      </c>
      <c r="B524" s="7">
        <v>0</v>
      </c>
      <c r="C524" s="7">
        <v>7.1860099999999996</v>
      </c>
    </row>
    <row r="525" spans="1:3" x14ac:dyDescent="0.25">
      <c r="A525" s="2">
        <v>521</v>
      </c>
      <c r="B525" s="7">
        <v>0</v>
      </c>
      <c r="C525" s="7">
        <v>7.4262499999999996</v>
      </c>
    </row>
    <row r="526" spans="1:3" x14ac:dyDescent="0.25">
      <c r="A526" s="2">
        <v>522</v>
      </c>
      <c r="B526" s="7">
        <v>0</v>
      </c>
      <c r="C526" s="7">
        <v>7.3061299999999996</v>
      </c>
    </row>
    <row r="527" spans="1:3" x14ac:dyDescent="0.25">
      <c r="A527" s="2">
        <v>523</v>
      </c>
      <c r="B527" s="7">
        <v>0</v>
      </c>
      <c r="C527" s="7">
        <v>7.1860099999999996</v>
      </c>
    </row>
    <row r="528" spans="1:3" x14ac:dyDescent="0.25">
      <c r="A528" s="2">
        <v>524</v>
      </c>
      <c r="B528" s="7">
        <v>0</v>
      </c>
      <c r="C528" s="7">
        <v>7.4262499999999996</v>
      </c>
    </row>
    <row r="529" spans="1:3" x14ac:dyDescent="0.25">
      <c r="A529" s="2">
        <v>525</v>
      </c>
      <c r="B529" s="7">
        <v>0</v>
      </c>
      <c r="C529" s="7">
        <v>7.3061299999999996</v>
      </c>
    </row>
    <row r="530" spans="1:3" x14ac:dyDescent="0.25">
      <c r="A530" s="2">
        <v>526</v>
      </c>
      <c r="B530" s="7">
        <v>0</v>
      </c>
      <c r="C530" s="7">
        <v>7.4262499999999996</v>
      </c>
    </row>
    <row r="531" spans="1:3" x14ac:dyDescent="0.25">
      <c r="A531" s="2">
        <v>527</v>
      </c>
      <c r="B531" s="7">
        <v>0</v>
      </c>
      <c r="C531" s="7">
        <v>7.3061299999999996</v>
      </c>
    </row>
    <row r="532" spans="1:3" x14ac:dyDescent="0.25">
      <c r="A532" s="2">
        <v>528</v>
      </c>
      <c r="B532" s="7">
        <v>0</v>
      </c>
      <c r="C532" s="7">
        <v>7.4262499999999996</v>
      </c>
    </row>
    <row r="533" spans="1:3" x14ac:dyDescent="0.25">
      <c r="A533" s="2">
        <v>529</v>
      </c>
      <c r="B533" s="7">
        <v>0</v>
      </c>
      <c r="C533" s="7">
        <v>7.3061299999999996</v>
      </c>
    </row>
    <row r="534" spans="1:3" x14ac:dyDescent="0.25">
      <c r="A534" s="2">
        <v>530</v>
      </c>
      <c r="B534" s="7">
        <v>0</v>
      </c>
      <c r="C534" s="7">
        <v>7.1860099999999996</v>
      </c>
    </row>
    <row r="535" spans="1:3" x14ac:dyDescent="0.25">
      <c r="A535" s="2">
        <v>531</v>
      </c>
      <c r="B535" s="7">
        <v>0</v>
      </c>
      <c r="C535" s="7">
        <v>7.0658899999999996</v>
      </c>
    </row>
    <row r="536" spans="1:3" x14ac:dyDescent="0.25">
      <c r="A536" s="2">
        <v>532</v>
      </c>
      <c r="B536" s="7">
        <v>0</v>
      </c>
      <c r="C536" s="7">
        <v>7.4262499999999996</v>
      </c>
    </row>
    <row r="537" spans="1:3" x14ac:dyDescent="0.25">
      <c r="A537" s="2">
        <v>533</v>
      </c>
      <c r="B537" s="7">
        <v>0</v>
      </c>
      <c r="C537" s="7">
        <v>7.3061299999999996</v>
      </c>
    </row>
    <row r="538" spans="1:3" x14ac:dyDescent="0.25">
      <c r="A538" s="2">
        <v>534</v>
      </c>
      <c r="B538" s="7">
        <v>0</v>
      </c>
      <c r="C538" s="7">
        <v>7.4262499999999996</v>
      </c>
    </row>
    <row r="539" spans="1:3" x14ac:dyDescent="0.25">
      <c r="A539" s="2">
        <v>535</v>
      </c>
      <c r="B539" s="7">
        <v>0</v>
      </c>
      <c r="C539" s="7">
        <v>7.3061299999999996</v>
      </c>
    </row>
    <row r="540" spans="1:3" x14ac:dyDescent="0.25">
      <c r="A540" s="2">
        <v>536</v>
      </c>
      <c r="B540" s="7">
        <v>0</v>
      </c>
      <c r="C540" s="7">
        <v>7.1860099999999996</v>
      </c>
    </row>
    <row r="541" spans="1:3" x14ac:dyDescent="0.25">
      <c r="A541" s="2">
        <v>537</v>
      </c>
      <c r="B541" s="7">
        <v>0</v>
      </c>
      <c r="C541" s="7">
        <v>7.0658899999999996</v>
      </c>
    </row>
    <row r="542" spans="1:3" x14ac:dyDescent="0.25">
      <c r="A542" s="2">
        <v>538</v>
      </c>
      <c r="B542" s="7">
        <v>0</v>
      </c>
      <c r="C542" s="7">
        <v>6.9457700000000004</v>
      </c>
    </row>
    <row r="543" spans="1:3" x14ac:dyDescent="0.25">
      <c r="A543" s="2">
        <v>539</v>
      </c>
      <c r="B543" s="7">
        <v>0</v>
      </c>
      <c r="C543" s="7">
        <v>7.4262499999999996</v>
      </c>
    </row>
    <row r="544" spans="1:3" x14ac:dyDescent="0.25">
      <c r="A544" s="2">
        <v>540</v>
      </c>
      <c r="B544" s="7">
        <v>0</v>
      </c>
      <c r="C544" s="7">
        <v>7.3061299999999996</v>
      </c>
    </row>
    <row r="545" spans="1:3" x14ac:dyDescent="0.25">
      <c r="A545" s="2">
        <v>541</v>
      </c>
      <c r="B545" s="7">
        <v>0</v>
      </c>
      <c r="C545" s="7">
        <v>7.1860099999999996</v>
      </c>
    </row>
    <row r="546" spans="1:3" x14ac:dyDescent="0.25">
      <c r="A546" s="2">
        <v>542</v>
      </c>
      <c r="B546" s="7">
        <v>0</v>
      </c>
      <c r="C546" s="7">
        <v>7.4262499999999996</v>
      </c>
    </row>
    <row r="547" spans="1:3" x14ac:dyDescent="0.25">
      <c r="A547" s="2">
        <v>543</v>
      </c>
      <c r="B547" s="7">
        <v>0</v>
      </c>
      <c r="C547" s="7">
        <v>7.3061299999999996</v>
      </c>
    </row>
    <row r="548" spans="1:3" x14ac:dyDescent="0.25">
      <c r="A548" s="2">
        <v>544</v>
      </c>
      <c r="B548" s="7">
        <v>0</v>
      </c>
      <c r="C548" s="7">
        <v>7.1860099999999996</v>
      </c>
    </row>
    <row r="549" spans="1:3" x14ac:dyDescent="0.25">
      <c r="A549" s="2">
        <v>545</v>
      </c>
      <c r="B549" s="7">
        <v>0</v>
      </c>
      <c r="C549" s="7">
        <v>7.0658899999999996</v>
      </c>
    </row>
    <row r="550" spans="1:3" x14ac:dyDescent="0.25">
      <c r="A550" s="2">
        <v>546</v>
      </c>
      <c r="B550" s="7">
        <v>0</v>
      </c>
      <c r="C550" s="7">
        <v>6.9457700000000004</v>
      </c>
    </row>
    <row r="551" spans="1:3" x14ac:dyDescent="0.25">
      <c r="A551" s="2">
        <v>547</v>
      </c>
      <c r="B551" s="7">
        <v>0</v>
      </c>
      <c r="C551" s="7">
        <v>6.8256500000000004</v>
      </c>
    </row>
    <row r="552" spans="1:3" x14ac:dyDescent="0.25">
      <c r="A552" s="2">
        <v>548</v>
      </c>
      <c r="B552" s="7">
        <v>0</v>
      </c>
      <c r="C552" s="7">
        <v>6.7055300000000004</v>
      </c>
    </row>
    <row r="553" spans="1:3" x14ac:dyDescent="0.25">
      <c r="A553" s="2">
        <v>549</v>
      </c>
      <c r="B553" s="7">
        <v>0</v>
      </c>
      <c r="C553" s="7">
        <v>6.5854100000000004</v>
      </c>
    </row>
    <row r="554" spans="1:3" x14ac:dyDescent="0.25">
      <c r="A554" s="2">
        <v>550</v>
      </c>
      <c r="B554" s="7">
        <v>0</v>
      </c>
      <c r="C554" s="7">
        <v>6.4652900000000004</v>
      </c>
    </row>
    <row r="555" spans="1:3" x14ac:dyDescent="0.25">
      <c r="A555" s="2">
        <v>551</v>
      </c>
      <c r="B555" s="7">
        <v>0</v>
      </c>
      <c r="C555" s="7">
        <v>6.3451700000000004</v>
      </c>
    </row>
    <row r="556" spans="1:3" x14ac:dyDescent="0.25">
      <c r="A556" s="2">
        <v>552</v>
      </c>
      <c r="B556" s="7">
        <v>0</v>
      </c>
      <c r="C556" s="7">
        <v>6.2250500000000004</v>
      </c>
    </row>
    <row r="557" spans="1:3" x14ac:dyDescent="0.25">
      <c r="A557" s="2">
        <v>553</v>
      </c>
      <c r="B557" s="7">
        <v>0</v>
      </c>
      <c r="C557" s="7">
        <v>6.1049300000000004</v>
      </c>
    </row>
    <row r="558" spans="1:3" x14ac:dyDescent="0.25">
      <c r="A558" s="2">
        <v>554</v>
      </c>
      <c r="B558" s="7">
        <v>0</v>
      </c>
      <c r="C558" s="7">
        <v>5.9848100000000004</v>
      </c>
    </row>
    <row r="559" spans="1:3" x14ac:dyDescent="0.25">
      <c r="A559" s="2">
        <v>555</v>
      </c>
      <c r="B559" s="7">
        <v>0</v>
      </c>
      <c r="C559" s="7">
        <v>5.8651099999999996</v>
      </c>
    </row>
    <row r="560" spans="1:3" x14ac:dyDescent="0.25">
      <c r="A560" s="2">
        <v>556</v>
      </c>
      <c r="B560" s="7">
        <v>0</v>
      </c>
      <c r="C560" s="7">
        <v>5.7478100000000003</v>
      </c>
    </row>
    <row r="561" spans="1:3" x14ac:dyDescent="0.25">
      <c r="A561" s="2">
        <v>557</v>
      </c>
      <c r="B561" s="7">
        <v>0</v>
      </c>
      <c r="C561" s="7">
        <v>5.6328500000000004</v>
      </c>
    </row>
    <row r="562" spans="1:3" x14ac:dyDescent="0.25">
      <c r="A562" s="2">
        <v>558</v>
      </c>
      <c r="B562" s="7">
        <v>0</v>
      </c>
      <c r="C562" s="7">
        <v>5.5202</v>
      </c>
    </row>
    <row r="563" spans="1:3" x14ac:dyDescent="0.25">
      <c r="A563" s="2">
        <v>559</v>
      </c>
      <c r="B563" s="7">
        <v>0</v>
      </c>
      <c r="C563" s="7">
        <v>6.3997900000000003</v>
      </c>
    </row>
    <row r="564" spans="1:3" x14ac:dyDescent="0.25">
      <c r="A564" s="2">
        <v>560</v>
      </c>
      <c r="B564" s="7">
        <v>0</v>
      </c>
      <c r="C564" s="7">
        <v>6.2796700000000003</v>
      </c>
    </row>
    <row r="565" spans="1:3" x14ac:dyDescent="0.25">
      <c r="A565" s="2">
        <v>561</v>
      </c>
      <c r="B565" s="7">
        <v>0</v>
      </c>
      <c r="C565" s="7">
        <v>6.1595500000000003</v>
      </c>
    </row>
    <row r="566" spans="1:3" x14ac:dyDescent="0.25">
      <c r="A566" s="2">
        <v>562</v>
      </c>
      <c r="B566" s="7">
        <v>0</v>
      </c>
      <c r="C566" s="7">
        <v>6.0394300000000003</v>
      </c>
    </row>
    <row r="567" spans="1:3" x14ac:dyDescent="0.25">
      <c r="A567" s="2">
        <v>563</v>
      </c>
      <c r="B567" s="7">
        <v>0</v>
      </c>
      <c r="C567" s="7">
        <v>5.9193100000000003</v>
      </c>
    </row>
    <row r="568" spans="1:3" x14ac:dyDescent="0.25">
      <c r="A568" s="2">
        <v>564</v>
      </c>
      <c r="B568" s="7">
        <v>0</v>
      </c>
      <c r="C568" s="7">
        <v>6.8882199999999996</v>
      </c>
    </row>
    <row r="569" spans="1:3" x14ac:dyDescent="0.25">
      <c r="A569" s="2">
        <v>565</v>
      </c>
      <c r="B569" s="7">
        <v>0</v>
      </c>
      <c r="C569" s="7">
        <v>7.2680999999999996</v>
      </c>
    </row>
    <row r="570" spans="1:3" x14ac:dyDescent="0.25">
      <c r="A570" s="2">
        <v>566</v>
      </c>
      <c r="B570" s="7">
        <v>0</v>
      </c>
      <c r="C570" s="7">
        <v>7.3916000000000004</v>
      </c>
    </row>
    <row r="571" spans="1:3" x14ac:dyDescent="0.25">
      <c r="A571" s="2">
        <v>567</v>
      </c>
      <c r="B571" s="7">
        <v>0</v>
      </c>
      <c r="C571" s="7">
        <v>7.4089200000000002</v>
      </c>
    </row>
    <row r="572" spans="1:3" x14ac:dyDescent="0.25">
      <c r="A572" s="2">
        <v>568</v>
      </c>
      <c r="B572" s="7">
        <v>0</v>
      </c>
      <c r="C572" s="7">
        <v>7.2888000000000002</v>
      </c>
    </row>
    <row r="573" spans="1:3" x14ac:dyDescent="0.25">
      <c r="A573" s="2">
        <v>569</v>
      </c>
      <c r="B573" s="7">
        <v>0</v>
      </c>
      <c r="C573" s="7">
        <v>7.1686800000000002</v>
      </c>
    </row>
    <row r="574" spans="1:3" x14ac:dyDescent="0.25">
      <c r="A574" s="2">
        <v>570</v>
      </c>
      <c r="B574" s="7">
        <v>0</v>
      </c>
      <c r="C574" s="7">
        <v>7.0485600000000002</v>
      </c>
    </row>
    <row r="575" spans="1:3" x14ac:dyDescent="0.25">
      <c r="A575" s="2">
        <v>571</v>
      </c>
      <c r="B575" s="7">
        <v>0</v>
      </c>
      <c r="C575" s="7">
        <v>6.9284400000000002</v>
      </c>
    </row>
    <row r="576" spans="1:3" x14ac:dyDescent="0.25">
      <c r="A576" s="2">
        <v>572</v>
      </c>
      <c r="B576" s="7">
        <v>0</v>
      </c>
      <c r="C576" s="7">
        <v>6.8083200000000001</v>
      </c>
    </row>
    <row r="577" spans="1:3" x14ac:dyDescent="0.25">
      <c r="A577" s="2">
        <v>573</v>
      </c>
      <c r="B577" s="7">
        <v>0</v>
      </c>
      <c r="C577" s="7">
        <v>7.42598</v>
      </c>
    </row>
    <row r="578" spans="1:3" x14ac:dyDescent="0.25">
      <c r="A578" s="2">
        <v>574</v>
      </c>
      <c r="B578" s="7">
        <v>0</v>
      </c>
      <c r="C578" s="7">
        <v>7.30586</v>
      </c>
    </row>
    <row r="579" spans="1:3" x14ac:dyDescent="0.25">
      <c r="A579" s="2">
        <v>575</v>
      </c>
      <c r="B579" s="7">
        <v>0</v>
      </c>
      <c r="C579" s="7">
        <v>7.4261799999999996</v>
      </c>
    </row>
    <row r="580" spans="1:3" x14ac:dyDescent="0.25">
      <c r="A580" s="2">
        <v>576</v>
      </c>
      <c r="B580" s="7">
        <v>0</v>
      </c>
      <c r="C580" s="7">
        <v>7.4262199999999998</v>
      </c>
    </row>
    <row r="581" spans="1:3" x14ac:dyDescent="0.25">
      <c r="A581" s="2">
        <v>577</v>
      </c>
      <c r="B581" s="7">
        <v>0</v>
      </c>
      <c r="C581" s="7">
        <v>7.4262300000000003</v>
      </c>
    </row>
    <row r="582" spans="1:3" x14ac:dyDescent="0.25">
      <c r="A582" s="2">
        <v>578</v>
      </c>
      <c r="B582" s="7">
        <v>0</v>
      </c>
      <c r="C582" s="7">
        <v>7.42624</v>
      </c>
    </row>
    <row r="583" spans="1:3" x14ac:dyDescent="0.25">
      <c r="A583" s="2">
        <v>579</v>
      </c>
      <c r="B583" s="7">
        <v>0</v>
      </c>
      <c r="C583" s="7">
        <v>7.3061199999999999</v>
      </c>
    </row>
    <row r="584" spans="1:3" x14ac:dyDescent="0.25">
      <c r="A584" s="2">
        <v>580</v>
      </c>
      <c r="B584" s="7">
        <v>0</v>
      </c>
      <c r="C584" s="7">
        <v>7.1859999999999999</v>
      </c>
    </row>
    <row r="585" spans="1:3" x14ac:dyDescent="0.25">
      <c r="A585" s="2">
        <v>581</v>
      </c>
      <c r="B585" s="7">
        <v>0</v>
      </c>
      <c r="C585" s="7">
        <v>7.4262499999999996</v>
      </c>
    </row>
    <row r="586" spans="1:3" x14ac:dyDescent="0.25">
      <c r="A586" s="2">
        <v>582</v>
      </c>
      <c r="B586" s="7">
        <v>0</v>
      </c>
      <c r="C586" s="7">
        <v>7.3061299999999996</v>
      </c>
    </row>
    <row r="587" spans="1:3" x14ac:dyDescent="0.25">
      <c r="A587" s="2">
        <v>583</v>
      </c>
      <c r="B587" s="7">
        <v>0</v>
      </c>
      <c r="C587" s="7">
        <v>7.1860099999999996</v>
      </c>
    </row>
    <row r="588" spans="1:3" x14ac:dyDescent="0.25">
      <c r="A588" s="2">
        <v>584</v>
      </c>
      <c r="B588" s="7">
        <v>0</v>
      </c>
      <c r="C588" s="7">
        <v>7.0658899999999996</v>
      </c>
    </row>
    <row r="589" spans="1:3" x14ac:dyDescent="0.25">
      <c r="A589" s="2">
        <v>585</v>
      </c>
      <c r="B589" s="7">
        <v>0</v>
      </c>
      <c r="C589" s="7">
        <v>6.9457700000000004</v>
      </c>
    </row>
    <row r="590" spans="1:3" x14ac:dyDescent="0.25">
      <c r="A590" s="2">
        <v>586</v>
      </c>
      <c r="B590" s="7">
        <v>0</v>
      </c>
      <c r="C590" s="7">
        <v>6.8256500000000004</v>
      </c>
    </row>
    <row r="591" spans="1:3" x14ac:dyDescent="0.25">
      <c r="A591" s="2">
        <v>587</v>
      </c>
      <c r="B591" s="7">
        <v>0</v>
      </c>
      <c r="C591" s="7">
        <v>6.7055300000000004</v>
      </c>
    </row>
    <row r="592" spans="1:3" x14ac:dyDescent="0.25">
      <c r="A592" s="2">
        <v>588</v>
      </c>
      <c r="B592" s="7">
        <v>0</v>
      </c>
      <c r="C592" s="7">
        <v>6.5854100000000004</v>
      </c>
    </row>
    <row r="593" spans="1:3" x14ac:dyDescent="0.25">
      <c r="A593" s="2">
        <v>589</v>
      </c>
      <c r="B593" s="7">
        <v>0</v>
      </c>
      <c r="C593" s="7">
        <v>6.4652900000000004</v>
      </c>
    </row>
    <row r="594" spans="1:3" x14ac:dyDescent="0.25">
      <c r="A594" s="2">
        <v>590</v>
      </c>
      <c r="B594" s="7">
        <v>0</v>
      </c>
      <c r="C594" s="7">
        <v>6.3451700000000004</v>
      </c>
    </row>
    <row r="595" spans="1:3" x14ac:dyDescent="0.25">
      <c r="A595" s="2">
        <v>591</v>
      </c>
      <c r="B595" s="7">
        <v>0</v>
      </c>
      <c r="C595" s="7">
        <v>6.2250500000000004</v>
      </c>
    </row>
    <row r="596" spans="1:3" x14ac:dyDescent="0.25">
      <c r="A596" s="2">
        <v>592</v>
      </c>
      <c r="B596" s="7">
        <v>0</v>
      </c>
      <c r="C596" s="7">
        <v>6.1049300000000004</v>
      </c>
    </row>
    <row r="597" spans="1:3" x14ac:dyDescent="0.25">
      <c r="A597" s="2">
        <v>593</v>
      </c>
      <c r="B597" s="7">
        <v>0</v>
      </c>
      <c r="C597" s="7">
        <v>6.9748099999999997</v>
      </c>
    </row>
    <row r="598" spans="1:3" x14ac:dyDescent="0.25">
      <c r="A598" s="2">
        <v>594</v>
      </c>
      <c r="B598" s="7">
        <v>0</v>
      </c>
      <c r="C598" s="7">
        <v>6.8546899999999997</v>
      </c>
    </row>
    <row r="599" spans="1:3" x14ac:dyDescent="0.25">
      <c r="A599" s="2">
        <v>595</v>
      </c>
      <c r="B599" s="7">
        <v>0</v>
      </c>
      <c r="C599" s="7">
        <v>6.7345699999999997</v>
      </c>
    </row>
    <row r="600" spans="1:3" x14ac:dyDescent="0.25">
      <c r="A600" s="2">
        <v>596</v>
      </c>
      <c r="B600" s="7">
        <v>0</v>
      </c>
      <c r="C600" s="7">
        <v>6.6144499999999997</v>
      </c>
    </row>
    <row r="601" spans="1:3" x14ac:dyDescent="0.25">
      <c r="A601" s="2">
        <v>597</v>
      </c>
      <c r="B601" s="7">
        <v>0</v>
      </c>
      <c r="C601" s="7">
        <v>6.4943299999999997</v>
      </c>
    </row>
    <row r="602" spans="1:3" x14ac:dyDescent="0.25">
      <c r="A602" s="2">
        <v>598</v>
      </c>
      <c r="B602" s="7">
        <v>0</v>
      </c>
      <c r="C602" s="7">
        <v>6.3742099999999997</v>
      </c>
    </row>
    <row r="603" spans="1:3" x14ac:dyDescent="0.25">
      <c r="A603" s="2">
        <v>599</v>
      </c>
      <c r="B603" s="7">
        <v>0</v>
      </c>
      <c r="C603" s="7">
        <v>6.2540899999999997</v>
      </c>
    </row>
    <row r="604" spans="1:3" x14ac:dyDescent="0.25">
      <c r="A604" s="2">
        <v>600</v>
      </c>
      <c r="B604" s="7">
        <v>0</v>
      </c>
      <c r="C604" s="7">
        <v>6.1339699999999997</v>
      </c>
    </row>
    <row r="605" spans="1:3" x14ac:dyDescent="0.25">
      <c r="A605" s="2" t="s">
        <v>29</v>
      </c>
      <c r="B605" s="7">
        <v>127.75815300000009</v>
      </c>
      <c r="C605" s="7">
        <v>4271.5905299999949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54F8-A165-4E3B-B355-C242851D7917}">
  <dimension ref="A5:D606"/>
  <sheetViews>
    <sheetView topLeftCell="D4" workbookViewId="0">
      <selection activeCell="C19" sqref="C19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20.7109375" bestFit="1" customWidth="1"/>
    <col min="4" max="4" width="16.7109375" bestFit="1" customWidth="1"/>
    <col min="5" max="6" width="20.7109375" bestFit="1" customWidth="1"/>
  </cols>
  <sheetData>
    <row r="5" spans="1:4" x14ac:dyDescent="0.25">
      <c r="A5" s="1" t="s">
        <v>30</v>
      </c>
      <c r="B5" t="s">
        <v>43</v>
      </c>
      <c r="C5" t="s">
        <v>44</v>
      </c>
      <c r="D5" t="s">
        <v>42</v>
      </c>
    </row>
    <row r="6" spans="1:4" x14ac:dyDescent="0.25">
      <c r="A6" s="2">
        <v>1</v>
      </c>
      <c r="B6" s="7">
        <v>2.85</v>
      </c>
      <c r="C6" s="7">
        <v>0.15</v>
      </c>
      <c r="D6" s="7">
        <v>1</v>
      </c>
    </row>
    <row r="7" spans="1:4" x14ac:dyDescent="0.25">
      <c r="A7" s="2">
        <v>2</v>
      </c>
      <c r="B7" s="7">
        <v>2.6194999999999999</v>
      </c>
      <c r="C7" s="7">
        <v>0.23050000000000001</v>
      </c>
      <c r="D7" s="7">
        <v>0</v>
      </c>
    </row>
    <row r="8" spans="1:4" x14ac:dyDescent="0.25">
      <c r="A8" s="2">
        <v>3</v>
      </c>
      <c r="B8" s="7">
        <v>2.4040499999999998</v>
      </c>
      <c r="C8" s="7">
        <v>0.21545500000000001</v>
      </c>
      <c r="D8" s="7">
        <v>0</v>
      </c>
    </row>
    <row r="9" spans="1:4" x14ac:dyDescent="0.25">
      <c r="A9" s="2">
        <v>4</v>
      </c>
      <c r="B9" s="7">
        <v>2.2027399999999999</v>
      </c>
      <c r="C9" s="7">
        <v>0.20130300000000001</v>
      </c>
      <c r="D9" s="7">
        <v>0</v>
      </c>
    </row>
    <row r="10" spans="1:4" x14ac:dyDescent="0.25">
      <c r="A10" s="2">
        <v>5</v>
      </c>
      <c r="B10" s="7">
        <v>2.0147499999999998</v>
      </c>
      <c r="C10" s="7">
        <v>0.18799399999999999</v>
      </c>
      <c r="D10" s="7">
        <v>0</v>
      </c>
    </row>
    <row r="11" spans="1:4" x14ac:dyDescent="0.25">
      <c r="A11" s="2">
        <v>6</v>
      </c>
      <c r="B11" s="7">
        <v>1.83927</v>
      </c>
      <c r="C11" s="7">
        <v>0.17548</v>
      </c>
      <c r="D11" s="7">
        <v>0</v>
      </c>
    </row>
    <row r="12" spans="1:4" x14ac:dyDescent="0.25">
      <c r="A12" s="2">
        <v>7</v>
      </c>
      <c r="B12" s="7">
        <v>1.6755500000000001</v>
      </c>
      <c r="C12" s="7">
        <v>0.163716</v>
      </c>
      <c r="D12" s="7">
        <v>0</v>
      </c>
    </row>
    <row r="13" spans="1:4" x14ac:dyDescent="0.25">
      <c r="A13" s="2">
        <v>8</v>
      </c>
      <c r="B13" s="7">
        <v>1.5228900000000001</v>
      </c>
      <c r="C13" s="7">
        <v>0.15265999999999999</v>
      </c>
      <c r="D13" s="7">
        <v>0</v>
      </c>
    </row>
    <row r="14" spans="1:4" x14ac:dyDescent="0.25">
      <c r="A14" s="2">
        <v>9</v>
      </c>
      <c r="B14" s="7">
        <v>1.38062</v>
      </c>
      <c r="C14" s="7">
        <v>0.14227200000000001</v>
      </c>
      <c r="D14" s="7">
        <v>0</v>
      </c>
    </row>
    <row r="15" spans="1:4" x14ac:dyDescent="0.25">
      <c r="A15" s="2">
        <v>10</v>
      </c>
      <c r="B15" s="7">
        <v>1.2481100000000001</v>
      </c>
      <c r="C15" s="7">
        <v>0.13251299999999999</v>
      </c>
      <c r="D15" s="7">
        <v>0</v>
      </c>
    </row>
    <row r="16" spans="1:4" x14ac:dyDescent="0.25">
      <c r="A16" s="2">
        <v>11</v>
      </c>
      <c r="B16" s="7">
        <v>1.12476</v>
      </c>
      <c r="C16" s="7">
        <v>0.123348</v>
      </c>
      <c r="D16" s="7">
        <v>0</v>
      </c>
    </row>
    <row r="17" spans="1:4" x14ac:dyDescent="0.25">
      <c r="A17" s="2">
        <v>12</v>
      </c>
      <c r="B17" s="7">
        <v>1.0100199999999999</v>
      </c>
      <c r="C17" s="7">
        <v>0.114743</v>
      </c>
      <c r="D17" s="7">
        <v>0</v>
      </c>
    </row>
    <row r="18" spans="1:4" x14ac:dyDescent="0.25">
      <c r="A18" s="2">
        <v>13</v>
      </c>
      <c r="B18" s="7">
        <v>0.90334899999999996</v>
      </c>
      <c r="C18" s="7">
        <v>0.106666</v>
      </c>
      <c r="D18" s="7">
        <v>0</v>
      </c>
    </row>
    <row r="19" spans="1:4" x14ac:dyDescent="0.25">
      <c r="A19" s="2">
        <v>14</v>
      </c>
      <c r="B19" s="7">
        <v>0.80426299999999995</v>
      </c>
      <c r="C19" s="7">
        <v>9.9085900000000005E-2</v>
      </c>
      <c r="D19" s="7">
        <v>0</v>
      </c>
    </row>
    <row r="20" spans="1:4" x14ac:dyDescent="0.25">
      <c r="A20" s="2">
        <v>15</v>
      </c>
      <c r="B20" s="7">
        <v>0.71228800000000003</v>
      </c>
      <c r="C20" s="7">
        <v>9.1974899999999998E-2</v>
      </c>
      <c r="D20" s="7">
        <v>0</v>
      </c>
    </row>
    <row r="21" spans="1:4" x14ac:dyDescent="0.25">
      <c r="A21" s="2">
        <v>16</v>
      </c>
      <c r="B21" s="7">
        <v>0.62698299999999996</v>
      </c>
      <c r="C21" s="7">
        <v>8.5305699999999998E-2</v>
      </c>
      <c r="D21" s="7">
        <v>0</v>
      </c>
    </row>
    <row r="22" spans="1:4" x14ac:dyDescent="0.25">
      <c r="A22" s="2">
        <v>17</v>
      </c>
      <c r="B22" s="7">
        <v>0.54793000000000003</v>
      </c>
      <c r="C22" s="7">
        <v>7.9052700000000004E-2</v>
      </c>
      <c r="D22" s="7">
        <v>0</v>
      </c>
    </row>
    <row r="23" spans="1:4" x14ac:dyDescent="0.25">
      <c r="A23" s="2">
        <v>18</v>
      </c>
      <c r="B23" s="7">
        <v>0.47473799999999999</v>
      </c>
      <c r="C23" s="7">
        <v>7.3191999999999993E-2</v>
      </c>
      <c r="D23" s="7">
        <v>0</v>
      </c>
    </row>
    <row r="24" spans="1:4" x14ac:dyDescent="0.25">
      <c r="A24" s="2">
        <v>19</v>
      </c>
      <c r="B24" s="7">
        <v>0.40703699999999998</v>
      </c>
      <c r="C24" s="7">
        <v>6.7700499999999997E-2</v>
      </c>
      <c r="D24" s="7">
        <v>0</v>
      </c>
    </row>
    <row r="25" spans="1:4" x14ac:dyDescent="0.25">
      <c r="A25" s="2">
        <v>20</v>
      </c>
      <c r="B25" s="7">
        <v>0.34448000000000001</v>
      </c>
      <c r="C25" s="7">
        <v>6.2557000000000001E-2</v>
      </c>
      <c r="D25" s="7">
        <v>0</v>
      </c>
    </row>
    <row r="26" spans="1:4" x14ac:dyDescent="0.25">
      <c r="A26" s="2">
        <v>21</v>
      </c>
      <c r="B26" s="7">
        <v>1.28674</v>
      </c>
      <c r="C26" s="7">
        <v>5.7740899999999998E-2</v>
      </c>
      <c r="D26" s="7">
        <v>1</v>
      </c>
    </row>
    <row r="27" spans="1:4" x14ac:dyDescent="0.25">
      <c r="A27" s="2">
        <v>22</v>
      </c>
      <c r="B27" s="7">
        <v>2.14351</v>
      </c>
      <c r="C27" s="7">
        <v>0.143233</v>
      </c>
      <c r="D27" s="7">
        <v>1</v>
      </c>
    </row>
    <row r="28" spans="1:4" x14ac:dyDescent="0.25">
      <c r="A28" s="2">
        <v>23</v>
      </c>
      <c r="B28" s="7">
        <v>2.9205899999999998</v>
      </c>
      <c r="C28" s="7">
        <v>0.222916</v>
      </c>
      <c r="D28" s="7">
        <v>1</v>
      </c>
    </row>
    <row r="29" spans="1:4" x14ac:dyDescent="0.25">
      <c r="A29" s="2">
        <v>24</v>
      </c>
      <c r="B29" s="7">
        <v>3.6234500000000001</v>
      </c>
      <c r="C29" s="7">
        <v>0.29714000000000002</v>
      </c>
      <c r="D29" s="7">
        <v>1</v>
      </c>
    </row>
    <row r="30" spans="1:4" x14ac:dyDescent="0.25">
      <c r="A30" s="2">
        <v>25</v>
      </c>
      <c r="B30" s="7">
        <v>4.2572099999999997</v>
      </c>
      <c r="C30" s="7">
        <v>0.36623899999999998</v>
      </c>
      <c r="D30" s="7">
        <v>1</v>
      </c>
    </row>
    <row r="31" spans="1:4" x14ac:dyDescent="0.25">
      <c r="A31" s="2">
        <v>26</v>
      </c>
      <c r="B31" s="7">
        <v>4.8266900000000001</v>
      </c>
      <c r="C31" s="7">
        <v>0.43052400000000002</v>
      </c>
      <c r="D31" s="7">
        <v>1</v>
      </c>
    </row>
    <row r="32" spans="1:4" x14ac:dyDescent="0.25">
      <c r="A32" s="2">
        <v>27</v>
      </c>
      <c r="B32" s="7">
        <v>5.3364000000000003</v>
      </c>
      <c r="C32" s="7">
        <v>0.49029099999999998</v>
      </c>
      <c r="D32" s="7">
        <v>1</v>
      </c>
    </row>
    <row r="33" spans="1:4" x14ac:dyDescent="0.25">
      <c r="A33" s="2">
        <v>28</v>
      </c>
      <c r="B33" s="7">
        <v>5.7905800000000003</v>
      </c>
      <c r="C33" s="7">
        <v>0.54581900000000005</v>
      </c>
      <c r="D33" s="7">
        <v>1</v>
      </c>
    </row>
    <row r="34" spans="1:4" x14ac:dyDescent="0.25">
      <c r="A34" s="2">
        <v>29</v>
      </c>
      <c r="B34" s="7">
        <v>6.1932099999999997</v>
      </c>
      <c r="C34" s="7">
        <v>0.59736800000000001</v>
      </c>
      <c r="D34" s="7">
        <v>1</v>
      </c>
    </row>
    <row r="35" spans="1:4" x14ac:dyDescent="0.25">
      <c r="A35" s="2">
        <v>30</v>
      </c>
      <c r="B35" s="7">
        <v>6.5480200000000002</v>
      </c>
      <c r="C35" s="7">
        <v>0.64518600000000004</v>
      </c>
      <c r="D35" s="7">
        <v>1</v>
      </c>
    </row>
    <row r="36" spans="1:4" x14ac:dyDescent="0.25">
      <c r="A36" s="2">
        <v>31</v>
      </c>
      <c r="B36" s="7">
        <v>6.8585200000000004</v>
      </c>
      <c r="C36" s="7">
        <v>0.68950599999999995</v>
      </c>
      <c r="D36" s="7">
        <v>1</v>
      </c>
    </row>
    <row r="37" spans="1:4" x14ac:dyDescent="0.25">
      <c r="A37" s="2">
        <v>32</v>
      </c>
      <c r="B37" s="7">
        <v>7.1279700000000004</v>
      </c>
      <c r="C37" s="7">
        <v>0.73054600000000003</v>
      </c>
      <c r="D37" s="7">
        <v>1</v>
      </c>
    </row>
    <row r="38" spans="1:4" x14ac:dyDescent="0.25">
      <c r="A38" s="2">
        <v>33</v>
      </c>
      <c r="B38" s="7">
        <v>8.1279699999999995</v>
      </c>
      <c r="C38" s="7">
        <v>0</v>
      </c>
      <c r="D38" s="7">
        <v>1</v>
      </c>
    </row>
    <row r="39" spans="1:4" x14ac:dyDescent="0.25">
      <c r="A39" s="2">
        <v>34</v>
      </c>
      <c r="B39" s="7">
        <v>8.2859400000000001</v>
      </c>
      <c r="C39" s="7">
        <v>0.84202900000000003</v>
      </c>
      <c r="D39" s="7">
        <v>1</v>
      </c>
    </row>
    <row r="40" spans="1:4" x14ac:dyDescent="0.25">
      <c r="A40" s="2">
        <v>35</v>
      </c>
      <c r="B40" s="7">
        <v>8.4134399999999996</v>
      </c>
      <c r="C40" s="7">
        <v>0.87250300000000003</v>
      </c>
      <c r="D40" s="7">
        <v>1</v>
      </c>
    </row>
    <row r="41" spans="1:4" x14ac:dyDescent="0.25">
      <c r="A41" s="2">
        <v>36</v>
      </c>
      <c r="B41" s="7">
        <v>7.5128899999999996</v>
      </c>
      <c r="C41" s="7">
        <v>0.90054900000000004</v>
      </c>
      <c r="D41" s="7">
        <v>0</v>
      </c>
    </row>
    <row r="42" spans="1:4" x14ac:dyDescent="0.25">
      <c r="A42" s="2">
        <v>37</v>
      </c>
      <c r="B42" s="7">
        <v>7.5128899999999996</v>
      </c>
      <c r="C42" s="7">
        <v>0</v>
      </c>
      <c r="D42" s="7">
        <v>0</v>
      </c>
    </row>
    <row r="43" spans="1:4" x14ac:dyDescent="0.25">
      <c r="A43" s="2">
        <v>38</v>
      </c>
      <c r="B43" s="7">
        <v>6.6949899999999998</v>
      </c>
      <c r="C43" s="7">
        <v>0.81789900000000004</v>
      </c>
      <c r="D43" s="7">
        <v>0</v>
      </c>
    </row>
    <row r="44" spans="1:4" x14ac:dyDescent="0.25">
      <c r="A44" s="2">
        <v>39</v>
      </c>
      <c r="B44" s="7">
        <v>5.9356799999999996</v>
      </c>
      <c r="C44" s="7">
        <v>0.75931400000000004</v>
      </c>
      <c r="D44" s="7">
        <v>0</v>
      </c>
    </row>
    <row r="45" spans="1:4" x14ac:dyDescent="0.25">
      <c r="A45" s="2">
        <v>40</v>
      </c>
      <c r="B45" s="7">
        <v>5.2313099999999997</v>
      </c>
      <c r="C45" s="7">
        <v>0.70436600000000005</v>
      </c>
      <c r="D45" s="7">
        <v>0</v>
      </c>
    </row>
    <row r="46" spans="1:4" x14ac:dyDescent="0.25">
      <c r="A46" s="2">
        <v>41</v>
      </c>
      <c r="B46" s="7">
        <v>4.5784700000000003</v>
      </c>
      <c r="C46" s="7">
        <v>0.65284399999999998</v>
      </c>
      <c r="D46" s="7">
        <v>0</v>
      </c>
    </row>
    <row r="47" spans="1:4" x14ac:dyDescent="0.25">
      <c r="A47" s="2">
        <v>42</v>
      </c>
      <c r="B47" s="7">
        <v>4.5784700000000003</v>
      </c>
      <c r="C47" s="7">
        <v>0</v>
      </c>
      <c r="D47" s="7">
        <v>0</v>
      </c>
    </row>
    <row r="48" spans="1:4" x14ac:dyDescent="0.25">
      <c r="A48" s="2">
        <v>43</v>
      </c>
      <c r="B48" s="7">
        <v>3.9889399999999999</v>
      </c>
      <c r="C48" s="7">
        <v>0.58952599999999999</v>
      </c>
      <c r="D48" s="7">
        <v>0</v>
      </c>
    </row>
    <row r="49" spans="1:4" x14ac:dyDescent="0.25">
      <c r="A49" s="2">
        <v>44</v>
      </c>
      <c r="B49" s="7">
        <v>3.9889399999999999</v>
      </c>
      <c r="C49" s="7">
        <v>0</v>
      </c>
      <c r="D49" s="7">
        <v>0</v>
      </c>
    </row>
    <row r="50" spans="1:4" x14ac:dyDescent="0.25">
      <c r="A50" s="2">
        <v>45</v>
      </c>
      <c r="B50" s="7">
        <v>3.45716</v>
      </c>
      <c r="C50" s="7">
        <v>0.53177799999999997</v>
      </c>
      <c r="D50" s="7">
        <v>0</v>
      </c>
    </row>
    <row r="51" spans="1:4" x14ac:dyDescent="0.25">
      <c r="A51" s="2">
        <v>46</v>
      </c>
      <c r="B51" s="7">
        <v>2.9652699999999999</v>
      </c>
      <c r="C51" s="7">
        <v>0.491896</v>
      </c>
      <c r="D51" s="7">
        <v>0</v>
      </c>
    </row>
    <row r="52" spans="1:4" x14ac:dyDescent="0.25">
      <c r="A52" s="2">
        <v>47</v>
      </c>
      <c r="B52" s="7">
        <v>2.5107300000000001</v>
      </c>
      <c r="C52" s="7">
        <v>0.45454</v>
      </c>
      <c r="D52" s="7">
        <v>0</v>
      </c>
    </row>
    <row r="53" spans="1:4" x14ac:dyDescent="0.25">
      <c r="A53" s="2">
        <v>48</v>
      </c>
      <c r="B53" s="7">
        <v>2.0911599999999999</v>
      </c>
      <c r="C53" s="7">
        <v>0.41956199999999999</v>
      </c>
      <c r="D53" s="7">
        <v>0</v>
      </c>
    </row>
    <row r="54" spans="1:4" x14ac:dyDescent="0.25">
      <c r="A54" s="2">
        <v>49</v>
      </c>
      <c r="B54" s="7">
        <v>1.70434</v>
      </c>
      <c r="C54" s="7">
        <v>0.38682299999999997</v>
      </c>
      <c r="D54" s="7">
        <v>0</v>
      </c>
    </row>
    <row r="55" spans="1:4" x14ac:dyDescent="0.25">
      <c r="A55" s="2">
        <v>50</v>
      </c>
      <c r="B55" s="7">
        <v>1.34815</v>
      </c>
      <c r="C55" s="7">
        <v>0.35619099999999998</v>
      </c>
      <c r="D55" s="7">
        <v>0</v>
      </c>
    </row>
    <row r="56" spans="1:4" x14ac:dyDescent="0.25">
      <c r="A56" s="2">
        <v>51</v>
      </c>
      <c r="B56" s="7">
        <v>1.02061</v>
      </c>
      <c r="C56" s="7">
        <v>0.327542</v>
      </c>
      <c r="D56" s="7">
        <v>0</v>
      </c>
    </row>
    <row r="57" spans="1:4" x14ac:dyDescent="0.25">
      <c r="A57" s="2">
        <v>52</v>
      </c>
      <c r="B57" s="7">
        <v>0.71984899999999996</v>
      </c>
      <c r="C57" s="7">
        <v>0.30076000000000003</v>
      </c>
      <c r="D57" s="7">
        <v>0</v>
      </c>
    </row>
    <row r="58" spans="1:4" x14ac:dyDescent="0.25">
      <c r="A58" s="2">
        <v>53</v>
      </c>
      <c r="B58" s="7">
        <v>0.44411600000000001</v>
      </c>
      <c r="C58" s="7">
        <v>0.27573300000000001</v>
      </c>
      <c r="D58" s="7">
        <v>0</v>
      </c>
    </row>
    <row r="59" spans="1:4" x14ac:dyDescent="0.25">
      <c r="A59" s="2">
        <v>54</v>
      </c>
      <c r="B59" s="7">
        <v>0.19175900000000001</v>
      </c>
      <c r="C59" s="7">
        <v>0.252357</v>
      </c>
      <c r="D59" s="7">
        <v>0</v>
      </c>
    </row>
    <row r="60" spans="1:4" x14ac:dyDescent="0.25">
      <c r="A60" s="2">
        <v>55</v>
      </c>
      <c r="B60" s="7">
        <v>0</v>
      </c>
      <c r="C60" s="7">
        <v>0.19175900000000001</v>
      </c>
      <c r="D60" s="7">
        <v>0</v>
      </c>
    </row>
    <row r="61" spans="1:4" x14ac:dyDescent="0.25">
      <c r="A61" s="2">
        <v>56</v>
      </c>
      <c r="B61" s="7">
        <v>0</v>
      </c>
      <c r="C61" s="7">
        <v>0</v>
      </c>
      <c r="D61" s="7">
        <v>0</v>
      </c>
    </row>
    <row r="62" spans="1:4" x14ac:dyDescent="0.25">
      <c r="A62" s="2">
        <v>57</v>
      </c>
      <c r="B62" s="7">
        <v>0</v>
      </c>
      <c r="C62" s="7">
        <v>0</v>
      </c>
      <c r="D62" s="7">
        <v>0</v>
      </c>
    </row>
    <row r="63" spans="1:4" x14ac:dyDescent="0.25">
      <c r="A63" s="2">
        <v>58</v>
      </c>
      <c r="B63" s="7">
        <v>0</v>
      </c>
      <c r="C63" s="7">
        <v>0</v>
      </c>
      <c r="D63" s="7">
        <v>0</v>
      </c>
    </row>
    <row r="64" spans="1:4" x14ac:dyDescent="0.25">
      <c r="A64" s="2">
        <v>59</v>
      </c>
      <c r="B64" s="7">
        <v>0</v>
      </c>
      <c r="C64" s="7">
        <v>0</v>
      </c>
      <c r="D64" s="7">
        <v>0</v>
      </c>
    </row>
    <row r="65" spans="1:4" x14ac:dyDescent="0.25">
      <c r="A65" s="2">
        <v>60</v>
      </c>
      <c r="B65" s="7">
        <v>0</v>
      </c>
      <c r="C65" s="7">
        <v>0</v>
      </c>
      <c r="D65" s="7">
        <v>0</v>
      </c>
    </row>
    <row r="66" spans="1:4" x14ac:dyDescent="0.25">
      <c r="A66" s="2">
        <v>61</v>
      </c>
      <c r="B66" s="7">
        <v>0</v>
      </c>
      <c r="C66" s="7">
        <v>0</v>
      </c>
      <c r="D66" s="7">
        <v>0</v>
      </c>
    </row>
    <row r="67" spans="1:4" x14ac:dyDescent="0.25">
      <c r="A67" s="2">
        <v>62</v>
      </c>
      <c r="B67" s="7">
        <v>0</v>
      </c>
      <c r="C67" s="7">
        <v>0</v>
      </c>
      <c r="D67" s="7">
        <v>0</v>
      </c>
    </row>
    <row r="68" spans="1:4" x14ac:dyDescent="0.25">
      <c r="A68" s="2">
        <v>63</v>
      </c>
      <c r="B68" s="7">
        <v>0</v>
      </c>
      <c r="C68" s="7">
        <v>0</v>
      </c>
      <c r="D68" s="7">
        <v>0</v>
      </c>
    </row>
    <row r="69" spans="1:4" x14ac:dyDescent="0.25">
      <c r="A69" s="2">
        <v>64</v>
      </c>
      <c r="B69" s="7">
        <v>0</v>
      </c>
      <c r="C69" s="7">
        <v>0</v>
      </c>
      <c r="D69" s="7">
        <v>0</v>
      </c>
    </row>
    <row r="70" spans="1:4" x14ac:dyDescent="0.25">
      <c r="A70" s="2">
        <v>65</v>
      </c>
      <c r="B70" s="7">
        <v>0</v>
      </c>
      <c r="C70" s="7">
        <v>0</v>
      </c>
      <c r="D70" s="7">
        <v>0</v>
      </c>
    </row>
    <row r="71" spans="1:4" x14ac:dyDescent="0.25">
      <c r="A71" s="2">
        <v>66</v>
      </c>
      <c r="B71" s="7">
        <v>0</v>
      </c>
      <c r="C71" s="7">
        <v>0</v>
      </c>
      <c r="D71" s="7">
        <v>0</v>
      </c>
    </row>
    <row r="72" spans="1:4" x14ac:dyDescent="0.25">
      <c r="A72" s="2">
        <v>67</v>
      </c>
      <c r="B72" s="7">
        <v>0</v>
      </c>
      <c r="C72" s="7">
        <v>0</v>
      </c>
      <c r="D72" s="7">
        <v>0</v>
      </c>
    </row>
    <row r="73" spans="1:4" x14ac:dyDescent="0.25">
      <c r="A73" s="2">
        <v>68</v>
      </c>
      <c r="B73" s="7">
        <v>0</v>
      </c>
      <c r="C73" s="7">
        <v>0</v>
      </c>
      <c r="D73" s="7">
        <v>0</v>
      </c>
    </row>
    <row r="74" spans="1:4" x14ac:dyDescent="0.25">
      <c r="A74" s="2">
        <v>69</v>
      </c>
      <c r="B74" s="7">
        <v>0</v>
      </c>
      <c r="C74" s="7">
        <v>0</v>
      </c>
      <c r="D74" s="7">
        <v>0</v>
      </c>
    </row>
    <row r="75" spans="1:4" x14ac:dyDescent="0.25">
      <c r="A75" s="2">
        <v>70</v>
      </c>
      <c r="B75" s="7">
        <v>0</v>
      </c>
      <c r="C75" s="7">
        <v>0</v>
      </c>
      <c r="D75" s="7">
        <v>0</v>
      </c>
    </row>
    <row r="76" spans="1:4" x14ac:dyDescent="0.25">
      <c r="A76" s="2">
        <v>71</v>
      </c>
      <c r="B76" s="7">
        <v>0</v>
      </c>
      <c r="C76" s="7">
        <v>0</v>
      </c>
      <c r="D76" s="7">
        <v>0</v>
      </c>
    </row>
    <row r="77" spans="1:4" x14ac:dyDescent="0.25">
      <c r="A77" s="2">
        <v>72</v>
      </c>
      <c r="B77" s="7">
        <v>0</v>
      </c>
      <c r="C77" s="7">
        <v>0</v>
      </c>
      <c r="D77" s="7">
        <v>0</v>
      </c>
    </row>
    <row r="78" spans="1:4" x14ac:dyDescent="0.25">
      <c r="A78" s="2">
        <v>73</v>
      </c>
      <c r="B78" s="7">
        <v>0</v>
      </c>
      <c r="C78" s="7">
        <v>0</v>
      </c>
      <c r="D78" s="7">
        <v>0</v>
      </c>
    </row>
    <row r="79" spans="1:4" x14ac:dyDescent="0.25">
      <c r="A79" s="2">
        <v>74</v>
      </c>
      <c r="B79" s="7">
        <v>0</v>
      </c>
      <c r="C79" s="7">
        <v>0</v>
      </c>
      <c r="D79" s="7">
        <v>0</v>
      </c>
    </row>
    <row r="80" spans="1:4" x14ac:dyDescent="0.25">
      <c r="A80" s="2">
        <v>75</v>
      </c>
      <c r="B80" s="7">
        <v>0</v>
      </c>
      <c r="C80" s="7">
        <v>0</v>
      </c>
      <c r="D80" s="7">
        <v>0</v>
      </c>
    </row>
    <row r="81" spans="1:4" x14ac:dyDescent="0.25">
      <c r="A81" s="2">
        <v>76</v>
      </c>
      <c r="B81" s="7">
        <v>0</v>
      </c>
      <c r="C81" s="7">
        <v>0</v>
      </c>
      <c r="D81" s="7">
        <v>0</v>
      </c>
    </row>
    <row r="82" spans="1:4" x14ac:dyDescent="0.25">
      <c r="A82" s="2">
        <v>77</v>
      </c>
      <c r="B82" s="7">
        <v>0</v>
      </c>
      <c r="C82" s="7">
        <v>0</v>
      </c>
      <c r="D82" s="7">
        <v>0</v>
      </c>
    </row>
    <row r="83" spans="1:4" x14ac:dyDescent="0.25">
      <c r="A83" s="2">
        <v>78</v>
      </c>
      <c r="B83" s="7">
        <v>0</v>
      </c>
      <c r="C83" s="7">
        <v>0</v>
      </c>
      <c r="D83" s="7">
        <v>0</v>
      </c>
    </row>
    <row r="84" spans="1:4" x14ac:dyDescent="0.25">
      <c r="A84" s="2">
        <v>79</v>
      </c>
      <c r="B84" s="7">
        <v>0</v>
      </c>
      <c r="C84" s="7">
        <v>0</v>
      </c>
      <c r="D84" s="7">
        <v>0</v>
      </c>
    </row>
    <row r="85" spans="1:4" x14ac:dyDescent="0.25">
      <c r="A85" s="2">
        <v>80</v>
      </c>
      <c r="B85" s="7">
        <v>0</v>
      </c>
      <c r="C85" s="7">
        <v>0</v>
      </c>
      <c r="D85" s="7">
        <v>0</v>
      </c>
    </row>
    <row r="86" spans="1:4" x14ac:dyDescent="0.25">
      <c r="A86" s="2">
        <v>81</v>
      </c>
      <c r="B86" s="7">
        <v>0</v>
      </c>
      <c r="C86" s="7">
        <v>0</v>
      </c>
      <c r="D86" s="7">
        <v>0</v>
      </c>
    </row>
    <row r="87" spans="1:4" x14ac:dyDescent="0.25">
      <c r="A87" s="2">
        <v>82</v>
      </c>
      <c r="B87" s="7">
        <v>0</v>
      </c>
      <c r="C87" s="7">
        <v>0</v>
      </c>
      <c r="D87" s="7">
        <v>0</v>
      </c>
    </row>
    <row r="88" spans="1:4" x14ac:dyDescent="0.25">
      <c r="A88" s="2">
        <v>83</v>
      </c>
      <c r="B88" s="7">
        <v>0</v>
      </c>
      <c r="C88" s="7">
        <v>0</v>
      </c>
      <c r="D88" s="7">
        <v>0</v>
      </c>
    </row>
    <row r="89" spans="1:4" x14ac:dyDescent="0.25">
      <c r="A89" s="2">
        <v>84</v>
      </c>
      <c r="B89" s="7">
        <v>0</v>
      </c>
      <c r="C89" s="7">
        <v>0</v>
      </c>
      <c r="D89" s="7">
        <v>0</v>
      </c>
    </row>
    <row r="90" spans="1:4" x14ac:dyDescent="0.25">
      <c r="A90" s="2">
        <v>85</v>
      </c>
      <c r="B90" s="7">
        <v>0</v>
      </c>
      <c r="C90" s="7">
        <v>0</v>
      </c>
      <c r="D90" s="7">
        <v>0</v>
      </c>
    </row>
    <row r="91" spans="1:4" x14ac:dyDescent="0.25">
      <c r="A91" s="2">
        <v>86</v>
      </c>
      <c r="B91" s="7">
        <v>0</v>
      </c>
      <c r="C91" s="7">
        <v>0</v>
      </c>
      <c r="D91" s="7">
        <v>0</v>
      </c>
    </row>
    <row r="92" spans="1:4" x14ac:dyDescent="0.25">
      <c r="A92" s="2">
        <v>87</v>
      </c>
      <c r="B92" s="7">
        <v>0</v>
      </c>
      <c r="C92" s="7">
        <v>0</v>
      </c>
      <c r="D92" s="7">
        <v>0</v>
      </c>
    </row>
    <row r="93" spans="1:4" x14ac:dyDescent="0.25">
      <c r="A93" s="2">
        <v>88</v>
      </c>
      <c r="B93" s="7">
        <v>0</v>
      </c>
      <c r="C93" s="7">
        <v>0</v>
      </c>
      <c r="D93" s="7">
        <v>0</v>
      </c>
    </row>
    <row r="94" spans="1:4" x14ac:dyDescent="0.25">
      <c r="A94" s="2">
        <v>89</v>
      </c>
      <c r="B94" s="7">
        <v>0</v>
      </c>
      <c r="C94" s="7">
        <v>0</v>
      </c>
      <c r="D94" s="7">
        <v>0</v>
      </c>
    </row>
    <row r="95" spans="1:4" x14ac:dyDescent="0.25">
      <c r="A95" s="2">
        <v>90</v>
      </c>
      <c r="B95" s="7">
        <v>0</v>
      </c>
      <c r="C95" s="7">
        <v>0</v>
      </c>
      <c r="D95" s="7">
        <v>0</v>
      </c>
    </row>
    <row r="96" spans="1:4" x14ac:dyDescent="0.25">
      <c r="A96" s="2">
        <v>91</v>
      </c>
      <c r="B96" s="7">
        <v>0</v>
      </c>
      <c r="C96" s="7">
        <v>0</v>
      </c>
      <c r="D96" s="7">
        <v>0</v>
      </c>
    </row>
    <row r="97" spans="1:4" x14ac:dyDescent="0.25">
      <c r="A97" s="2">
        <v>92</v>
      </c>
      <c r="B97" s="7">
        <v>0</v>
      </c>
      <c r="C97" s="7">
        <v>0</v>
      </c>
      <c r="D97" s="7">
        <v>0</v>
      </c>
    </row>
    <row r="98" spans="1:4" x14ac:dyDescent="0.25">
      <c r="A98" s="2">
        <v>93</v>
      </c>
      <c r="B98" s="7">
        <v>0</v>
      </c>
      <c r="C98" s="7">
        <v>0</v>
      </c>
      <c r="D98" s="7">
        <v>0</v>
      </c>
    </row>
    <row r="99" spans="1:4" x14ac:dyDescent="0.25">
      <c r="A99" s="2">
        <v>94</v>
      </c>
      <c r="B99" s="7">
        <v>0</v>
      </c>
      <c r="C99" s="7">
        <v>0</v>
      </c>
      <c r="D99" s="7">
        <v>0</v>
      </c>
    </row>
    <row r="100" spans="1:4" x14ac:dyDescent="0.25">
      <c r="A100" s="2">
        <v>95</v>
      </c>
      <c r="B100" s="7">
        <v>0</v>
      </c>
      <c r="C100" s="7">
        <v>0</v>
      </c>
      <c r="D100" s="7">
        <v>0</v>
      </c>
    </row>
    <row r="101" spans="1:4" x14ac:dyDescent="0.25">
      <c r="A101" s="2">
        <v>96</v>
      </c>
      <c r="B101" s="7">
        <v>0</v>
      </c>
      <c r="C101" s="7">
        <v>0</v>
      </c>
      <c r="D101" s="7">
        <v>0</v>
      </c>
    </row>
    <row r="102" spans="1:4" x14ac:dyDescent="0.25">
      <c r="A102" s="2">
        <v>97</v>
      </c>
      <c r="B102" s="7">
        <v>0</v>
      </c>
      <c r="C102" s="7">
        <v>0</v>
      </c>
      <c r="D102" s="7">
        <v>0</v>
      </c>
    </row>
    <row r="103" spans="1:4" x14ac:dyDescent="0.25">
      <c r="A103" s="2">
        <v>98</v>
      </c>
      <c r="B103" s="7">
        <v>0</v>
      </c>
      <c r="C103" s="7">
        <v>0</v>
      </c>
      <c r="D103" s="7">
        <v>0</v>
      </c>
    </row>
    <row r="104" spans="1:4" x14ac:dyDescent="0.25">
      <c r="A104" s="2">
        <v>99</v>
      </c>
      <c r="B104" s="7">
        <v>0</v>
      </c>
      <c r="C104" s="7">
        <v>0</v>
      </c>
      <c r="D104" s="7">
        <v>0</v>
      </c>
    </row>
    <row r="105" spans="1:4" x14ac:dyDescent="0.25">
      <c r="A105" s="2">
        <v>100</v>
      </c>
      <c r="B105" s="7">
        <v>0</v>
      </c>
      <c r="C105" s="7">
        <v>0</v>
      </c>
      <c r="D105" s="7">
        <v>0</v>
      </c>
    </row>
    <row r="106" spans="1:4" x14ac:dyDescent="0.25">
      <c r="A106" s="2">
        <v>101</v>
      </c>
      <c r="B106" s="7">
        <v>0</v>
      </c>
      <c r="C106" s="7">
        <v>0</v>
      </c>
      <c r="D106" s="7">
        <v>0</v>
      </c>
    </row>
    <row r="107" spans="1:4" x14ac:dyDescent="0.25">
      <c r="A107" s="2">
        <v>102</v>
      </c>
      <c r="B107" s="7">
        <v>0</v>
      </c>
      <c r="C107" s="7">
        <v>0</v>
      </c>
      <c r="D107" s="7">
        <v>0</v>
      </c>
    </row>
    <row r="108" spans="1:4" x14ac:dyDescent="0.25">
      <c r="A108" s="2">
        <v>103</v>
      </c>
      <c r="B108" s="7">
        <v>0</v>
      </c>
      <c r="C108" s="7">
        <v>0</v>
      </c>
      <c r="D108" s="7">
        <v>0</v>
      </c>
    </row>
    <row r="109" spans="1:4" x14ac:dyDescent="0.25">
      <c r="A109" s="2">
        <v>104</v>
      </c>
      <c r="B109" s="7">
        <v>0</v>
      </c>
      <c r="C109" s="7">
        <v>0</v>
      </c>
      <c r="D109" s="7">
        <v>0</v>
      </c>
    </row>
    <row r="110" spans="1:4" x14ac:dyDescent="0.25">
      <c r="A110" s="2">
        <v>105</v>
      </c>
      <c r="B110" s="7">
        <v>0</v>
      </c>
      <c r="C110" s="7">
        <v>0</v>
      </c>
      <c r="D110" s="7">
        <v>0</v>
      </c>
    </row>
    <row r="111" spans="1:4" x14ac:dyDescent="0.25">
      <c r="A111" s="2">
        <v>106</v>
      </c>
      <c r="B111" s="7">
        <v>0</v>
      </c>
      <c r="C111" s="7">
        <v>0</v>
      </c>
      <c r="D111" s="7">
        <v>0</v>
      </c>
    </row>
    <row r="112" spans="1:4" x14ac:dyDescent="0.25">
      <c r="A112" s="2">
        <v>107</v>
      </c>
      <c r="B112" s="7">
        <v>0</v>
      </c>
      <c r="C112" s="7">
        <v>0</v>
      </c>
      <c r="D112" s="7">
        <v>0</v>
      </c>
    </row>
    <row r="113" spans="1:4" x14ac:dyDescent="0.25">
      <c r="A113" s="2">
        <v>108</v>
      </c>
      <c r="B113" s="7">
        <v>0</v>
      </c>
      <c r="C113" s="7">
        <v>0</v>
      </c>
      <c r="D113" s="7">
        <v>0</v>
      </c>
    </row>
    <row r="114" spans="1:4" x14ac:dyDescent="0.25">
      <c r="A114" s="2">
        <v>109</v>
      </c>
      <c r="B114" s="7">
        <v>0</v>
      </c>
      <c r="C114" s="7">
        <v>0</v>
      </c>
      <c r="D114" s="7">
        <v>0</v>
      </c>
    </row>
    <row r="115" spans="1:4" x14ac:dyDescent="0.25">
      <c r="A115" s="2">
        <v>110</v>
      </c>
      <c r="B115" s="7">
        <v>0</v>
      </c>
      <c r="C115" s="7">
        <v>0</v>
      </c>
      <c r="D115" s="7">
        <v>0</v>
      </c>
    </row>
    <row r="116" spans="1:4" x14ac:dyDescent="0.25">
      <c r="A116" s="2">
        <v>111</v>
      </c>
      <c r="B116" s="7">
        <v>0</v>
      </c>
      <c r="C116" s="7">
        <v>0</v>
      </c>
      <c r="D116" s="7">
        <v>0</v>
      </c>
    </row>
    <row r="117" spans="1:4" x14ac:dyDescent="0.25">
      <c r="A117" s="2">
        <v>112</v>
      </c>
      <c r="B117" s="7">
        <v>0</v>
      </c>
      <c r="C117" s="7">
        <v>0</v>
      </c>
      <c r="D117" s="7">
        <v>0</v>
      </c>
    </row>
    <row r="118" spans="1:4" x14ac:dyDescent="0.25">
      <c r="A118" s="2">
        <v>113</v>
      </c>
      <c r="B118" s="7">
        <v>0</v>
      </c>
      <c r="C118" s="7">
        <v>0</v>
      </c>
      <c r="D118" s="7">
        <v>0</v>
      </c>
    </row>
    <row r="119" spans="1:4" x14ac:dyDescent="0.25">
      <c r="A119" s="2">
        <v>114</v>
      </c>
      <c r="B119" s="7">
        <v>0</v>
      </c>
      <c r="C119" s="7">
        <v>0</v>
      </c>
      <c r="D119" s="7">
        <v>0</v>
      </c>
    </row>
    <row r="120" spans="1:4" x14ac:dyDescent="0.25">
      <c r="A120" s="2">
        <v>115</v>
      </c>
      <c r="B120" s="7">
        <v>0</v>
      </c>
      <c r="C120" s="7">
        <v>0</v>
      </c>
      <c r="D120" s="7">
        <v>0</v>
      </c>
    </row>
    <row r="121" spans="1:4" x14ac:dyDescent="0.25">
      <c r="A121" s="2">
        <v>116</v>
      </c>
      <c r="B121" s="7">
        <v>0</v>
      </c>
      <c r="C121" s="7">
        <v>0</v>
      </c>
      <c r="D121" s="7">
        <v>0</v>
      </c>
    </row>
    <row r="122" spans="1:4" x14ac:dyDescent="0.25">
      <c r="A122" s="2">
        <v>117</v>
      </c>
      <c r="B122" s="7">
        <v>0</v>
      </c>
      <c r="C122" s="7">
        <v>0</v>
      </c>
      <c r="D122" s="7">
        <v>0</v>
      </c>
    </row>
    <row r="123" spans="1:4" x14ac:dyDescent="0.25">
      <c r="A123" s="2">
        <v>118</v>
      </c>
      <c r="B123" s="7">
        <v>0</v>
      </c>
      <c r="C123" s="7">
        <v>0</v>
      </c>
      <c r="D123" s="7">
        <v>0</v>
      </c>
    </row>
    <row r="124" spans="1:4" x14ac:dyDescent="0.25">
      <c r="A124" s="2">
        <v>119</v>
      </c>
      <c r="B124" s="7">
        <v>0</v>
      </c>
      <c r="C124" s="7">
        <v>0</v>
      </c>
      <c r="D124" s="7">
        <v>0</v>
      </c>
    </row>
    <row r="125" spans="1:4" x14ac:dyDescent="0.25">
      <c r="A125" s="2">
        <v>120</v>
      </c>
      <c r="B125" s="7">
        <v>0</v>
      </c>
      <c r="C125" s="7">
        <v>0</v>
      </c>
      <c r="D125" s="7">
        <v>0</v>
      </c>
    </row>
    <row r="126" spans="1:4" x14ac:dyDescent="0.25">
      <c r="A126" s="2">
        <v>121</v>
      </c>
      <c r="B126" s="7">
        <v>0</v>
      </c>
      <c r="C126" s="7">
        <v>0</v>
      </c>
      <c r="D126" s="7">
        <v>0</v>
      </c>
    </row>
    <row r="127" spans="1:4" x14ac:dyDescent="0.25">
      <c r="A127" s="2">
        <v>122</v>
      </c>
      <c r="B127" s="7">
        <v>0</v>
      </c>
      <c r="C127" s="7">
        <v>0</v>
      </c>
      <c r="D127" s="7">
        <v>0</v>
      </c>
    </row>
    <row r="128" spans="1:4" x14ac:dyDescent="0.25">
      <c r="A128" s="2">
        <v>123</v>
      </c>
      <c r="B128" s="7">
        <v>0</v>
      </c>
      <c r="C128" s="7">
        <v>0</v>
      </c>
      <c r="D128" s="7">
        <v>0</v>
      </c>
    </row>
    <row r="129" spans="1:4" x14ac:dyDescent="0.25">
      <c r="A129" s="2">
        <v>124</v>
      </c>
      <c r="B129" s="7">
        <v>0</v>
      </c>
      <c r="C129" s="7">
        <v>0</v>
      </c>
      <c r="D129" s="7">
        <v>0</v>
      </c>
    </row>
    <row r="130" spans="1:4" x14ac:dyDescent="0.25">
      <c r="A130" s="2">
        <v>125</v>
      </c>
      <c r="B130" s="7">
        <v>0</v>
      </c>
      <c r="C130" s="7">
        <v>0</v>
      </c>
      <c r="D130" s="7">
        <v>0</v>
      </c>
    </row>
    <row r="131" spans="1:4" x14ac:dyDescent="0.25">
      <c r="A131" s="2">
        <v>126</v>
      </c>
      <c r="B131" s="7">
        <v>0</v>
      </c>
      <c r="C131" s="7">
        <v>0</v>
      </c>
      <c r="D131" s="7">
        <v>0</v>
      </c>
    </row>
    <row r="132" spans="1:4" x14ac:dyDescent="0.25">
      <c r="A132" s="2">
        <v>127</v>
      </c>
      <c r="B132" s="7">
        <v>0</v>
      </c>
      <c r="C132" s="7">
        <v>0</v>
      </c>
      <c r="D132" s="7">
        <v>0</v>
      </c>
    </row>
    <row r="133" spans="1:4" x14ac:dyDescent="0.25">
      <c r="A133" s="2">
        <v>128</v>
      </c>
      <c r="B133" s="7">
        <v>0</v>
      </c>
      <c r="C133" s="7">
        <v>0</v>
      </c>
      <c r="D133" s="7">
        <v>0</v>
      </c>
    </row>
    <row r="134" spans="1:4" x14ac:dyDescent="0.25">
      <c r="A134" s="2">
        <v>129</v>
      </c>
      <c r="B134" s="7">
        <v>0</v>
      </c>
      <c r="C134" s="7">
        <v>0</v>
      </c>
      <c r="D134" s="7">
        <v>0</v>
      </c>
    </row>
    <row r="135" spans="1:4" x14ac:dyDescent="0.25">
      <c r="A135" s="2">
        <v>130</v>
      </c>
      <c r="B135" s="7">
        <v>0</v>
      </c>
      <c r="C135" s="7">
        <v>0</v>
      </c>
      <c r="D135" s="7">
        <v>0</v>
      </c>
    </row>
    <row r="136" spans="1:4" x14ac:dyDescent="0.25">
      <c r="A136" s="2">
        <v>131</v>
      </c>
      <c r="B136" s="7">
        <v>0</v>
      </c>
      <c r="C136" s="7">
        <v>0</v>
      </c>
      <c r="D136" s="7">
        <v>0</v>
      </c>
    </row>
    <row r="137" spans="1:4" x14ac:dyDescent="0.25">
      <c r="A137" s="2">
        <v>132</v>
      </c>
      <c r="B137" s="7">
        <v>0</v>
      </c>
      <c r="C137" s="7">
        <v>0</v>
      </c>
      <c r="D137" s="7">
        <v>0</v>
      </c>
    </row>
    <row r="138" spans="1:4" x14ac:dyDescent="0.25">
      <c r="A138" s="2">
        <v>133</v>
      </c>
      <c r="B138" s="7">
        <v>0</v>
      </c>
      <c r="C138" s="7">
        <v>0</v>
      </c>
      <c r="D138" s="7">
        <v>0</v>
      </c>
    </row>
    <row r="139" spans="1:4" x14ac:dyDescent="0.25">
      <c r="A139" s="2">
        <v>134</v>
      </c>
      <c r="B139" s="7">
        <v>0</v>
      </c>
      <c r="C139" s="7">
        <v>0</v>
      </c>
      <c r="D139" s="7">
        <v>0</v>
      </c>
    </row>
    <row r="140" spans="1:4" x14ac:dyDescent="0.25">
      <c r="A140" s="2">
        <v>135</v>
      </c>
      <c r="B140" s="7">
        <v>0</v>
      </c>
      <c r="C140" s="7">
        <v>0</v>
      </c>
      <c r="D140" s="7">
        <v>0</v>
      </c>
    </row>
    <row r="141" spans="1:4" x14ac:dyDescent="0.25">
      <c r="A141" s="2">
        <v>136</v>
      </c>
      <c r="B141" s="7">
        <v>0</v>
      </c>
      <c r="C141" s="7">
        <v>0</v>
      </c>
      <c r="D141" s="7">
        <v>0</v>
      </c>
    </row>
    <row r="142" spans="1:4" x14ac:dyDescent="0.25">
      <c r="A142" s="2">
        <v>137</v>
      </c>
      <c r="B142" s="7">
        <v>0</v>
      </c>
      <c r="C142" s="7">
        <v>0</v>
      </c>
      <c r="D142" s="7">
        <v>0</v>
      </c>
    </row>
    <row r="143" spans="1:4" x14ac:dyDescent="0.25">
      <c r="A143" s="2">
        <v>138</v>
      </c>
      <c r="B143" s="7">
        <v>0</v>
      </c>
      <c r="C143" s="7">
        <v>0</v>
      </c>
      <c r="D143" s="7">
        <v>0</v>
      </c>
    </row>
    <row r="144" spans="1:4" x14ac:dyDescent="0.25">
      <c r="A144" s="2">
        <v>139</v>
      </c>
      <c r="B144" s="7">
        <v>0</v>
      </c>
      <c r="C144" s="7">
        <v>0</v>
      </c>
      <c r="D144" s="7">
        <v>0</v>
      </c>
    </row>
    <row r="145" spans="1:4" x14ac:dyDescent="0.25">
      <c r="A145" s="2">
        <v>140</v>
      </c>
      <c r="B145" s="7">
        <v>0</v>
      </c>
      <c r="C145" s="7">
        <v>0</v>
      </c>
      <c r="D145" s="7">
        <v>0</v>
      </c>
    </row>
    <row r="146" spans="1:4" x14ac:dyDescent="0.25">
      <c r="A146" s="2">
        <v>141</v>
      </c>
      <c r="B146" s="7">
        <v>0</v>
      </c>
      <c r="C146" s="7">
        <v>0</v>
      </c>
      <c r="D146" s="7">
        <v>0</v>
      </c>
    </row>
    <row r="147" spans="1:4" x14ac:dyDescent="0.25">
      <c r="A147" s="2">
        <v>142</v>
      </c>
      <c r="B147" s="7">
        <v>0</v>
      </c>
      <c r="C147" s="7">
        <v>0</v>
      </c>
      <c r="D147" s="7">
        <v>0</v>
      </c>
    </row>
    <row r="148" spans="1:4" x14ac:dyDescent="0.25">
      <c r="A148" s="2">
        <v>143</v>
      </c>
      <c r="B148" s="7">
        <v>0</v>
      </c>
      <c r="C148" s="7">
        <v>0</v>
      </c>
      <c r="D148" s="7">
        <v>0</v>
      </c>
    </row>
    <row r="149" spans="1:4" x14ac:dyDescent="0.25">
      <c r="A149" s="2">
        <v>144</v>
      </c>
      <c r="B149" s="7">
        <v>0</v>
      </c>
      <c r="C149" s="7">
        <v>0</v>
      </c>
      <c r="D149" s="7">
        <v>0</v>
      </c>
    </row>
    <row r="150" spans="1:4" x14ac:dyDescent="0.25">
      <c r="A150" s="2">
        <v>145</v>
      </c>
      <c r="B150" s="7">
        <v>0</v>
      </c>
      <c r="C150" s="7">
        <v>0</v>
      </c>
      <c r="D150" s="7">
        <v>0</v>
      </c>
    </row>
    <row r="151" spans="1:4" x14ac:dyDescent="0.25">
      <c r="A151" s="2">
        <v>146</v>
      </c>
      <c r="B151" s="7">
        <v>0</v>
      </c>
      <c r="C151" s="7">
        <v>0</v>
      </c>
      <c r="D151" s="7">
        <v>0</v>
      </c>
    </row>
    <row r="152" spans="1:4" x14ac:dyDescent="0.25">
      <c r="A152" s="2">
        <v>147</v>
      </c>
      <c r="B152" s="7">
        <v>0</v>
      </c>
      <c r="C152" s="7">
        <v>0</v>
      </c>
      <c r="D152" s="7">
        <v>0</v>
      </c>
    </row>
    <row r="153" spans="1:4" x14ac:dyDescent="0.25">
      <c r="A153" s="2">
        <v>148</v>
      </c>
      <c r="B153" s="7">
        <v>0</v>
      </c>
      <c r="C153" s="7">
        <v>0</v>
      </c>
      <c r="D153" s="7">
        <v>0</v>
      </c>
    </row>
    <row r="154" spans="1:4" x14ac:dyDescent="0.25">
      <c r="A154" s="2">
        <v>149</v>
      </c>
      <c r="B154" s="7">
        <v>0</v>
      </c>
      <c r="C154" s="7">
        <v>0</v>
      </c>
      <c r="D154" s="7">
        <v>0</v>
      </c>
    </row>
    <row r="155" spans="1:4" x14ac:dyDescent="0.25">
      <c r="A155" s="2">
        <v>150</v>
      </c>
      <c r="B155" s="7">
        <v>0</v>
      </c>
      <c r="C155" s="7">
        <v>0</v>
      </c>
      <c r="D155" s="7">
        <v>0</v>
      </c>
    </row>
    <row r="156" spans="1:4" x14ac:dyDescent="0.25">
      <c r="A156" s="2">
        <v>151</v>
      </c>
      <c r="B156" s="7">
        <v>0</v>
      </c>
      <c r="C156" s="7">
        <v>0</v>
      </c>
      <c r="D156" s="7">
        <v>0</v>
      </c>
    </row>
    <row r="157" spans="1:4" x14ac:dyDescent="0.25">
      <c r="A157" s="2">
        <v>152</v>
      </c>
      <c r="B157" s="7">
        <v>0</v>
      </c>
      <c r="C157" s="7">
        <v>0</v>
      </c>
      <c r="D157" s="7">
        <v>0</v>
      </c>
    </row>
    <row r="158" spans="1:4" x14ac:dyDescent="0.25">
      <c r="A158" s="2">
        <v>153</v>
      </c>
      <c r="B158" s="7">
        <v>0</v>
      </c>
      <c r="C158" s="7">
        <v>0</v>
      </c>
      <c r="D158" s="7">
        <v>0</v>
      </c>
    </row>
    <row r="159" spans="1:4" x14ac:dyDescent="0.25">
      <c r="A159" s="2">
        <v>154</v>
      </c>
      <c r="B159" s="7">
        <v>0</v>
      </c>
      <c r="C159" s="7">
        <v>0</v>
      </c>
      <c r="D159" s="7">
        <v>0</v>
      </c>
    </row>
    <row r="160" spans="1:4" x14ac:dyDescent="0.25">
      <c r="A160" s="2">
        <v>155</v>
      </c>
      <c r="B160" s="7">
        <v>0</v>
      </c>
      <c r="C160" s="7">
        <v>0</v>
      </c>
      <c r="D160" s="7">
        <v>0</v>
      </c>
    </row>
    <row r="161" spans="1:4" x14ac:dyDescent="0.25">
      <c r="A161" s="2">
        <v>156</v>
      </c>
      <c r="B161" s="7">
        <v>0</v>
      </c>
      <c r="C161" s="7">
        <v>0</v>
      </c>
      <c r="D161" s="7">
        <v>0</v>
      </c>
    </row>
    <row r="162" spans="1:4" x14ac:dyDescent="0.25">
      <c r="A162" s="2">
        <v>157</v>
      </c>
      <c r="B162" s="7">
        <v>0</v>
      </c>
      <c r="C162" s="7">
        <v>0</v>
      </c>
      <c r="D162" s="7">
        <v>0</v>
      </c>
    </row>
    <row r="163" spans="1:4" x14ac:dyDescent="0.25">
      <c r="A163" s="2">
        <v>158</v>
      </c>
      <c r="B163" s="7">
        <v>0</v>
      </c>
      <c r="C163" s="7">
        <v>0</v>
      </c>
      <c r="D163" s="7">
        <v>0</v>
      </c>
    </row>
    <row r="164" spans="1:4" x14ac:dyDescent="0.25">
      <c r="A164" s="2">
        <v>159</v>
      </c>
      <c r="B164" s="7">
        <v>0</v>
      </c>
      <c r="C164" s="7">
        <v>0</v>
      </c>
      <c r="D164" s="7">
        <v>0</v>
      </c>
    </row>
    <row r="165" spans="1:4" x14ac:dyDescent="0.25">
      <c r="A165" s="2">
        <v>160</v>
      </c>
      <c r="B165" s="7">
        <v>0</v>
      </c>
      <c r="C165" s="7">
        <v>0</v>
      </c>
      <c r="D165" s="7">
        <v>0</v>
      </c>
    </row>
    <row r="166" spans="1:4" x14ac:dyDescent="0.25">
      <c r="A166" s="2">
        <v>161</v>
      </c>
      <c r="B166" s="7">
        <v>0</v>
      </c>
      <c r="C166" s="7">
        <v>0</v>
      </c>
      <c r="D166" s="7">
        <v>0</v>
      </c>
    </row>
    <row r="167" spans="1:4" x14ac:dyDescent="0.25">
      <c r="A167" s="2">
        <v>162</v>
      </c>
      <c r="B167" s="7">
        <v>0</v>
      </c>
      <c r="C167" s="7">
        <v>0</v>
      </c>
      <c r="D167" s="7">
        <v>0</v>
      </c>
    </row>
    <row r="168" spans="1:4" x14ac:dyDescent="0.25">
      <c r="A168" s="2">
        <v>163</v>
      </c>
      <c r="B168" s="7">
        <v>0</v>
      </c>
      <c r="C168" s="7">
        <v>0</v>
      </c>
      <c r="D168" s="7">
        <v>0</v>
      </c>
    </row>
    <row r="169" spans="1:4" x14ac:dyDescent="0.25">
      <c r="A169" s="2">
        <v>164</v>
      </c>
      <c r="B169" s="7">
        <v>0</v>
      </c>
      <c r="C169" s="7">
        <v>0</v>
      </c>
      <c r="D169" s="7">
        <v>0</v>
      </c>
    </row>
    <row r="170" spans="1:4" x14ac:dyDescent="0.25">
      <c r="A170" s="2">
        <v>165</v>
      </c>
      <c r="B170" s="7">
        <v>0</v>
      </c>
      <c r="C170" s="7">
        <v>0</v>
      </c>
      <c r="D170" s="7">
        <v>0</v>
      </c>
    </row>
    <row r="171" spans="1:4" x14ac:dyDescent="0.25">
      <c r="A171" s="2">
        <v>166</v>
      </c>
      <c r="B171" s="7">
        <v>0</v>
      </c>
      <c r="C171" s="7">
        <v>0</v>
      </c>
      <c r="D171" s="7">
        <v>0</v>
      </c>
    </row>
    <row r="172" spans="1:4" x14ac:dyDescent="0.25">
      <c r="A172" s="2">
        <v>167</v>
      </c>
      <c r="B172" s="7">
        <v>0</v>
      </c>
      <c r="C172" s="7">
        <v>0</v>
      </c>
      <c r="D172" s="7">
        <v>0</v>
      </c>
    </row>
    <row r="173" spans="1:4" x14ac:dyDescent="0.25">
      <c r="A173" s="2">
        <v>168</v>
      </c>
      <c r="B173" s="7">
        <v>0</v>
      </c>
      <c r="C173" s="7">
        <v>0</v>
      </c>
      <c r="D173" s="7">
        <v>0</v>
      </c>
    </row>
    <row r="174" spans="1:4" x14ac:dyDescent="0.25">
      <c r="A174" s="2">
        <v>169</v>
      </c>
      <c r="B174" s="7">
        <v>0</v>
      </c>
      <c r="C174" s="7">
        <v>0</v>
      </c>
      <c r="D174" s="7">
        <v>0</v>
      </c>
    </row>
    <row r="175" spans="1:4" x14ac:dyDescent="0.25">
      <c r="A175" s="2">
        <v>170</v>
      </c>
      <c r="B175" s="7">
        <v>0</v>
      </c>
      <c r="C175" s="7">
        <v>0</v>
      </c>
      <c r="D175" s="7">
        <v>0</v>
      </c>
    </row>
    <row r="176" spans="1:4" x14ac:dyDescent="0.25">
      <c r="A176" s="2">
        <v>171</v>
      </c>
      <c r="B176" s="7">
        <v>0</v>
      </c>
      <c r="C176" s="7">
        <v>0</v>
      </c>
      <c r="D176" s="7">
        <v>0</v>
      </c>
    </row>
    <row r="177" spans="1:4" x14ac:dyDescent="0.25">
      <c r="A177" s="2">
        <v>172</v>
      </c>
      <c r="B177" s="7">
        <v>0</v>
      </c>
      <c r="C177" s="7">
        <v>0</v>
      </c>
      <c r="D177" s="7">
        <v>0</v>
      </c>
    </row>
    <row r="178" spans="1:4" x14ac:dyDescent="0.25">
      <c r="A178" s="2">
        <v>173</v>
      </c>
      <c r="B178" s="7">
        <v>0</v>
      </c>
      <c r="C178" s="7">
        <v>0</v>
      </c>
      <c r="D178" s="7">
        <v>0</v>
      </c>
    </row>
    <row r="179" spans="1:4" x14ac:dyDescent="0.25">
      <c r="A179" s="2">
        <v>174</v>
      </c>
      <c r="B179" s="7">
        <v>0</v>
      </c>
      <c r="C179" s="7">
        <v>0</v>
      </c>
      <c r="D179" s="7">
        <v>0</v>
      </c>
    </row>
    <row r="180" spans="1:4" x14ac:dyDescent="0.25">
      <c r="A180" s="2">
        <v>175</v>
      </c>
      <c r="B180" s="7">
        <v>0</v>
      </c>
      <c r="C180" s="7">
        <v>0</v>
      </c>
      <c r="D180" s="7">
        <v>0</v>
      </c>
    </row>
    <row r="181" spans="1:4" x14ac:dyDescent="0.25">
      <c r="A181" s="2">
        <v>176</v>
      </c>
      <c r="B181" s="7">
        <v>0</v>
      </c>
      <c r="C181" s="7">
        <v>0</v>
      </c>
      <c r="D181" s="7">
        <v>0</v>
      </c>
    </row>
    <row r="182" spans="1:4" x14ac:dyDescent="0.25">
      <c r="A182" s="2">
        <v>177</v>
      </c>
      <c r="B182" s="7">
        <v>0</v>
      </c>
      <c r="C182" s="7">
        <v>0</v>
      </c>
      <c r="D182" s="7">
        <v>0</v>
      </c>
    </row>
    <row r="183" spans="1:4" x14ac:dyDescent="0.25">
      <c r="A183" s="2">
        <v>178</v>
      </c>
      <c r="B183" s="7">
        <v>0</v>
      </c>
      <c r="C183" s="7">
        <v>0</v>
      </c>
      <c r="D183" s="7">
        <v>0</v>
      </c>
    </row>
    <row r="184" spans="1:4" x14ac:dyDescent="0.25">
      <c r="A184" s="2">
        <v>179</v>
      </c>
      <c r="B184" s="7">
        <v>0</v>
      </c>
      <c r="C184" s="7">
        <v>0</v>
      </c>
      <c r="D184" s="7">
        <v>0</v>
      </c>
    </row>
    <row r="185" spans="1:4" x14ac:dyDescent="0.25">
      <c r="A185" s="2">
        <v>180</v>
      </c>
      <c r="B185" s="7">
        <v>0</v>
      </c>
      <c r="C185" s="7">
        <v>0</v>
      </c>
      <c r="D185" s="7">
        <v>0</v>
      </c>
    </row>
    <row r="186" spans="1:4" x14ac:dyDescent="0.25">
      <c r="A186" s="2">
        <v>181</v>
      </c>
      <c r="B186" s="7">
        <v>0</v>
      </c>
      <c r="C186" s="7">
        <v>0</v>
      </c>
      <c r="D186" s="7">
        <v>0</v>
      </c>
    </row>
    <row r="187" spans="1:4" x14ac:dyDescent="0.25">
      <c r="A187" s="2">
        <v>182</v>
      </c>
      <c r="B187" s="7">
        <v>0</v>
      </c>
      <c r="C187" s="7">
        <v>0</v>
      </c>
      <c r="D187" s="7">
        <v>0</v>
      </c>
    </row>
    <row r="188" spans="1:4" x14ac:dyDescent="0.25">
      <c r="A188" s="2">
        <v>183</v>
      </c>
      <c r="B188" s="7">
        <v>0</v>
      </c>
      <c r="C188" s="7">
        <v>0</v>
      </c>
      <c r="D188" s="7">
        <v>0</v>
      </c>
    </row>
    <row r="189" spans="1:4" x14ac:dyDescent="0.25">
      <c r="A189" s="2">
        <v>184</v>
      </c>
      <c r="B189" s="7">
        <v>0</v>
      </c>
      <c r="C189" s="7">
        <v>0</v>
      </c>
      <c r="D189" s="7">
        <v>0</v>
      </c>
    </row>
    <row r="190" spans="1:4" x14ac:dyDescent="0.25">
      <c r="A190" s="2">
        <v>185</v>
      </c>
      <c r="B190" s="7">
        <v>0</v>
      </c>
      <c r="C190" s="7">
        <v>0</v>
      </c>
      <c r="D190" s="7">
        <v>0</v>
      </c>
    </row>
    <row r="191" spans="1:4" x14ac:dyDescent="0.25">
      <c r="A191" s="2">
        <v>186</v>
      </c>
      <c r="B191" s="7">
        <v>0</v>
      </c>
      <c r="C191" s="7">
        <v>0</v>
      </c>
      <c r="D191" s="7">
        <v>0</v>
      </c>
    </row>
    <row r="192" spans="1:4" x14ac:dyDescent="0.25">
      <c r="A192" s="2">
        <v>187</v>
      </c>
      <c r="B192" s="7">
        <v>0</v>
      </c>
      <c r="C192" s="7">
        <v>0</v>
      </c>
      <c r="D192" s="7">
        <v>0</v>
      </c>
    </row>
    <row r="193" spans="1:4" x14ac:dyDescent="0.25">
      <c r="A193" s="2">
        <v>188</v>
      </c>
      <c r="B193" s="7">
        <v>0</v>
      </c>
      <c r="C193" s="7">
        <v>0</v>
      </c>
      <c r="D193" s="7">
        <v>0</v>
      </c>
    </row>
    <row r="194" spans="1:4" x14ac:dyDescent="0.25">
      <c r="A194" s="2">
        <v>189</v>
      </c>
      <c r="B194" s="7">
        <v>0</v>
      </c>
      <c r="C194" s="7">
        <v>0</v>
      </c>
      <c r="D194" s="7">
        <v>0</v>
      </c>
    </row>
    <row r="195" spans="1:4" x14ac:dyDescent="0.25">
      <c r="A195" s="2">
        <v>190</v>
      </c>
      <c r="B195" s="7">
        <v>0</v>
      </c>
      <c r="C195" s="7">
        <v>0</v>
      </c>
      <c r="D195" s="7">
        <v>0</v>
      </c>
    </row>
    <row r="196" spans="1:4" x14ac:dyDescent="0.25">
      <c r="A196" s="2">
        <v>191</v>
      </c>
      <c r="B196" s="7">
        <v>0</v>
      </c>
      <c r="C196" s="7">
        <v>0</v>
      </c>
      <c r="D196" s="7">
        <v>0</v>
      </c>
    </row>
    <row r="197" spans="1:4" x14ac:dyDescent="0.25">
      <c r="A197" s="2">
        <v>192</v>
      </c>
      <c r="B197" s="7">
        <v>0</v>
      </c>
      <c r="C197" s="7">
        <v>0</v>
      </c>
      <c r="D197" s="7">
        <v>0</v>
      </c>
    </row>
    <row r="198" spans="1:4" x14ac:dyDescent="0.25">
      <c r="A198" s="2">
        <v>193</v>
      </c>
      <c r="B198" s="7">
        <v>0</v>
      </c>
      <c r="C198" s="7">
        <v>0</v>
      </c>
      <c r="D198" s="7">
        <v>0</v>
      </c>
    </row>
    <row r="199" spans="1:4" x14ac:dyDescent="0.25">
      <c r="A199" s="2">
        <v>194</v>
      </c>
      <c r="B199" s="7">
        <v>0</v>
      </c>
      <c r="C199" s="7">
        <v>0</v>
      </c>
      <c r="D199" s="7">
        <v>0</v>
      </c>
    </row>
    <row r="200" spans="1:4" x14ac:dyDescent="0.25">
      <c r="A200" s="2">
        <v>195</v>
      </c>
      <c r="B200" s="7">
        <v>0</v>
      </c>
      <c r="C200" s="7">
        <v>0</v>
      </c>
      <c r="D200" s="7">
        <v>0</v>
      </c>
    </row>
    <row r="201" spans="1:4" x14ac:dyDescent="0.25">
      <c r="A201" s="2">
        <v>196</v>
      </c>
      <c r="B201" s="7">
        <v>0</v>
      </c>
      <c r="C201" s="7">
        <v>0</v>
      </c>
      <c r="D201" s="7">
        <v>0</v>
      </c>
    </row>
    <row r="202" spans="1:4" x14ac:dyDescent="0.25">
      <c r="A202" s="2">
        <v>197</v>
      </c>
      <c r="B202" s="7">
        <v>0</v>
      </c>
      <c r="C202" s="7">
        <v>0</v>
      </c>
      <c r="D202" s="7">
        <v>0</v>
      </c>
    </row>
    <row r="203" spans="1:4" x14ac:dyDescent="0.25">
      <c r="A203" s="2">
        <v>198</v>
      </c>
      <c r="B203" s="7">
        <v>0</v>
      </c>
      <c r="C203" s="7">
        <v>0</v>
      </c>
      <c r="D203" s="7">
        <v>0</v>
      </c>
    </row>
    <row r="204" spans="1:4" x14ac:dyDescent="0.25">
      <c r="A204" s="2">
        <v>199</v>
      </c>
      <c r="B204" s="7">
        <v>0</v>
      </c>
      <c r="C204" s="7">
        <v>0</v>
      </c>
      <c r="D204" s="7">
        <v>0</v>
      </c>
    </row>
    <row r="205" spans="1:4" x14ac:dyDescent="0.25">
      <c r="A205" s="2">
        <v>200</v>
      </c>
      <c r="B205" s="7">
        <v>0</v>
      </c>
      <c r="C205" s="7">
        <v>0</v>
      </c>
      <c r="D205" s="7">
        <v>0</v>
      </c>
    </row>
    <row r="206" spans="1:4" x14ac:dyDescent="0.25">
      <c r="A206" s="2">
        <v>201</v>
      </c>
      <c r="B206" s="7">
        <v>0</v>
      </c>
      <c r="C206" s="7">
        <v>0</v>
      </c>
      <c r="D206" s="7">
        <v>0</v>
      </c>
    </row>
    <row r="207" spans="1:4" x14ac:dyDescent="0.25">
      <c r="A207" s="2">
        <v>202</v>
      </c>
      <c r="B207" s="7">
        <v>0</v>
      </c>
      <c r="C207" s="7">
        <v>0</v>
      </c>
      <c r="D207" s="7">
        <v>0</v>
      </c>
    </row>
    <row r="208" spans="1:4" x14ac:dyDescent="0.25">
      <c r="A208" s="2">
        <v>203</v>
      </c>
      <c r="B208" s="7">
        <v>0</v>
      </c>
      <c r="C208" s="7">
        <v>0</v>
      </c>
      <c r="D208" s="7">
        <v>0</v>
      </c>
    </row>
    <row r="209" spans="1:4" x14ac:dyDescent="0.25">
      <c r="A209" s="2">
        <v>204</v>
      </c>
      <c r="B209" s="7">
        <v>0</v>
      </c>
      <c r="C209" s="7">
        <v>0</v>
      </c>
      <c r="D209" s="7">
        <v>0</v>
      </c>
    </row>
    <row r="210" spans="1:4" x14ac:dyDescent="0.25">
      <c r="A210" s="2">
        <v>205</v>
      </c>
      <c r="B210" s="7">
        <v>0</v>
      </c>
      <c r="C210" s="7">
        <v>0</v>
      </c>
      <c r="D210" s="7">
        <v>0</v>
      </c>
    </row>
    <row r="211" spans="1:4" x14ac:dyDescent="0.25">
      <c r="A211" s="2">
        <v>206</v>
      </c>
      <c r="B211" s="7">
        <v>0</v>
      </c>
      <c r="C211" s="7">
        <v>0</v>
      </c>
      <c r="D211" s="7">
        <v>0</v>
      </c>
    </row>
    <row r="212" spans="1:4" x14ac:dyDescent="0.25">
      <c r="A212" s="2">
        <v>207</v>
      </c>
      <c r="B212" s="7">
        <v>0</v>
      </c>
      <c r="C212" s="7">
        <v>0</v>
      </c>
      <c r="D212" s="7">
        <v>0</v>
      </c>
    </row>
    <row r="213" spans="1:4" x14ac:dyDescent="0.25">
      <c r="A213" s="2">
        <v>208</v>
      </c>
      <c r="B213" s="7">
        <v>0</v>
      </c>
      <c r="C213" s="7">
        <v>0</v>
      </c>
      <c r="D213" s="7">
        <v>0</v>
      </c>
    </row>
    <row r="214" spans="1:4" x14ac:dyDescent="0.25">
      <c r="A214" s="2">
        <v>209</v>
      </c>
      <c r="B214" s="7">
        <v>0</v>
      </c>
      <c r="C214" s="7">
        <v>0</v>
      </c>
      <c r="D214" s="7">
        <v>0</v>
      </c>
    </row>
    <row r="215" spans="1:4" x14ac:dyDescent="0.25">
      <c r="A215" s="2">
        <v>210</v>
      </c>
      <c r="B215" s="7">
        <v>0</v>
      </c>
      <c r="C215" s="7">
        <v>0</v>
      </c>
      <c r="D215" s="7">
        <v>0</v>
      </c>
    </row>
    <row r="216" spans="1:4" x14ac:dyDescent="0.25">
      <c r="A216" s="2">
        <v>211</v>
      </c>
      <c r="B216" s="7">
        <v>0</v>
      </c>
      <c r="C216" s="7">
        <v>0</v>
      </c>
      <c r="D216" s="7">
        <v>0</v>
      </c>
    </row>
    <row r="217" spans="1:4" x14ac:dyDescent="0.25">
      <c r="A217" s="2">
        <v>212</v>
      </c>
      <c r="B217" s="7">
        <v>0</v>
      </c>
      <c r="C217" s="7">
        <v>0</v>
      </c>
      <c r="D217" s="7">
        <v>0</v>
      </c>
    </row>
    <row r="218" spans="1:4" x14ac:dyDescent="0.25">
      <c r="A218" s="2">
        <v>213</v>
      </c>
      <c r="B218" s="7">
        <v>0</v>
      </c>
      <c r="C218" s="7">
        <v>0</v>
      </c>
      <c r="D218" s="7">
        <v>0</v>
      </c>
    </row>
    <row r="219" spans="1:4" x14ac:dyDescent="0.25">
      <c r="A219" s="2">
        <v>214</v>
      </c>
      <c r="B219" s="7">
        <v>0</v>
      </c>
      <c r="C219" s="7">
        <v>0</v>
      </c>
      <c r="D219" s="7">
        <v>0</v>
      </c>
    </row>
    <row r="220" spans="1:4" x14ac:dyDescent="0.25">
      <c r="A220" s="2">
        <v>215</v>
      </c>
      <c r="B220" s="7">
        <v>0</v>
      </c>
      <c r="C220" s="7">
        <v>0</v>
      </c>
      <c r="D220" s="7">
        <v>0</v>
      </c>
    </row>
    <row r="221" spans="1:4" x14ac:dyDescent="0.25">
      <c r="A221" s="2">
        <v>216</v>
      </c>
      <c r="B221" s="7">
        <v>0</v>
      </c>
      <c r="C221" s="7">
        <v>0</v>
      </c>
      <c r="D221" s="7">
        <v>0</v>
      </c>
    </row>
    <row r="222" spans="1:4" x14ac:dyDescent="0.25">
      <c r="A222" s="2">
        <v>217</v>
      </c>
      <c r="B222" s="7">
        <v>0</v>
      </c>
      <c r="C222" s="7">
        <v>0</v>
      </c>
      <c r="D222" s="7">
        <v>0</v>
      </c>
    </row>
    <row r="223" spans="1:4" x14ac:dyDescent="0.25">
      <c r="A223" s="2">
        <v>218</v>
      </c>
      <c r="B223" s="7">
        <v>0</v>
      </c>
      <c r="C223" s="7">
        <v>0</v>
      </c>
      <c r="D223" s="7">
        <v>0</v>
      </c>
    </row>
    <row r="224" spans="1:4" x14ac:dyDescent="0.25">
      <c r="A224" s="2">
        <v>219</v>
      </c>
      <c r="B224" s="7">
        <v>0</v>
      </c>
      <c r="C224" s="7">
        <v>0</v>
      </c>
      <c r="D224" s="7">
        <v>0</v>
      </c>
    </row>
    <row r="225" spans="1:4" x14ac:dyDescent="0.25">
      <c r="A225" s="2">
        <v>220</v>
      </c>
      <c r="B225" s="7">
        <v>0</v>
      </c>
      <c r="C225" s="7">
        <v>0</v>
      </c>
      <c r="D225" s="7">
        <v>0</v>
      </c>
    </row>
    <row r="226" spans="1:4" x14ac:dyDescent="0.25">
      <c r="A226" s="2">
        <v>221</v>
      </c>
      <c r="B226" s="7">
        <v>0</v>
      </c>
      <c r="C226" s="7">
        <v>0</v>
      </c>
      <c r="D226" s="7">
        <v>0</v>
      </c>
    </row>
    <row r="227" spans="1:4" x14ac:dyDescent="0.25">
      <c r="A227" s="2">
        <v>222</v>
      </c>
      <c r="B227" s="7">
        <v>0</v>
      </c>
      <c r="C227" s="7">
        <v>0</v>
      </c>
      <c r="D227" s="7">
        <v>0</v>
      </c>
    </row>
    <row r="228" spans="1:4" x14ac:dyDescent="0.25">
      <c r="A228" s="2">
        <v>223</v>
      </c>
      <c r="B228" s="7">
        <v>0</v>
      </c>
      <c r="C228" s="7">
        <v>0</v>
      </c>
      <c r="D228" s="7">
        <v>0</v>
      </c>
    </row>
    <row r="229" spans="1:4" x14ac:dyDescent="0.25">
      <c r="A229" s="2">
        <v>224</v>
      </c>
      <c r="B229" s="7">
        <v>0</v>
      </c>
      <c r="C229" s="7">
        <v>0</v>
      </c>
      <c r="D229" s="7">
        <v>0</v>
      </c>
    </row>
    <row r="230" spans="1:4" x14ac:dyDescent="0.25">
      <c r="A230" s="2">
        <v>225</v>
      </c>
      <c r="B230" s="7">
        <v>0</v>
      </c>
      <c r="C230" s="7">
        <v>0</v>
      </c>
      <c r="D230" s="7">
        <v>0</v>
      </c>
    </row>
    <row r="231" spans="1:4" x14ac:dyDescent="0.25">
      <c r="A231" s="2">
        <v>226</v>
      </c>
      <c r="B231" s="7">
        <v>0</v>
      </c>
      <c r="C231" s="7">
        <v>0</v>
      </c>
      <c r="D231" s="7">
        <v>0</v>
      </c>
    </row>
    <row r="232" spans="1:4" x14ac:dyDescent="0.25">
      <c r="A232" s="2">
        <v>227</v>
      </c>
      <c r="B232" s="7">
        <v>0</v>
      </c>
      <c r="C232" s="7">
        <v>0</v>
      </c>
      <c r="D232" s="7">
        <v>0</v>
      </c>
    </row>
    <row r="233" spans="1:4" x14ac:dyDescent="0.25">
      <c r="A233" s="2">
        <v>228</v>
      </c>
      <c r="B233" s="7">
        <v>0</v>
      </c>
      <c r="C233" s="7">
        <v>0</v>
      </c>
      <c r="D233" s="7">
        <v>0</v>
      </c>
    </row>
    <row r="234" spans="1:4" x14ac:dyDescent="0.25">
      <c r="A234" s="2">
        <v>229</v>
      </c>
      <c r="B234" s="7">
        <v>0</v>
      </c>
      <c r="C234" s="7">
        <v>0</v>
      </c>
      <c r="D234" s="7">
        <v>0</v>
      </c>
    </row>
    <row r="235" spans="1:4" x14ac:dyDescent="0.25">
      <c r="A235" s="2">
        <v>230</v>
      </c>
      <c r="B235" s="7">
        <v>0</v>
      </c>
      <c r="C235" s="7">
        <v>0</v>
      </c>
      <c r="D235" s="7">
        <v>0</v>
      </c>
    </row>
    <row r="236" spans="1:4" x14ac:dyDescent="0.25">
      <c r="A236" s="2">
        <v>231</v>
      </c>
      <c r="B236" s="7">
        <v>0</v>
      </c>
      <c r="C236" s="7">
        <v>0</v>
      </c>
      <c r="D236" s="7">
        <v>0</v>
      </c>
    </row>
    <row r="237" spans="1:4" x14ac:dyDescent="0.25">
      <c r="A237" s="2">
        <v>232</v>
      </c>
      <c r="B237" s="7">
        <v>0</v>
      </c>
      <c r="C237" s="7">
        <v>0</v>
      </c>
      <c r="D237" s="7">
        <v>0</v>
      </c>
    </row>
    <row r="238" spans="1:4" x14ac:dyDescent="0.25">
      <c r="A238" s="2">
        <v>233</v>
      </c>
      <c r="B238" s="7">
        <v>0</v>
      </c>
      <c r="C238" s="7">
        <v>0</v>
      </c>
      <c r="D238" s="7">
        <v>0</v>
      </c>
    </row>
    <row r="239" spans="1:4" x14ac:dyDescent="0.25">
      <c r="A239" s="2">
        <v>234</v>
      </c>
      <c r="B239" s="7">
        <v>0</v>
      </c>
      <c r="C239" s="7">
        <v>0</v>
      </c>
      <c r="D239" s="7">
        <v>0</v>
      </c>
    </row>
    <row r="240" spans="1:4" x14ac:dyDescent="0.25">
      <c r="A240" s="2">
        <v>235</v>
      </c>
      <c r="B240" s="7">
        <v>0</v>
      </c>
      <c r="C240" s="7">
        <v>0</v>
      </c>
      <c r="D240" s="7">
        <v>0</v>
      </c>
    </row>
    <row r="241" spans="1:4" x14ac:dyDescent="0.25">
      <c r="A241" s="2">
        <v>236</v>
      </c>
      <c r="B241" s="7">
        <v>0</v>
      </c>
      <c r="C241" s="7">
        <v>0</v>
      </c>
      <c r="D241" s="7">
        <v>0</v>
      </c>
    </row>
    <row r="242" spans="1:4" x14ac:dyDescent="0.25">
      <c r="A242" s="2">
        <v>237</v>
      </c>
      <c r="B242" s="7">
        <v>0</v>
      </c>
      <c r="C242" s="7">
        <v>0</v>
      </c>
      <c r="D242" s="7">
        <v>0</v>
      </c>
    </row>
    <row r="243" spans="1:4" x14ac:dyDescent="0.25">
      <c r="A243" s="2">
        <v>238</v>
      </c>
      <c r="B243" s="7">
        <v>0</v>
      </c>
      <c r="C243" s="7">
        <v>0</v>
      </c>
      <c r="D243" s="7">
        <v>0</v>
      </c>
    </row>
    <row r="244" spans="1:4" x14ac:dyDescent="0.25">
      <c r="A244" s="2">
        <v>239</v>
      </c>
      <c r="B244" s="7">
        <v>0</v>
      </c>
      <c r="C244" s="7">
        <v>0</v>
      </c>
      <c r="D244" s="7">
        <v>0</v>
      </c>
    </row>
    <row r="245" spans="1:4" x14ac:dyDescent="0.25">
      <c r="A245" s="2">
        <v>240</v>
      </c>
      <c r="B245" s="7">
        <v>0</v>
      </c>
      <c r="C245" s="7">
        <v>0</v>
      </c>
      <c r="D245" s="7">
        <v>0</v>
      </c>
    </row>
    <row r="246" spans="1:4" x14ac:dyDescent="0.25">
      <c r="A246" s="2">
        <v>241</v>
      </c>
      <c r="B246" s="7">
        <v>0</v>
      </c>
      <c r="C246" s="7">
        <v>0</v>
      </c>
      <c r="D246" s="7">
        <v>0</v>
      </c>
    </row>
    <row r="247" spans="1:4" x14ac:dyDescent="0.25">
      <c r="A247" s="2">
        <v>242</v>
      </c>
      <c r="B247" s="7">
        <v>0</v>
      </c>
      <c r="C247" s="7">
        <v>0</v>
      </c>
      <c r="D247" s="7">
        <v>0</v>
      </c>
    </row>
    <row r="248" spans="1:4" x14ac:dyDescent="0.25">
      <c r="A248" s="2">
        <v>243</v>
      </c>
      <c r="B248" s="7">
        <v>0</v>
      </c>
      <c r="C248" s="7">
        <v>0</v>
      </c>
      <c r="D248" s="7">
        <v>0</v>
      </c>
    </row>
    <row r="249" spans="1:4" x14ac:dyDescent="0.25">
      <c r="A249" s="2">
        <v>244</v>
      </c>
      <c r="B249" s="7">
        <v>0</v>
      </c>
      <c r="C249" s="7">
        <v>0</v>
      </c>
      <c r="D249" s="7">
        <v>0</v>
      </c>
    </row>
    <row r="250" spans="1:4" x14ac:dyDescent="0.25">
      <c r="A250" s="2">
        <v>245</v>
      </c>
      <c r="B250" s="7">
        <v>0</v>
      </c>
      <c r="C250" s="7">
        <v>0</v>
      </c>
      <c r="D250" s="7">
        <v>0</v>
      </c>
    </row>
    <row r="251" spans="1:4" x14ac:dyDescent="0.25">
      <c r="A251" s="2">
        <v>246</v>
      </c>
      <c r="B251" s="7">
        <v>0</v>
      </c>
      <c r="C251" s="7">
        <v>0</v>
      </c>
      <c r="D251" s="7">
        <v>0</v>
      </c>
    </row>
    <row r="252" spans="1:4" x14ac:dyDescent="0.25">
      <c r="A252" s="2">
        <v>247</v>
      </c>
      <c r="B252" s="7">
        <v>0</v>
      </c>
      <c r="C252" s="7">
        <v>0</v>
      </c>
      <c r="D252" s="7">
        <v>0</v>
      </c>
    </row>
    <row r="253" spans="1:4" x14ac:dyDescent="0.25">
      <c r="A253" s="2">
        <v>248</v>
      </c>
      <c r="B253" s="7">
        <v>0</v>
      </c>
      <c r="C253" s="7">
        <v>0</v>
      </c>
      <c r="D253" s="7">
        <v>0</v>
      </c>
    </row>
    <row r="254" spans="1:4" x14ac:dyDescent="0.25">
      <c r="A254" s="2">
        <v>249</v>
      </c>
      <c r="B254" s="7">
        <v>0</v>
      </c>
      <c r="C254" s="7">
        <v>0</v>
      </c>
      <c r="D254" s="7">
        <v>0</v>
      </c>
    </row>
    <row r="255" spans="1:4" x14ac:dyDescent="0.25">
      <c r="A255" s="2">
        <v>250</v>
      </c>
      <c r="B255" s="7">
        <v>0</v>
      </c>
      <c r="C255" s="7">
        <v>0</v>
      </c>
      <c r="D255" s="7">
        <v>0</v>
      </c>
    </row>
    <row r="256" spans="1:4" x14ac:dyDescent="0.25">
      <c r="A256" s="2">
        <v>251</v>
      </c>
      <c r="B256" s="7">
        <v>0</v>
      </c>
      <c r="C256" s="7">
        <v>0</v>
      </c>
      <c r="D256" s="7">
        <v>0</v>
      </c>
    </row>
    <row r="257" spans="1:4" x14ac:dyDescent="0.25">
      <c r="A257" s="2">
        <v>252</v>
      </c>
      <c r="B257" s="7">
        <v>0</v>
      </c>
      <c r="C257" s="7">
        <v>0</v>
      </c>
      <c r="D257" s="7">
        <v>0</v>
      </c>
    </row>
    <row r="258" spans="1:4" x14ac:dyDescent="0.25">
      <c r="A258" s="2">
        <v>253</v>
      </c>
      <c r="B258" s="7">
        <v>0</v>
      </c>
      <c r="C258" s="7">
        <v>0</v>
      </c>
      <c r="D258" s="7">
        <v>0</v>
      </c>
    </row>
    <row r="259" spans="1:4" x14ac:dyDescent="0.25">
      <c r="A259" s="2">
        <v>254</v>
      </c>
      <c r="B259" s="7">
        <v>0</v>
      </c>
      <c r="C259" s="7">
        <v>0</v>
      </c>
      <c r="D259" s="7">
        <v>0</v>
      </c>
    </row>
    <row r="260" spans="1:4" x14ac:dyDescent="0.25">
      <c r="A260" s="2">
        <v>255</v>
      </c>
      <c r="B260" s="7">
        <v>0</v>
      </c>
      <c r="C260" s="7">
        <v>0</v>
      </c>
      <c r="D260" s="7">
        <v>0</v>
      </c>
    </row>
    <row r="261" spans="1:4" x14ac:dyDescent="0.25">
      <c r="A261" s="2">
        <v>256</v>
      </c>
      <c r="B261" s="7">
        <v>0</v>
      </c>
      <c r="C261" s="7">
        <v>0</v>
      </c>
      <c r="D261" s="7">
        <v>0</v>
      </c>
    </row>
    <row r="262" spans="1:4" x14ac:dyDescent="0.25">
      <c r="A262" s="2">
        <v>257</v>
      </c>
      <c r="B262" s="7">
        <v>0</v>
      </c>
      <c r="C262" s="7">
        <v>0</v>
      </c>
      <c r="D262" s="7">
        <v>0</v>
      </c>
    </row>
    <row r="263" spans="1:4" x14ac:dyDescent="0.25">
      <c r="A263" s="2">
        <v>258</v>
      </c>
      <c r="B263" s="7">
        <v>0</v>
      </c>
      <c r="C263" s="7">
        <v>0</v>
      </c>
      <c r="D263" s="7">
        <v>0</v>
      </c>
    </row>
    <row r="264" spans="1:4" x14ac:dyDescent="0.25">
      <c r="A264" s="2">
        <v>259</v>
      </c>
      <c r="B264" s="7">
        <v>0</v>
      </c>
      <c r="C264" s="7">
        <v>0</v>
      </c>
      <c r="D264" s="7">
        <v>0</v>
      </c>
    </row>
    <row r="265" spans="1:4" x14ac:dyDescent="0.25">
      <c r="A265" s="2">
        <v>260</v>
      </c>
      <c r="B265" s="7">
        <v>0</v>
      </c>
      <c r="C265" s="7">
        <v>0</v>
      </c>
      <c r="D265" s="7">
        <v>0</v>
      </c>
    </row>
    <row r="266" spans="1:4" x14ac:dyDescent="0.25">
      <c r="A266" s="2">
        <v>261</v>
      </c>
      <c r="B266" s="7">
        <v>0</v>
      </c>
      <c r="C266" s="7">
        <v>0</v>
      </c>
      <c r="D266" s="7">
        <v>0</v>
      </c>
    </row>
    <row r="267" spans="1:4" x14ac:dyDescent="0.25">
      <c r="A267" s="2">
        <v>262</v>
      </c>
      <c r="B267" s="7">
        <v>0</v>
      </c>
      <c r="C267" s="7">
        <v>0</v>
      </c>
      <c r="D267" s="7">
        <v>0</v>
      </c>
    </row>
    <row r="268" spans="1:4" x14ac:dyDescent="0.25">
      <c r="A268" s="2">
        <v>263</v>
      </c>
      <c r="B268" s="7">
        <v>0</v>
      </c>
      <c r="C268" s="7">
        <v>0</v>
      </c>
      <c r="D268" s="7">
        <v>0</v>
      </c>
    </row>
    <row r="269" spans="1:4" x14ac:dyDescent="0.25">
      <c r="A269" s="2">
        <v>264</v>
      </c>
      <c r="B269" s="7">
        <v>0</v>
      </c>
      <c r="C269" s="7">
        <v>0</v>
      </c>
      <c r="D269" s="7">
        <v>0</v>
      </c>
    </row>
    <row r="270" spans="1:4" x14ac:dyDescent="0.25">
      <c r="A270" s="2">
        <v>265</v>
      </c>
      <c r="B270" s="7">
        <v>0</v>
      </c>
      <c r="C270" s="7">
        <v>0</v>
      </c>
      <c r="D270" s="7">
        <v>0</v>
      </c>
    </row>
    <row r="271" spans="1:4" x14ac:dyDescent="0.25">
      <c r="A271" s="2">
        <v>266</v>
      </c>
      <c r="B271" s="7">
        <v>0</v>
      </c>
      <c r="C271" s="7">
        <v>0</v>
      </c>
      <c r="D271" s="7">
        <v>0</v>
      </c>
    </row>
    <row r="272" spans="1:4" x14ac:dyDescent="0.25">
      <c r="A272" s="2">
        <v>267</v>
      </c>
      <c r="B272" s="7">
        <v>0</v>
      </c>
      <c r="C272" s="7">
        <v>0</v>
      </c>
      <c r="D272" s="7">
        <v>0</v>
      </c>
    </row>
    <row r="273" spans="1:4" x14ac:dyDescent="0.25">
      <c r="A273" s="2">
        <v>268</v>
      </c>
      <c r="B273" s="7">
        <v>0</v>
      </c>
      <c r="C273" s="7">
        <v>0</v>
      </c>
      <c r="D273" s="7">
        <v>0</v>
      </c>
    </row>
    <row r="274" spans="1:4" x14ac:dyDescent="0.25">
      <c r="A274" s="2">
        <v>269</v>
      </c>
      <c r="B274" s="7">
        <v>0</v>
      </c>
      <c r="C274" s="7">
        <v>0</v>
      </c>
      <c r="D274" s="7">
        <v>0</v>
      </c>
    </row>
    <row r="275" spans="1:4" x14ac:dyDescent="0.25">
      <c r="A275" s="2">
        <v>270</v>
      </c>
      <c r="B275" s="7">
        <v>0</v>
      </c>
      <c r="C275" s="7">
        <v>0</v>
      </c>
      <c r="D275" s="7">
        <v>0</v>
      </c>
    </row>
    <row r="276" spans="1:4" x14ac:dyDescent="0.25">
      <c r="A276" s="2">
        <v>271</v>
      </c>
      <c r="B276" s="7">
        <v>0</v>
      </c>
      <c r="C276" s="7">
        <v>0</v>
      </c>
      <c r="D276" s="7">
        <v>0</v>
      </c>
    </row>
    <row r="277" spans="1:4" x14ac:dyDescent="0.25">
      <c r="A277" s="2">
        <v>272</v>
      </c>
      <c r="B277" s="7">
        <v>0</v>
      </c>
      <c r="C277" s="7">
        <v>0</v>
      </c>
      <c r="D277" s="7">
        <v>0</v>
      </c>
    </row>
    <row r="278" spans="1:4" x14ac:dyDescent="0.25">
      <c r="A278" s="2">
        <v>273</v>
      </c>
      <c r="B278" s="7">
        <v>0</v>
      </c>
      <c r="C278" s="7">
        <v>0</v>
      </c>
      <c r="D278" s="7">
        <v>0</v>
      </c>
    </row>
    <row r="279" spans="1:4" x14ac:dyDescent="0.25">
      <c r="A279" s="2">
        <v>274</v>
      </c>
      <c r="B279" s="7">
        <v>0</v>
      </c>
      <c r="C279" s="7">
        <v>0</v>
      </c>
      <c r="D279" s="7">
        <v>0</v>
      </c>
    </row>
    <row r="280" spans="1:4" x14ac:dyDescent="0.25">
      <c r="A280" s="2">
        <v>275</v>
      </c>
      <c r="B280" s="7">
        <v>0</v>
      </c>
      <c r="C280" s="7">
        <v>0</v>
      </c>
      <c r="D280" s="7">
        <v>0</v>
      </c>
    </row>
    <row r="281" spans="1:4" x14ac:dyDescent="0.25">
      <c r="A281" s="2">
        <v>276</v>
      </c>
      <c r="B281" s="7">
        <v>0</v>
      </c>
      <c r="C281" s="7">
        <v>0</v>
      </c>
      <c r="D281" s="7">
        <v>0</v>
      </c>
    </row>
    <row r="282" spans="1:4" x14ac:dyDescent="0.25">
      <c r="A282" s="2">
        <v>277</v>
      </c>
      <c r="B282" s="7">
        <v>0</v>
      </c>
      <c r="C282" s="7">
        <v>0</v>
      </c>
      <c r="D282" s="7">
        <v>0</v>
      </c>
    </row>
    <row r="283" spans="1:4" x14ac:dyDescent="0.25">
      <c r="A283" s="2">
        <v>278</v>
      </c>
      <c r="B283" s="7">
        <v>0</v>
      </c>
      <c r="C283" s="7">
        <v>0</v>
      </c>
      <c r="D283" s="7">
        <v>0</v>
      </c>
    </row>
    <row r="284" spans="1:4" x14ac:dyDescent="0.25">
      <c r="A284" s="2">
        <v>279</v>
      </c>
      <c r="B284" s="7">
        <v>0</v>
      </c>
      <c r="C284" s="7">
        <v>0</v>
      </c>
      <c r="D284" s="7">
        <v>0</v>
      </c>
    </row>
    <row r="285" spans="1:4" x14ac:dyDescent="0.25">
      <c r="A285" s="2">
        <v>280</v>
      </c>
      <c r="B285" s="7">
        <v>0</v>
      </c>
      <c r="C285" s="7">
        <v>0</v>
      </c>
      <c r="D285" s="7">
        <v>0</v>
      </c>
    </row>
    <row r="286" spans="1:4" x14ac:dyDescent="0.25">
      <c r="A286" s="2">
        <v>281</v>
      </c>
      <c r="B286" s="7">
        <v>0</v>
      </c>
      <c r="C286" s="7">
        <v>0</v>
      </c>
      <c r="D286" s="7">
        <v>0</v>
      </c>
    </row>
    <row r="287" spans="1:4" x14ac:dyDescent="0.25">
      <c r="A287" s="2">
        <v>282</v>
      </c>
      <c r="B287" s="7">
        <v>0</v>
      </c>
      <c r="C287" s="7">
        <v>0</v>
      </c>
      <c r="D287" s="7">
        <v>0</v>
      </c>
    </row>
    <row r="288" spans="1:4" x14ac:dyDescent="0.25">
      <c r="A288" s="2">
        <v>283</v>
      </c>
      <c r="B288" s="7">
        <v>0</v>
      </c>
      <c r="C288" s="7">
        <v>0</v>
      </c>
      <c r="D288" s="7">
        <v>0</v>
      </c>
    </row>
    <row r="289" spans="1:4" x14ac:dyDescent="0.25">
      <c r="A289" s="2">
        <v>284</v>
      </c>
      <c r="B289" s="7">
        <v>0</v>
      </c>
      <c r="C289" s="7">
        <v>0</v>
      </c>
      <c r="D289" s="7">
        <v>0</v>
      </c>
    </row>
    <row r="290" spans="1:4" x14ac:dyDescent="0.25">
      <c r="A290" s="2">
        <v>285</v>
      </c>
      <c r="B290" s="7">
        <v>0</v>
      </c>
      <c r="C290" s="7">
        <v>0</v>
      </c>
      <c r="D290" s="7">
        <v>0</v>
      </c>
    </row>
    <row r="291" spans="1:4" x14ac:dyDescent="0.25">
      <c r="A291" s="2">
        <v>286</v>
      </c>
      <c r="B291" s="7">
        <v>0</v>
      </c>
      <c r="C291" s="7">
        <v>0</v>
      </c>
      <c r="D291" s="7">
        <v>0</v>
      </c>
    </row>
    <row r="292" spans="1:4" x14ac:dyDescent="0.25">
      <c r="A292" s="2">
        <v>287</v>
      </c>
      <c r="B292" s="7">
        <v>0</v>
      </c>
      <c r="C292" s="7">
        <v>0</v>
      </c>
      <c r="D292" s="7">
        <v>0</v>
      </c>
    </row>
    <row r="293" spans="1:4" x14ac:dyDescent="0.25">
      <c r="A293" s="2">
        <v>288</v>
      </c>
      <c r="B293" s="7">
        <v>0</v>
      </c>
      <c r="C293" s="7">
        <v>0</v>
      </c>
      <c r="D293" s="7">
        <v>0</v>
      </c>
    </row>
    <row r="294" spans="1:4" x14ac:dyDescent="0.25">
      <c r="A294" s="2">
        <v>289</v>
      </c>
      <c r="B294" s="7">
        <v>0</v>
      </c>
      <c r="C294" s="7">
        <v>0</v>
      </c>
      <c r="D294" s="7">
        <v>0</v>
      </c>
    </row>
    <row r="295" spans="1:4" x14ac:dyDescent="0.25">
      <c r="A295" s="2">
        <v>290</v>
      </c>
      <c r="B295" s="7">
        <v>0</v>
      </c>
      <c r="C295" s="7">
        <v>0</v>
      </c>
      <c r="D295" s="7">
        <v>0</v>
      </c>
    </row>
    <row r="296" spans="1:4" x14ac:dyDescent="0.25">
      <c r="A296" s="2">
        <v>291</v>
      </c>
      <c r="B296" s="7">
        <v>0</v>
      </c>
      <c r="C296" s="7">
        <v>0</v>
      </c>
      <c r="D296" s="7">
        <v>0</v>
      </c>
    </row>
    <row r="297" spans="1:4" x14ac:dyDescent="0.25">
      <c r="A297" s="2">
        <v>292</v>
      </c>
      <c r="B297" s="7">
        <v>0</v>
      </c>
      <c r="C297" s="7">
        <v>0</v>
      </c>
      <c r="D297" s="7">
        <v>0</v>
      </c>
    </row>
    <row r="298" spans="1:4" x14ac:dyDescent="0.25">
      <c r="A298" s="2">
        <v>293</v>
      </c>
      <c r="B298" s="7">
        <v>0</v>
      </c>
      <c r="C298" s="7">
        <v>0</v>
      </c>
      <c r="D298" s="7">
        <v>0</v>
      </c>
    </row>
    <row r="299" spans="1:4" x14ac:dyDescent="0.25">
      <c r="A299" s="2">
        <v>294</v>
      </c>
      <c r="B299" s="7">
        <v>0</v>
      </c>
      <c r="C299" s="7">
        <v>0</v>
      </c>
      <c r="D299" s="7">
        <v>0</v>
      </c>
    </row>
    <row r="300" spans="1:4" x14ac:dyDescent="0.25">
      <c r="A300" s="2">
        <v>295</v>
      </c>
      <c r="B300" s="7">
        <v>0</v>
      </c>
      <c r="C300" s="7">
        <v>0</v>
      </c>
      <c r="D300" s="7">
        <v>0</v>
      </c>
    </row>
    <row r="301" spans="1:4" x14ac:dyDescent="0.25">
      <c r="A301" s="2">
        <v>296</v>
      </c>
      <c r="B301" s="7">
        <v>0</v>
      </c>
      <c r="C301" s="7">
        <v>0</v>
      </c>
      <c r="D301" s="7">
        <v>0</v>
      </c>
    </row>
    <row r="302" spans="1:4" x14ac:dyDescent="0.25">
      <c r="A302" s="2">
        <v>297</v>
      </c>
      <c r="B302" s="7">
        <v>0</v>
      </c>
      <c r="C302" s="7">
        <v>0</v>
      </c>
      <c r="D302" s="7">
        <v>0</v>
      </c>
    </row>
    <row r="303" spans="1:4" x14ac:dyDescent="0.25">
      <c r="A303" s="2">
        <v>298</v>
      </c>
      <c r="B303" s="7">
        <v>0</v>
      </c>
      <c r="C303" s="7">
        <v>0</v>
      </c>
      <c r="D303" s="7">
        <v>0</v>
      </c>
    </row>
    <row r="304" spans="1:4" x14ac:dyDescent="0.25">
      <c r="A304" s="2">
        <v>299</v>
      </c>
      <c r="B304" s="7">
        <v>0</v>
      </c>
      <c r="C304" s="7">
        <v>0</v>
      </c>
      <c r="D304" s="7">
        <v>0</v>
      </c>
    </row>
    <row r="305" spans="1:4" x14ac:dyDescent="0.25">
      <c r="A305" s="2">
        <v>300</v>
      </c>
      <c r="B305" s="7">
        <v>0</v>
      </c>
      <c r="C305" s="7">
        <v>0</v>
      </c>
      <c r="D305" s="7">
        <v>0</v>
      </c>
    </row>
    <row r="306" spans="1:4" x14ac:dyDescent="0.25">
      <c r="A306" s="2">
        <v>301</v>
      </c>
      <c r="B306" s="7">
        <v>0</v>
      </c>
      <c r="C306" s="7">
        <v>0</v>
      </c>
      <c r="D306" s="7">
        <v>0</v>
      </c>
    </row>
    <row r="307" spans="1:4" x14ac:dyDescent="0.25">
      <c r="A307" s="2">
        <v>302</v>
      </c>
      <c r="B307" s="7">
        <v>0</v>
      </c>
      <c r="C307" s="7">
        <v>0</v>
      </c>
      <c r="D307" s="7">
        <v>0</v>
      </c>
    </row>
    <row r="308" spans="1:4" x14ac:dyDescent="0.25">
      <c r="A308" s="2">
        <v>303</v>
      </c>
      <c r="B308" s="7">
        <v>0</v>
      </c>
      <c r="C308" s="7">
        <v>0</v>
      </c>
      <c r="D308" s="7">
        <v>0</v>
      </c>
    </row>
    <row r="309" spans="1:4" x14ac:dyDescent="0.25">
      <c r="A309" s="2">
        <v>304</v>
      </c>
      <c r="B309" s="7">
        <v>0</v>
      </c>
      <c r="C309" s="7">
        <v>0</v>
      </c>
      <c r="D309" s="7">
        <v>0</v>
      </c>
    </row>
    <row r="310" spans="1:4" x14ac:dyDescent="0.25">
      <c r="A310" s="2">
        <v>305</v>
      </c>
      <c r="B310" s="7">
        <v>0</v>
      </c>
      <c r="C310" s="7">
        <v>0</v>
      </c>
      <c r="D310" s="7">
        <v>0</v>
      </c>
    </row>
    <row r="311" spans="1:4" x14ac:dyDescent="0.25">
      <c r="A311" s="2">
        <v>306</v>
      </c>
      <c r="B311" s="7">
        <v>0</v>
      </c>
      <c r="C311" s="7">
        <v>0</v>
      </c>
      <c r="D311" s="7">
        <v>0</v>
      </c>
    </row>
    <row r="312" spans="1:4" x14ac:dyDescent="0.25">
      <c r="A312" s="2">
        <v>307</v>
      </c>
      <c r="B312" s="7">
        <v>0</v>
      </c>
      <c r="C312" s="7">
        <v>0</v>
      </c>
      <c r="D312" s="7">
        <v>0</v>
      </c>
    </row>
    <row r="313" spans="1:4" x14ac:dyDescent="0.25">
      <c r="A313" s="2">
        <v>308</v>
      </c>
      <c r="B313" s="7">
        <v>0</v>
      </c>
      <c r="C313" s="7">
        <v>0</v>
      </c>
      <c r="D313" s="7">
        <v>0</v>
      </c>
    </row>
    <row r="314" spans="1:4" x14ac:dyDescent="0.25">
      <c r="A314" s="2">
        <v>309</v>
      </c>
      <c r="B314" s="7">
        <v>0</v>
      </c>
      <c r="C314" s="7">
        <v>0</v>
      </c>
      <c r="D314" s="7">
        <v>0</v>
      </c>
    </row>
    <row r="315" spans="1:4" x14ac:dyDescent="0.25">
      <c r="A315" s="2">
        <v>310</v>
      </c>
      <c r="B315" s="7">
        <v>0</v>
      </c>
      <c r="C315" s="7">
        <v>0</v>
      </c>
      <c r="D315" s="7">
        <v>0</v>
      </c>
    </row>
    <row r="316" spans="1:4" x14ac:dyDescent="0.25">
      <c r="A316" s="2">
        <v>311</v>
      </c>
      <c r="B316" s="7">
        <v>0</v>
      </c>
      <c r="C316" s="7">
        <v>0</v>
      </c>
      <c r="D316" s="7">
        <v>0</v>
      </c>
    </row>
    <row r="317" spans="1:4" x14ac:dyDescent="0.25">
      <c r="A317" s="2">
        <v>312</v>
      </c>
      <c r="B317" s="7">
        <v>0</v>
      </c>
      <c r="C317" s="7">
        <v>0</v>
      </c>
      <c r="D317" s="7">
        <v>0</v>
      </c>
    </row>
    <row r="318" spans="1:4" x14ac:dyDescent="0.25">
      <c r="A318" s="2">
        <v>313</v>
      </c>
      <c r="B318" s="7">
        <v>0</v>
      </c>
      <c r="C318" s="7">
        <v>0</v>
      </c>
      <c r="D318" s="7">
        <v>0</v>
      </c>
    </row>
    <row r="319" spans="1:4" x14ac:dyDescent="0.25">
      <c r="A319" s="2">
        <v>314</v>
      </c>
      <c r="B319" s="7">
        <v>0</v>
      </c>
      <c r="C319" s="7">
        <v>0</v>
      </c>
      <c r="D319" s="7">
        <v>0</v>
      </c>
    </row>
    <row r="320" spans="1:4" x14ac:dyDescent="0.25">
      <c r="A320" s="2">
        <v>315</v>
      </c>
      <c r="B320" s="7">
        <v>0</v>
      </c>
      <c r="C320" s="7">
        <v>0</v>
      </c>
      <c r="D320" s="7">
        <v>0</v>
      </c>
    </row>
    <row r="321" spans="1:4" x14ac:dyDescent="0.25">
      <c r="A321" s="2">
        <v>316</v>
      </c>
      <c r="B321" s="7">
        <v>0</v>
      </c>
      <c r="C321" s="7">
        <v>0</v>
      </c>
      <c r="D321" s="7">
        <v>0</v>
      </c>
    </row>
    <row r="322" spans="1:4" x14ac:dyDescent="0.25">
      <c r="A322" s="2">
        <v>317</v>
      </c>
      <c r="B322" s="7">
        <v>0</v>
      </c>
      <c r="C322" s="7">
        <v>0</v>
      </c>
      <c r="D322" s="7">
        <v>0</v>
      </c>
    </row>
    <row r="323" spans="1:4" x14ac:dyDescent="0.25">
      <c r="A323" s="2">
        <v>318</v>
      </c>
      <c r="B323" s="7">
        <v>0</v>
      </c>
      <c r="C323" s="7">
        <v>0</v>
      </c>
      <c r="D323" s="7">
        <v>0</v>
      </c>
    </row>
    <row r="324" spans="1:4" x14ac:dyDescent="0.25">
      <c r="A324" s="2">
        <v>319</v>
      </c>
      <c r="B324" s="7">
        <v>0</v>
      </c>
      <c r="C324" s="7">
        <v>0</v>
      </c>
      <c r="D324" s="7">
        <v>0</v>
      </c>
    </row>
    <row r="325" spans="1:4" x14ac:dyDescent="0.25">
      <c r="A325" s="2">
        <v>320</v>
      </c>
      <c r="B325" s="7">
        <v>0</v>
      </c>
      <c r="C325" s="7">
        <v>0</v>
      </c>
      <c r="D325" s="7">
        <v>0</v>
      </c>
    </row>
    <row r="326" spans="1:4" x14ac:dyDescent="0.25">
      <c r="A326" s="2">
        <v>321</v>
      </c>
      <c r="B326" s="7">
        <v>0</v>
      </c>
      <c r="C326" s="7">
        <v>0</v>
      </c>
      <c r="D326" s="7">
        <v>0</v>
      </c>
    </row>
    <row r="327" spans="1:4" x14ac:dyDescent="0.25">
      <c r="A327" s="2">
        <v>322</v>
      </c>
      <c r="B327" s="7">
        <v>0</v>
      </c>
      <c r="C327" s="7">
        <v>0</v>
      </c>
      <c r="D327" s="7">
        <v>0</v>
      </c>
    </row>
    <row r="328" spans="1:4" x14ac:dyDescent="0.25">
      <c r="A328" s="2">
        <v>323</v>
      </c>
      <c r="B328" s="7">
        <v>0</v>
      </c>
      <c r="C328" s="7">
        <v>0</v>
      </c>
      <c r="D328" s="7">
        <v>0</v>
      </c>
    </row>
    <row r="329" spans="1:4" x14ac:dyDescent="0.25">
      <c r="A329" s="2">
        <v>324</v>
      </c>
      <c r="B329" s="7">
        <v>0</v>
      </c>
      <c r="C329" s="7">
        <v>0</v>
      </c>
      <c r="D329" s="7">
        <v>0</v>
      </c>
    </row>
    <row r="330" spans="1:4" x14ac:dyDescent="0.25">
      <c r="A330" s="2">
        <v>325</v>
      </c>
      <c r="B330" s="7">
        <v>0</v>
      </c>
      <c r="C330" s="7">
        <v>0</v>
      </c>
      <c r="D330" s="7">
        <v>0</v>
      </c>
    </row>
    <row r="331" spans="1:4" x14ac:dyDescent="0.25">
      <c r="A331" s="2">
        <v>326</v>
      </c>
      <c r="B331" s="7">
        <v>0</v>
      </c>
      <c r="C331" s="7">
        <v>0</v>
      </c>
      <c r="D331" s="7">
        <v>0</v>
      </c>
    </row>
    <row r="332" spans="1:4" x14ac:dyDescent="0.25">
      <c r="A332" s="2">
        <v>327</v>
      </c>
      <c r="B332" s="7">
        <v>0</v>
      </c>
      <c r="C332" s="7">
        <v>0</v>
      </c>
      <c r="D332" s="7">
        <v>0</v>
      </c>
    </row>
    <row r="333" spans="1:4" x14ac:dyDescent="0.25">
      <c r="A333" s="2">
        <v>328</v>
      </c>
      <c r="B333" s="7">
        <v>0</v>
      </c>
      <c r="C333" s="7">
        <v>0</v>
      </c>
      <c r="D333" s="7">
        <v>0</v>
      </c>
    </row>
    <row r="334" spans="1:4" x14ac:dyDescent="0.25">
      <c r="A334" s="2">
        <v>329</v>
      </c>
      <c r="B334" s="7">
        <v>0</v>
      </c>
      <c r="C334" s="7">
        <v>0</v>
      </c>
      <c r="D334" s="7">
        <v>0</v>
      </c>
    </row>
    <row r="335" spans="1:4" x14ac:dyDescent="0.25">
      <c r="A335" s="2">
        <v>330</v>
      </c>
      <c r="B335" s="7">
        <v>0</v>
      </c>
      <c r="C335" s="7">
        <v>0</v>
      </c>
      <c r="D335" s="7">
        <v>0</v>
      </c>
    </row>
    <row r="336" spans="1:4" x14ac:dyDescent="0.25">
      <c r="A336" s="2">
        <v>331</v>
      </c>
      <c r="B336" s="7">
        <v>0</v>
      </c>
      <c r="C336" s="7">
        <v>0</v>
      </c>
      <c r="D336" s="7">
        <v>0</v>
      </c>
    </row>
    <row r="337" spans="1:4" x14ac:dyDescent="0.25">
      <c r="A337" s="2">
        <v>332</v>
      </c>
      <c r="B337" s="7">
        <v>0</v>
      </c>
      <c r="C337" s="7">
        <v>0</v>
      </c>
      <c r="D337" s="7">
        <v>0</v>
      </c>
    </row>
    <row r="338" spans="1:4" x14ac:dyDescent="0.25">
      <c r="A338" s="2">
        <v>333</v>
      </c>
      <c r="B338" s="7">
        <v>0</v>
      </c>
      <c r="C338" s="7">
        <v>0</v>
      </c>
      <c r="D338" s="7">
        <v>0</v>
      </c>
    </row>
    <row r="339" spans="1:4" x14ac:dyDescent="0.25">
      <c r="A339" s="2">
        <v>334</v>
      </c>
      <c r="B339" s="7">
        <v>0</v>
      </c>
      <c r="C339" s="7">
        <v>0</v>
      </c>
      <c r="D339" s="7">
        <v>0</v>
      </c>
    </row>
    <row r="340" spans="1:4" x14ac:dyDescent="0.25">
      <c r="A340" s="2">
        <v>335</v>
      </c>
      <c r="B340" s="7">
        <v>0</v>
      </c>
      <c r="C340" s="7">
        <v>0</v>
      </c>
      <c r="D340" s="7">
        <v>0</v>
      </c>
    </row>
    <row r="341" spans="1:4" x14ac:dyDescent="0.25">
      <c r="A341" s="2">
        <v>336</v>
      </c>
      <c r="B341" s="7">
        <v>0</v>
      </c>
      <c r="C341" s="7">
        <v>0</v>
      </c>
      <c r="D341" s="7">
        <v>0</v>
      </c>
    </row>
    <row r="342" spans="1:4" x14ac:dyDescent="0.25">
      <c r="A342" s="2">
        <v>337</v>
      </c>
      <c r="B342" s="7">
        <v>0</v>
      </c>
      <c r="C342" s="7">
        <v>0</v>
      </c>
      <c r="D342" s="7">
        <v>0</v>
      </c>
    </row>
    <row r="343" spans="1:4" x14ac:dyDescent="0.25">
      <c r="A343" s="2">
        <v>338</v>
      </c>
      <c r="B343" s="7">
        <v>0</v>
      </c>
      <c r="C343" s="7">
        <v>0</v>
      </c>
      <c r="D343" s="7">
        <v>0</v>
      </c>
    </row>
    <row r="344" spans="1:4" x14ac:dyDescent="0.25">
      <c r="A344" s="2">
        <v>339</v>
      </c>
      <c r="B344" s="7">
        <v>0</v>
      </c>
      <c r="C344" s="7">
        <v>0</v>
      </c>
      <c r="D344" s="7">
        <v>0</v>
      </c>
    </row>
    <row r="345" spans="1:4" x14ac:dyDescent="0.25">
      <c r="A345" s="2">
        <v>340</v>
      </c>
      <c r="B345" s="7">
        <v>0</v>
      </c>
      <c r="C345" s="7">
        <v>0</v>
      </c>
      <c r="D345" s="7">
        <v>0</v>
      </c>
    </row>
    <row r="346" spans="1:4" x14ac:dyDescent="0.25">
      <c r="A346" s="2">
        <v>341</v>
      </c>
      <c r="B346" s="7">
        <v>0</v>
      </c>
      <c r="C346" s="7">
        <v>0</v>
      </c>
      <c r="D346" s="7">
        <v>0</v>
      </c>
    </row>
    <row r="347" spans="1:4" x14ac:dyDescent="0.25">
      <c r="A347" s="2">
        <v>342</v>
      </c>
      <c r="B347" s="7">
        <v>0</v>
      </c>
      <c r="C347" s="7">
        <v>0</v>
      </c>
      <c r="D347" s="7">
        <v>0</v>
      </c>
    </row>
    <row r="348" spans="1:4" x14ac:dyDescent="0.25">
      <c r="A348" s="2">
        <v>343</v>
      </c>
      <c r="B348" s="7">
        <v>0</v>
      </c>
      <c r="C348" s="7">
        <v>0</v>
      </c>
      <c r="D348" s="7">
        <v>0</v>
      </c>
    </row>
    <row r="349" spans="1:4" x14ac:dyDescent="0.25">
      <c r="A349" s="2">
        <v>344</v>
      </c>
      <c r="B349" s="7">
        <v>0</v>
      </c>
      <c r="C349" s="7">
        <v>0</v>
      </c>
      <c r="D349" s="7">
        <v>0</v>
      </c>
    </row>
    <row r="350" spans="1:4" x14ac:dyDescent="0.25">
      <c r="A350" s="2">
        <v>345</v>
      </c>
      <c r="B350" s="7">
        <v>0</v>
      </c>
      <c r="C350" s="7">
        <v>0</v>
      </c>
      <c r="D350" s="7">
        <v>0</v>
      </c>
    </row>
    <row r="351" spans="1:4" x14ac:dyDescent="0.25">
      <c r="A351" s="2">
        <v>346</v>
      </c>
      <c r="B351" s="7">
        <v>0</v>
      </c>
      <c r="C351" s="7">
        <v>0</v>
      </c>
      <c r="D351" s="7">
        <v>0</v>
      </c>
    </row>
    <row r="352" spans="1:4" x14ac:dyDescent="0.25">
      <c r="A352" s="2">
        <v>347</v>
      </c>
      <c r="B352" s="7">
        <v>0</v>
      </c>
      <c r="C352" s="7">
        <v>0</v>
      </c>
      <c r="D352" s="7">
        <v>0</v>
      </c>
    </row>
    <row r="353" spans="1:4" x14ac:dyDescent="0.25">
      <c r="A353" s="2">
        <v>348</v>
      </c>
      <c r="B353" s="7">
        <v>0</v>
      </c>
      <c r="C353" s="7">
        <v>0</v>
      </c>
      <c r="D353" s="7">
        <v>0</v>
      </c>
    </row>
    <row r="354" spans="1:4" x14ac:dyDescent="0.25">
      <c r="A354" s="2">
        <v>349</v>
      </c>
      <c r="B354" s="7">
        <v>0</v>
      </c>
      <c r="C354" s="7">
        <v>0</v>
      </c>
      <c r="D354" s="7">
        <v>0</v>
      </c>
    </row>
    <row r="355" spans="1:4" x14ac:dyDescent="0.25">
      <c r="A355" s="2">
        <v>350</v>
      </c>
      <c r="B355" s="7">
        <v>0</v>
      </c>
      <c r="C355" s="7">
        <v>0</v>
      </c>
      <c r="D355" s="7">
        <v>0</v>
      </c>
    </row>
    <row r="356" spans="1:4" x14ac:dyDescent="0.25">
      <c r="A356" s="2">
        <v>351</v>
      </c>
      <c r="B356" s="7">
        <v>0</v>
      </c>
      <c r="C356" s="7">
        <v>0</v>
      </c>
      <c r="D356" s="7">
        <v>0</v>
      </c>
    </row>
    <row r="357" spans="1:4" x14ac:dyDescent="0.25">
      <c r="A357" s="2">
        <v>352</v>
      </c>
      <c r="B357" s="7">
        <v>0</v>
      </c>
      <c r="C357" s="7">
        <v>0</v>
      </c>
      <c r="D357" s="7">
        <v>0</v>
      </c>
    </row>
    <row r="358" spans="1:4" x14ac:dyDescent="0.25">
      <c r="A358" s="2">
        <v>353</v>
      </c>
      <c r="B358" s="7">
        <v>0</v>
      </c>
      <c r="C358" s="7">
        <v>0</v>
      </c>
      <c r="D358" s="7">
        <v>0</v>
      </c>
    </row>
    <row r="359" spans="1:4" x14ac:dyDescent="0.25">
      <c r="A359" s="2">
        <v>354</v>
      </c>
      <c r="B359" s="7">
        <v>0</v>
      </c>
      <c r="C359" s="7">
        <v>0</v>
      </c>
      <c r="D359" s="7">
        <v>0</v>
      </c>
    </row>
    <row r="360" spans="1:4" x14ac:dyDescent="0.25">
      <c r="A360" s="2">
        <v>355</v>
      </c>
      <c r="B360" s="7">
        <v>0</v>
      </c>
      <c r="C360" s="7">
        <v>0</v>
      </c>
      <c r="D360" s="7">
        <v>0</v>
      </c>
    </row>
    <row r="361" spans="1:4" x14ac:dyDescent="0.25">
      <c r="A361" s="2">
        <v>356</v>
      </c>
      <c r="B361" s="7">
        <v>0</v>
      </c>
      <c r="C361" s="7">
        <v>0</v>
      </c>
      <c r="D361" s="7">
        <v>0</v>
      </c>
    </row>
    <row r="362" spans="1:4" x14ac:dyDescent="0.25">
      <c r="A362" s="2">
        <v>357</v>
      </c>
      <c r="B362" s="7">
        <v>0</v>
      </c>
      <c r="C362" s="7">
        <v>0</v>
      </c>
      <c r="D362" s="7">
        <v>0</v>
      </c>
    </row>
    <row r="363" spans="1:4" x14ac:dyDescent="0.25">
      <c r="A363" s="2">
        <v>358</v>
      </c>
      <c r="B363" s="7">
        <v>0</v>
      </c>
      <c r="C363" s="7">
        <v>0</v>
      </c>
      <c r="D363" s="7">
        <v>0</v>
      </c>
    </row>
    <row r="364" spans="1:4" x14ac:dyDescent="0.25">
      <c r="A364" s="2">
        <v>359</v>
      </c>
      <c r="B364" s="7">
        <v>0</v>
      </c>
      <c r="C364" s="7">
        <v>0</v>
      </c>
      <c r="D364" s="7">
        <v>0</v>
      </c>
    </row>
    <row r="365" spans="1:4" x14ac:dyDescent="0.25">
      <c r="A365" s="2">
        <v>360</v>
      </c>
      <c r="B365" s="7">
        <v>0</v>
      </c>
      <c r="C365" s="7">
        <v>0</v>
      </c>
      <c r="D365" s="7">
        <v>0</v>
      </c>
    </row>
    <row r="366" spans="1:4" x14ac:dyDescent="0.25">
      <c r="A366" s="2">
        <v>361</v>
      </c>
      <c r="B366" s="7">
        <v>0</v>
      </c>
      <c r="C366" s="7">
        <v>0</v>
      </c>
      <c r="D366" s="7">
        <v>0</v>
      </c>
    </row>
    <row r="367" spans="1:4" x14ac:dyDescent="0.25">
      <c r="A367" s="2">
        <v>362</v>
      </c>
      <c r="B367" s="7">
        <v>0</v>
      </c>
      <c r="C367" s="7">
        <v>0</v>
      </c>
      <c r="D367" s="7">
        <v>0</v>
      </c>
    </row>
    <row r="368" spans="1:4" x14ac:dyDescent="0.25">
      <c r="A368" s="2">
        <v>363</v>
      </c>
      <c r="B368" s="7">
        <v>0</v>
      </c>
      <c r="C368" s="7">
        <v>0</v>
      </c>
      <c r="D368" s="7">
        <v>0</v>
      </c>
    </row>
    <row r="369" spans="1:4" x14ac:dyDescent="0.25">
      <c r="A369" s="2">
        <v>364</v>
      </c>
      <c r="B369" s="7">
        <v>0</v>
      </c>
      <c r="C369" s="7">
        <v>0</v>
      </c>
      <c r="D369" s="7">
        <v>0</v>
      </c>
    </row>
    <row r="370" spans="1:4" x14ac:dyDescent="0.25">
      <c r="A370" s="2">
        <v>365</v>
      </c>
      <c r="B370" s="7">
        <v>0</v>
      </c>
      <c r="C370" s="7">
        <v>0</v>
      </c>
      <c r="D370" s="7">
        <v>0</v>
      </c>
    </row>
    <row r="371" spans="1:4" x14ac:dyDescent="0.25">
      <c r="A371" s="2">
        <v>366</v>
      </c>
      <c r="B371" s="7">
        <v>0</v>
      </c>
      <c r="C371" s="7">
        <v>0</v>
      </c>
      <c r="D371" s="7">
        <v>0</v>
      </c>
    </row>
    <row r="372" spans="1:4" x14ac:dyDescent="0.25">
      <c r="A372" s="2">
        <v>367</v>
      </c>
      <c r="B372" s="7">
        <v>0</v>
      </c>
      <c r="C372" s="7">
        <v>0</v>
      </c>
      <c r="D372" s="7">
        <v>0</v>
      </c>
    </row>
    <row r="373" spans="1:4" x14ac:dyDescent="0.25">
      <c r="A373" s="2">
        <v>368</v>
      </c>
      <c r="B373" s="7">
        <v>0</v>
      </c>
      <c r="C373" s="7">
        <v>0</v>
      </c>
      <c r="D373" s="7">
        <v>0</v>
      </c>
    </row>
    <row r="374" spans="1:4" x14ac:dyDescent="0.25">
      <c r="A374" s="2">
        <v>369</v>
      </c>
      <c r="B374" s="7">
        <v>0</v>
      </c>
      <c r="C374" s="7">
        <v>0</v>
      </c>
      <c r="D374" s="7">
        <v>0</v>
      </c>
    </row>
    <row r="375" spans="1:4" x14ac:dyDescent="0.25">
      <c r="A375" s="2">
        <v>370</v>
      </c>
      <c r="B375" s="7">
        <v>0</v>
      </c>
      <c r="C375" s="7">
        <v>0</v>
      </c>
      <c r="D375" s="7">
        <v>0</v>
      </c>
    </row>
    <row r="376" spans="1:4" x14ac:dyDescent="0.25">
      <c r="A376" s="2">
        <v>371</v>
      </c>
      <c r="B376" s="7">
        <v>0</v>
      </c>
      <c r="C376" s="7">
        <v>0</v>
      </c>
      <c r="D376" s="7">
        <v>0</v>
      </c>
    </row>
    <row r="377" spans="1:4" x14ac:dyDescent="0.25">
      <c r="A377" s="2">
        <v>372</v>
      </c>
      <c r="B377" s="7">
        <v>0</v>
      </c>
      <c r="C377" s="7">
        <v>0</v>
      </c>
      <c r="D377" s="7">
        <v>0</v>
      </c>
    </row>
    <row r="378" spans="1:4" x14ac:dyDescent="0.25">
      <c r="A378" s="2">
        <v>373</v>
      </c>
      <c r="B378" s="7">
        <v>0</v>
      </c>
      <c r="C378" s="7">
        <v>0</v>
      </c>
      <c r="D378" s="7">
        <v>0</v>
      </c>
    </row>
    <row r="379" spans="1:4" x14ac:dyDescent="0.25">
      <c r="A379" s="2">
        <v>374</v>
      </c>
      <c r="B379" s="7">
        <v>0</v>
      </c>
      <c r="C379" s="7">
        <v>0</v>
      </c>
      <c r="D379" s="7">
        <v>0</v>
      </c>
    </row>
    <row r="380" spans="1:4" x14ac:dyDescent="0.25">
      <c r="A380" s="2">
        <v>375</v>
      </c>
      <c r="B380" s="7">
        <v>0</v>
      </c>
      <c r="C380" s="7">
        <v>0</v>
      </c>
      <c r="D380" s="7">
        <v>0</v>
      </c>
    </row>
    <row r="381" spans="1:4" x14ac:dyDescent="0.25">
      <c r="A381" s="2">
        <v>376</v>
      </c>
      <c r="B381" s="7">
        <v>0</v>
      </c>
      <c r="C381" s="7">
        <v>0</v>
      </c>
      <c r="D381" s="7">
        <v>0</v>
      </c>
    </row>
    <row r="382" spans="1:4" x14ac:dyDescent="0.25">
      <c r="A382" s="2">
        <v>377</v>
      </c>
      <c r="B382" s="7">
        <v>0</v>
      </c>
      <c r="C382" s="7">
        <v>0</v>
      </c>
      <c r="D382" s="7">
        <v>0</v>
      </c>
    </row>
    <row r="383" spans="1:4" x14ac:dyDescent="0.25">
      <c r="A383" s="2">
        <v>378</v>
      </c>
      <c r="B383" s="7">
        <v>0</v>
      </c>
      <c r="C383" s="7">
        <v>0</v>
      </c>
      <c r="D383" s="7">
        <v>0</v>
      </c>
    </row>
    <row r="384" spans="1:4" x14ac:dyDescent="0.25">
      <c r="A384" s="2">
        <v>379</v>
      </c>
      <c r="B384" s="7">
        <v>0</v>
      </c>
      <c r="C384" s="7">
        <v>0</v>
      </c>
      <c r="D384" s="7">
        <v>0</v>
      </c>
    </row>
    <row r="385" spans="1:4" x14ac:dyDescent="0.25">
      <c r="A385" s="2">
        <v>380</v>
      </c>
      <c r="B385" s="7">
        <v>0</v>
      </c>
      <c r="C385" s="7">
        <v>0</v>
      </c>
      <c r="D385" s="7">
        <v>0</v>
      </c>
    </row>
    <row r="386" spans="1:4" x14ac:dyDescent="0.25">
      <c r="A386" s="2">
        <v>381</v>
      </c>
      <c r="B386" s="7">
        <v>0</v>
      </c>
      <c r="C386" s="7">
        <v>0</v>
      </c>
      <c r="D386" s="7">
        <v>0</v>
      </c>
    </row>
    <row r="387" spans="1:4" x14ac:dyDescent="0.25">
      <c r="A387" s="2">
        <v>382</v>
      </c>
      <c r="B387" s="7">
        <v>0</v>
      </c>
      <c r="C387" s="7">
        <v>0</v>
      </c>
      <c r="D387" s="7">
        <v>0</v>
      </c>
    </row>
    <row r="388" spans="1:4" x14ac:dyDescent="0.25">
      <c r="A388" s="2">
        <v>383</v>
      </c>
      <c r="B388" s="7">
        <v>0</v>
      </c>
      <c r="C388" s="7">
        <v>0</v>
      </c>
      <c r="D388" s="7">
        <v>0</v>
      </c>
    </row>
    <row r="389" spans="1:4" x14ac:dyDescent="0.25">
      <c r="A389" s="2">
        <v>384</v>
      </c>
      <c r="B389" s="7">
        <v>0</v>
      </c>
      <c r="C389" s="7">
        <v>0</v>
      </c>
      <c r="D389" s="7">
        <v>0</v>
      </c>
    </row>
    <row r="390" spans="1:4" x14ac:dyDescent="0.25">
      <c r="A390" s="2">
        <v>385</v>
      </c>
      <c r="B390" s="7">
        <v>0</v>
      </c>
      <c r="C390" s="7">
        <v>0</v>
      </c>
      <c r="D390" s="7">
        <v>0</v>
      </c>
    </row>
    <row r="391" spans="1:4" x14ac:dyDescent="0.25">
      <c r="A391" s="2">
        <v>386</v>
      </c>
      <c r="B391" s="7">
        <v>0</v>
      </c>
      <c r="C391" s="7">
        <v>0</v>
      </c>
      <c r="D391" s="7">
        <v>0</v>
      </c>
    </row>
    <row r="392" spans="1:4" x14ac:dyDescent="0.25">
      <c r="A392" s="2">
        <v>387</v>
      </c>
      <c r="B392" s="7">
        <v>0</v>
      </c>
      <c r="C392" s="7">
        <v>0</v>
      </c>
      <c r="D392" s="7">
        <v>0</v>
      </c>
    </row>
    <row r="393" spans="1:4" x14ac:dyDescent="0.25">
      <c r="A393" s="2">
        <v>388</v>
      </c>
      <c r="B393" s="7">
        <v>0</v>
      </c>
      <c r="C393" s="7">
        <v>0</v>
      </c>
      <c r="D393" s="7">
        <v>0</v>
      </c>
    </row>
    <row r="394" spans="1:4" x14ac:dyDescent="0.25">
      <c r="A394" s="2">
        <v>389</v>
      </c>
      <c r="B394" s="7">
        <v>0</v>
      </c>
      <c r="C394" s="7">
        <v>0</v>
      </c>
      <c r="D394" s="7">
        <v>0</v>
      </c>
    </row>
    <row r="395" spans="1:4" x14ac:dyDescent="0.25">
      <c r="A395" s="2">
        <v>390</v>
      </c>
      <c r="B395" s="7">
        <v>0</v>
      </c>
      <c r="C395" s="7">
        <v>0</v>
      </c>
      <c r="D395" s="7">
        <v>0</v>
      </c>
    </row>
    <row r="396" spans="1:4" x14ac:dyDescent="0.25">
      <c r="A396" s="2">
        <v>391</v>
      </c>
      <c r="B396" s="7">
        <v>0</v>
      </c>
      <c r="C396" s="7">
        <v>0</v>
      </c>
      <c r="D396" s="7">
        <v>0</v>
      </c>
    </row>
    <row r="397" spans="1:4" x14ac:dyDescent="0.25">
      <c r="A397" s="2">
        <v>392</v>
      </c>
      <c r="B397" s="7">
        <v>0</v>
      </c>
      <c r="C397" s="7">
        <v>0</v>
      </c>
      <c r="D397" s="7">
        <v>0</v>
      </c>
    </row>
    <row r="398" spans="1:4" x14ac:dyDescent="0.25">
      <c r="A398" s="2">
        <v>393</v>
      </c>
      <c r="B398" s="7">
        <v>0</v>
      </c>
      <c r="C398" s="7">
        <v>0</v>
      </c>
      <c r="D398" s="7">
        <v>0</v>
      </c>
    </row>
    <row r="399" spans="1:4" x14ac:dyDescent="0.25">
      <c r="A399" s="2">
        <v>394</v>
      </c>
      <c r="B399" s="7">
        <v>0</v>
      </c>
      <c r="C399" s="7">
        <v>0</v>
      </c>
      <c r="D399" s="7">
        <v>0</v>
      </c>
    </row>
    <row r="400" spans="1:4" x14ac:dyDescent="0.25">
      <c r="A400" s="2">
        <v>395</v>
      </c>
      <c r="B400" s="7">
        <v>0</v>
      </c>
      <c r="C400" s="7">
        <v>0</v>
      </c>
      <c r="D400" s="7">
        <v>0</v>
      </c>
    </row>
    <row r="401" spans="1:4" x14ac:dyDescent="0.25">
      <c r="A401" s="2">
        <v>396</v>
      </c>
      <c r="B401" s="7">
        <v>0</v>
      </c>
      <c r="C401" s="7">
        <v>0</v>
      </c>
      <c r="D401" s="7">
        <v>0</v>
      </c>
    </row>
    <row r="402" spans="1:4" x14ac:dyDescent="0.25">
      <c r="A402" s="2">
        <v>397</v>
      </c>
      <c r="B402" s="7">
        <v>0</v>
      </c>
      <c r="C402" s="7">
        <v>0</v>
      </c>
      <c r="D402" s="7">
        <v>0</v>
      </c>
    </row>
    <row r="403" spans="1:4" x14ac:dyDescent="0.25">
      <c r="A403" s="2">
        <v>398</v>
      </c>
      <c r="B403" s="7">
        <v>0</v>
      </c>
      <c r="C403" s="7">
        <v>0</v>
      </c>
      <c r="D403" s="7">
        <v>0</v>
      </c>
    </row>
    <row r="404" spans="1:4" x14ac:dyDescent="0.25">
      <c r="A404" s="2">
        <v>399</v>
      </c>
      <c r="B404" s="7">
        <v>0</v>
      </c>
      <c r="C404" s="7">
        <v>0</v>
      </c>
      <c r="D404" s="7">
        <v>0</v>
      </c>
    </row>
    <row r="405" spans="1:4" x14ac:dyDescent="0.25">
      <c r="A405" s="2">
        <v>400</v>
      </c>
      <c r="B405" s="7">
        <v>0</v>
      </c>
      <c r="C405" s="7">
        <v>0</v>
      </c>
      <c r="D405" s="7">
        <v>0</v>
      </c>
    </row>
    <row r="406" spans="1:4" x14ac:dyDescent="0.25">
      <c r="A406" s="2">
        <v>401</v>
      </c>
      <c r="B406" s="7">
        <v>0</v>
      </c>
      <c r="C406" s="7">
        <v>0</v>
      </c>
      <c r="D406" s="7">
        <v>0</v>
      </c>
    </row>
    <row r="407" spans="1:4" x14ac:dyDescent="0.25">
      <c r="A407" s="2">
        <v>402</v>
      </c>
      <c r="B407" s="7">
        <v>0</v>
      </c>
      <c r="C407" s="7">
        <v>0</v>
      </c>
      <c r="D407" s="7">
        <v>0</v>
      </c>
    </row>
    <row r="408" spans="1:4" x14ac:dyDescent="0.25">
      <c r="A408" s="2">
        <v>403</v>
      </c>
      <c r="B408" s="7">
        <v>0</v>
      </c>
      <c r="C408" s="7">
        <v>0</v>
      </c>
      <c r="D408" s="7">
        <v>0</v>
      </c>
    </row>
    <row r="409" spans="1:4" x14ac:dyDescent="0.25">
      <c r="A409" s="2">
        <v>404</v>
      </c>
      <c r="B409" s="7">
        <v>0</v>
      </c>
      <c r="C409" s="7">
        <v>0</v>
      </c>
      <c r="D409" s="7">
        <v>0</v>
      </c>
    </row>
    <row r="410" spans="1:4" x14ac:dyDescent="0.25">
      <c r="A410" s="2">
        <v>405</v>
      </c>
      <c r="B410" s="7">
        <v>0</v>
      </c>
      <c r="C410" s="7">
        <v>0</v>
      </c>
      <c r="D410" s="7">
        <v>0</v>
      </c>
    </row>
    <row r="411" spans="1:4" x14ac:dyDescent="0.25">
      <c r="A411" s="2">
        <v>406</v>
      </c>
      <c r="B411" s="7">
        <v>0</v>
      </c>
      <c r="C411" s="7">
        <v>0</v>
      </c>
      <c r="D411" s="7">
        <v>0</v>
      </c>
    </row>
    <row r="412" spans="1:4" x14ac:dyDescent="0.25">
      <c r="A412" s="2">
        <v>407</v>
      </c>
      <c r="B412" s="7">
        <v>0</v>
      </c>
      <c r="C412" s="7">
        <v>0</v>
      </c>
      <c r="D412" s="7">
        <v>0</v>
      </c>
    </row>
    <row r="413" spans="1:4" x14ac:dyDescent="0.25">
      <c r="A413" s="2">
        <v>408</v>
      </c>
      <c r="B413" s="7">
        <v>0</v>
      </c>
      <c r="C413" s="7">
        <v>0</v>
      </c>
      <c r="D413" s="7">
        <v>0</v>
      </c>
    </row>
    <row r="414" spans="1:4" x14ac:dyDescent="0.25">
      <c r="A414" s="2">
        <v>409</v>
      </c>
      <c r="B414" s="7">
        <v>0</v>
      </c>
      <c r="C414" s="7">
        <v>0</v>
      </c>
      <c r="D414" s="7">
        <v>0</v>
      </c>
    </row>
    <row r="415" spans="1:4" x14ac:dyDescent="0.25">
      <c r="A415" s="2">
        <v>410</v>
      </c>
      <c r="B415" s="7">
        <v>0</v>
      </c>
      <c r="C415" s="7">
        <v>0</v>
      </c>
      <c r="D415" s="7">
        <v>0</v>
      </c>
    </row>
    <row r="416" spans="1:4" x14ac:dyDescent="0.25">
      <c r="A416" s="2">
        <v>411</v>
      </c>
      <c r="B416" s="7">
        <v>0</v>
      </c>
      <c r="C416" s="7">
        <v>0</v>
      </c>
      <c r="D416" s="7">
        <v>0</v>
      </c>
    </row>
    <row r="417" spans="1:4" x14ac:dyDescent="0.25">
      <c r="A417" s="2">
        <v>412</v>
      </c>
      <c r="B417" s="7">
        <v>0</v>
      </c>
      <c r="C417" s="7">
        <v>0</v>
      </c>
      <c r="D417" s="7">
        <v>0</v>
      </c>
    </row>
    <row r="418" spans="1:4" x14ac:dyDescent="0.25">
      <c r="A418" s="2">
        <v>413</v>
      </c>
      <c r="B418" s="7">
        <v>0</v>
      </c>
      <c r="C418" s="7">
        <v>0</v>
      </c>
      <c r="D418" s="7">
        <v>0</v>
      </c>
    </row>
    <row r="419" spans="1:4" x14ac:dyDescent="0.25">
      <c r="A419" s="2">
        <v>414</v>
      </c>
      <c r="B419" s="7">
        <v>0</v>
      </c>
      <c r="C419" s="7">
        <v>0</v>
      </c>
      <c r="D419" s="7">
        <v>0</v>
      </c>
    </row>
    <row r="420" spans="1:4" x14ac:dyDescent="0.25">
      <c r="A420" s="2">
        <v>415</v>
      </c>
      <c r="B420" s="7">
        <v>0</v>
      </c>
      <c r="C420" s="7">
        <v>0</v>
      </c>
      <c r="D420" s="7">
        <v>0</v>
      </c>
    </row>
    <row r="421" spans="1:4" x14ac:dyDescent="0.25">
      <c r="A421" s="2">
        <v>416</v>
      </c>
      <c r="B421" s="7">
        <v>0</v>
      </c>
      <c r="C421" s="7">
        <v>0</v>
      </c>
      <c r="D421" s="7">
        <v>0</v>
      </c>
    </row>
    <row r="422" spans="1:4" x14ac:dyDescent="0.25">
      <c r="A422" s="2">
        <v>417</v>
      </c>
      <c r="B422" s="7">
        <v>0</v>
      </c>
      <c r="C422" s="7">
        <v>0</v>
      </c>
      <c r="D422" s="7">
        <v>0</v>
      </c>
    </row>
    <row r="423" spans="1:4" x14ac:dyDescent="0.25">
      <c r="A423" s="2">
        <v>418</v>
      </c>
      <c r="B423" s="7">
        <v>0</v>
      </c>
      <c r="C423" s="7">
        <v>0</v>
      </c>
      <c r="D423" s="7">
        <v>0</v>
      </c>
    </row>
    <row r="424" spans="1:4" x14ac:dyDescent="0.25">
      <c r="A424" s="2">
        <v>419</v>
      </c>
      <c r="B424" s="7">
        <v>0</v>
      </c>
      <c r="C424" s="7">
        <v>0</v>
      </c>
      <c r="D424" s="7">
        <v>0</v>
      </c>
    </row>
    <row r="425" spans="1:4" x14ac:dyDescent="0.25">
      <c r="A425" s="2">
        <v>420</v>
      </c>
      <c r="B425" s="7">
        <v>0</v>
      </c>
      <c r="C425" s="7">
        <v>0</v>
      </c>
      <c r="D425" s="7">
        <v>0</v>
      </c>
    </row>
    <row r="426" spans="1:4" x14ac:dyDescent="0.25">
      <c r="A426" s="2">
        <v>421</v>
      </c>
      <c r="B426" s="7">
        <v>0</v>
      </c>
      <c r="C426" s="7">
        <v>0</v>
      </c>
      <c r="D426" s="7">
        <v>0</v>
      </c>
    </row>
    <row r="427" spans="1:4" x14ac:dyDescent="0.25">
      <c r="A427" s="2">
        <v>422</v>
      </c>
      <c r="B427" s="7">
        <v>0</v>
      </c>
      <c r="C427" s="7">
        <v>0</v>
      </c>
      <c r="D427" s="7">
        <v>0</v>
      </c>
    </row>
    <row r="428" spans="1:4" x14ac:dyDescent="0.25">
      <c r="A428" s="2">
        <v>423</v>
      </c>
      <c r="B428" s="7">
        <v>0</v>
      </c>
      <c r="C428" s="7">
        <v>0</v>
      </c>
      <c r="D428" s="7">
        <v>0</v>
      </c>
    </row>
    <row r="429" spans="1:4" x14ac:dyDescent="0.25">
      <c r="A429" s="2">
        <v>424</v>
      </c>
      <c r="B429" s="7">
        <v>0</v>
      </c>
      <c r="C429" s="7">
        <v>0</v>
      </c>
      <c r="D429" s="7">
        <v>0</v>
      </c>
    </row>
    <row r="430" spans="1:4" x14ac:dyDescent="0.25">
      <c r="A430" s="2">
        <v>425</v>
      </c>
      <c r="B430" s="7">
        <v>0</v>
      </c>
      <c r="C430" s="7">
        <v>0</v>
      </c>
      <c r="D430" s="7">
        <v>0</v>
      </c>
    </row>
    <row r="431" spans="1:4" x14ac:dyDescent="0.25">
      <c r="A431" s="2">
        <v>426</v>
      </c>
      <c r="B431" s="7">
        <v>0</v>
      </c>
      <c r="C431" s="7">
        <v>0</v>
      </c>
      <c r="D431" s="7">
        <v>0</v>
      </c>
    </row>
    <row r="432" spans="1:4" x14ac:dyDescent="0.25">
      <c r="A432" s="2">
        <v>427</v>
      </c>
      <c r="B432" s="7">
        <v>0</v>
      </c>
      <c r="C432" s="7">
        <v>0</v>
      </c>
      <c r="D432" s="7">
        <v>0</v>
      </c>
    </row>
    <row r="433" spans="1:4" x14ac:dyDescent="0.25">
      <c r="A433" s="2">
        <v>428</v>
      </c>
      <c r="B433" s="7">
        <v>0</v>
      </c>
      <c r="C433" s="7">
        <v>0</v>
      </c>
      <c r="D433" s="7">
        <v>0</v>
      </c>
    </row>
    <row r="434" spans="1:4" x14ac:dyDescent="0.25">
      <c r="A434" s="2">
        <v>429</v>
      </c>
      <c r="B434" s="7">
        <v>0</v>
      </c>
      <c r="C434" s="7">
        <v>0</v>
      </c>
      <c r="D434" s="7">
        <v>0</v>
      </c>
    </row>
    <row r="435" spans="1:4" x14ac:dyDescent="0.25">
      <c r="A435" s="2">
        <v>430</v>
      </c>
      <c r="B435" s="7">
        <v>0</v>
      </c>
      <c r="C435" s="7">
        <v>0</v>
      </c>
      <c r="D435" s="7">
        <v>0</v>
      </c>
    </row>
    <row r="436" spans="1:4" x14ac:dyDescent="0.25">
      <c r="A436" s="2">
        <v>431</v>
      </c>
      <c r="B436" s="7">
        <v>0</v>
      </c>
      <c r="C436" s="7">
        <v>0</v>
      </c>
      <c r="D436" s="7">
        <v>0</v>
      </c>
    </row>
    <row r="437" spans="1:4" x14ac:dyDescent="0.25">
      <c r="A437" s="2">
        <v>432</v>
      </c>
      <c r="B437" s="7">
        <v>0</v>
      </c>
      <c r="C437" s="7">
        <v>0</v>
      </c>
      <c r="D437" s="7">
        <v>0</v>
      </c>
    </row>
    <row r="438" spans="1:4" x14ac:dyDescent="0.25">
      <c r="A438" s="2">
        <v>433</v>
      </c>
      <c r="B438" s="7">
        <v>0</v>
      </c>
      <c r="C438" s="7">
        <v>0</v>
      </c>
      <c r="D438" s="7">
        <v>0</v>
      </c>
    </row>
    <row r="439" spans="1:4" x14ac:dyDescent="0.25">
      <c r="A439" s="2">
        <v>434</v>
      </c>
      <c r="B439" s="7">
        <v>0</v>
      </c>
      <c r="C439" s="7">
        <v>0</v>
      </c>
      <c r="D439" s="7">
        <v>0</v>
      </c>
    </row>
    <row r="440" spans="1:4" x14ac:dyDescent="0.25">
      <c r="A440" s="2">
        <v>435</v>
      </c>
      <c r="B440" s="7">
        <v>0</v>
      </c>
      <c r="C440" s="7">
        <v>0</v>
      </c>
      <c r="D440" s="7">
        <v>0</v>
      </c>
    </row>
    <row r="441" spans="1:4" x14ac:dyDescent="0.25">
      <c r="A441" s="2">
        <v>436</v>
      </c>
      <c r="B441" s="7">
        <v>0</v>
      </c>
      <c r="C441" s="7">
        <v>0</v>
      </c>
      <c r="D441" s="7">
        <v>0</v>
      </c>
    </row>
    <row r="442" spans="1:4" x14ac:dyDescent="0.25">
      <c r="A442" s="2">
        <v>437</v>
      </c>
      <c r="B442" s="7">
        <v>0</v>
      </c>
      <c r="C442" s="7">
        <v>0</v>
      </c>
      <c r="D442" s="7">
        <v>0</v>
      </c>
    </row>
    <row r="443" spans="1:4" x14ac:dyDescent="0.25">
      <c r="A443" s="2">
        <v>438</v>
      </c>
      <c r="B443" s="7">
        <v>0</v>
      </c>
      <c r="C443" s="7">
        <v>0</v>
      </c>
      <c r="D443" s="7">
        <v>0</v>
      </c>
    </row>
    <row r="444" spans="1:4" x14ac:dyDescent="0.25">
      <c r="A444" s="2">
        <v>439</v>
      </c>
      <c r="B444" s="7">
        <v>0</v>
      </c>
      <c r="C444" s="7">
        <v>0</v>
      </c>
      <c r="D444" s="7">
        <v>0</v>
      </c>
    </row>
    <row r="445" spans="1:4" x14ac:dyDescent="0.25">
      <c r="A445" s="2">
        <v>440</v>
      </c>
      <c r="B445" s="7">
        <v>0</v>
      </c>
      <c r="C445" s="7">
        <v>0</v>
      </c>
      <c r="D445" s="7">
        <v>0</v>
      </c>
    </row>
    <row r="446" spans="1:4" x14ac:dyDescent="0.25">
      <c r="A446" s="2">
        <v>441</v>
      </c>
      <c r="B446" s="7">
        <v>0</v>
      </c>
      <c r="C446" s="7">
        <v>0</v>
      </c>
      <c r="D446" s="7">
        <v>0</v>
      </c>
    </row>
    <row r="447" spans="1:4" x14ac:dyDescent="0.25">
      <c r="A447" s="2">
        <v>442</v>
      </c>
      <c r="B447" s="7">
        <v>0</v>
      </c>
      <c r="C447" s="7">
        <v>0</v>
      </c>
      <c r="D447" s="7">
        <v>0</v>
      </c>
    </row>
    <row r="448" spans="1:4" x14ac:dyDescent="0.25">
      <c r="A448" s="2">
        <v>443</v>
      </c>
      <c r="B448" s="7">
        <v>0</v>
      </c>
      <c r="C448" s="7">
        <v>0</v>
      </c>
      <c r="D448" s="7">
        <v>0</v>
      </c>
    </row>
    <row r="449" spans="1:4" x14ac:dyDescent="0.25">
      <c r="A449" s="2">
        <v>444</v>
      </c>
      <c r="B449" s="7">
        <v>0</v>
      </c>
      <c r="C449" s="7">
        <v>0</v>
      </c>
      <c r="D449" s="7">
        <v>0</v>
      </c>
    </row>
    <row r="450" spans="1:4" x14ac:dyDescent="0.25">
      <c r="A450" s="2">
        <v>445</v>
      </c>
      <c r="B450" s="7">
        <v>0</v>
      </c>
      <c r="C450" s="7">
        <v>0</v>
      </c>
      <c r="D450" s="7">
        <v>0</v>
      </c>
    </row>
    <row r="451" spans="1:4" x14ac:dyDescent="0.25">
      <c r="A451" s="2">
        <v>446</v>
      </c>
      <c r="B451" s="7">
        <v>0</v>
      </c>
      <c r="C451" s="7">
        <v>0</v>
      </c>
      <c r="D451" s="7">
        <v>0</v>
      </c>
    </row>
    <row r="452" spans="1:4" x14ac:dyDescent="0.25">
      <c r="A452" s="2">
        <v>447</v>
      </c>
      <c r="B452" s="7">
        <v>0</v>
      </c>
      <c r="C452" s="7">
        <v>0</v>
      </c>
      <c r="D452" s="7">
        <v>0</v>
      </c>
    </row>
    <row r="453" spans="1:4" x14ac:dyDescent="0.25">
      <c r="A453" s="2">
        <v>448</v>
      </c>
      <c r="B453" s="7">
        <v>0</v>
      </c>
      <c r="C453" s="7">
        <v>0</v>
      </c>
      <c r="D453" s="7">
        <v>0</v>
      </c>
    </row>
    <row r="454" spans="1:4" x14ac:dyDescent="0.25">
      <c r="A454" s="2">
        <v>449</v>
      </c>
      <c r="B454" s="7">
        <v>0</v>
      </c>
      <c r="C454" s="7">
        <v>0</v>
      </c>
      <c r="D454" s="7">
        <v>0</v>
      </c>
    </row>
    <row r="455" spans="1:4" x14ac:dyDescent="0.25">
      <c r="A455" s="2">
        <v>450</v>
      </c>
      <c r="B455" s="7">
        <v>0</v>
      </c>
      <c r="C455" s="7">
        <v>0</v>
      </c>
      <c r="D455" s="7">
        <v>0</v>
      </c>
    </row>
    <row r="456" spans="1:4" x14ac:dyDescent="0.25">
      <c r="A456" s="2">
        <v>451</v>
      </c>
      <c r="B456" s="7">
        <v>0</v>
      </c>
      <c r="C456" s="7">
        <v>0</v>
      </c>
      <c r="D456" s="7">
        <v>0</v>
      </c>
    </row>
    <row r="457" spans="1:4" x14ac:dyDescent="0.25">
      <c r="A457" s="2">
        <v>452</v>
      </c>
      <c r="B457" s="7">
        <v>0</v>
      </c>
      <c r="C457" s="7">
        <v>0</v>
      </c>
      <c r="D457" s="7">
        <v>0</v>
      </c>
    </row>
    <row r="458" spans="1:4" x14ac:dyDescent="0.25">
      <c r="A458" s="2">
        <v>453</v>
      </c>
      <c r="B458" s="7">
        <v>0</v>
      </c>
      <c r="C458" s="7">
        <v>0</v>
      </c>
      <c r="D458" s="7">
        <v>0</v>
      </c>
    </row>
    <row r="459" spans="1:4" x14ac:dyDescent="0.25">
      <c r="A459" s="2">
        <v>454</v>
      </c>
      <c r="B459" s="7">
        <v>0</v>
      </c>
      <c r="C459" s="7">
        <v>0</v>
      </c>
      <c r="D459" s="7">
        <v>0</v>
      </c>
    </row>
    <row r="460" spans="1:4" x14ac:dyDescent="0.25">
      <c r="A460" s="2">
        <v>455</v>
      </c>
      <c r="B460" s="7">
        <v>0</v>
      </c>
      <c r="C460" s="7">
        <v>0</v>
      </c>
      <c r="D460" s="7">
        <v>0</v>
      </c>
    </row>
    <row r="461" spans="1:4" x14ac:dyDescent="0.25">
      <c r="A461" s="2">
        <v>456</v>
      </c>
      <c r="B461" s="7">
        <v>0</v>
      </c>
      <c r="C461" s="7">
        <v>0</v>
      </c>
      <c r="D461" s="7">
        <v>0</v>
      </c>
    </row>
    <row r="462" spans="1:4" x14ac:dyDescent="0.25">
      <c r="A462" s="2">
        <v>457</v>
      </c>
      <c r="B462" s="7">
        <v>0</v>
      </c>
      <c r="C462" s="7">
        <v>0</v>
      </c>
      <c r="D462" s="7">
        <v>0</v>
      </c>
    </row>
    <row r="463" spans="1:4" x14ac:dyDescent="0.25">
      <c r="A463" s="2">
        <v>458</v>
      </c>
      <c r="B463" s="7">
        <v>0</v>
      </c>
      <c r="C463" s="7">
        <v>0</v>
      </c>
      <c r="D463" s="7">
        <v>0</v>
      </c>
    </row>
    <row r="464" spans="1:4" x14ac:dyDescent="0.25">
      <c r="A464" s="2">
        <v>459</v>
      </c>
      <c r="B464" s="7">
        <v>0</v>
      </c>
      <c r="C464" s="7">
        <v>0</v>
      </c>
      <c r="D464" s="7">
        <v>0</v>
      </c>
    </row>
    <row r="465" spans="1:4" x14ac:dyDescent="0.25">
      <c r="A465" s="2">
        <v>460</v>
      </c>
      <c r="B465" s="7">
        <v>0</v>
      </c>
      <c r="C465" s="7">
        <v>0</v>
      </c>
      <c r="D465" s="7">
        <v>0</v>
      </c>
    </row>
    <row r="466" spans="1:4" x14ac:dyDescent="0.25">
      <c r="A466" s="2">
        <v>461</v>
      </c>
      <c r="B466" s="7">
        <v>0</v>
      </c>
      <c r="C466" s="7">
        <v>0</v>
      </c>
      <c r="D466" s="7">
        <v>0</v>
      </c>
    </row>
    <row r="467" spans="1:4" x14ac:dyDescent="0.25">
      <c r="A467" s="2">
        <v>462</v>
      </c>
      <c r="B467" s="7">
        <v>0</v>
      </c>
      <c r="C467" s="7">
        <v>0</v>
      </c>
      <c r="D467" s="7">
        <v>0</v>
      </c>
    </row>
    <row r="468" spans="1:4" x14ac:dyDescent="0.25">
      <c r="A468" s="2">
        <v>463</v>
      </c>
      <c r="B468" s="7">
        <v>0</v>
      </c>
      <c r="C468" s="7">
        <v>0</v>
      </c>
      <c r="D468" s="7">
        <v>0</v>
      </c>
    </row>
    <row r="469" spans="1:4" x14ac:dyDescent="0.25">
      <c r="A469" s="2">
        <v>464</v>
      </c>
      <c r="B469" s="7">
        <v>0</v>
      </c>
      <c r="C469" s="7">
        <v>0</v>
      </c>
      <c r="D469" s="7">
        <v>0</v>
      </c>
    </row>
    <row r="470" spans="1:4" x14ac:dyDescent="0.25">
      <c r="A470" s="2">
        <v>465</v>
      </c>
      <c r="B470" s="7">
        <v>0</v>
      </c>
      <c r="C470" s="7">
        <v>0</v>
      </c>
      <c r="D470" s="7">
        <v>0</v>
      </c>
    </row>
    <row r="471" spans="1:4" x14ac:dyDescent="0.25">
      <c r="A471" s="2">
        <v>466</v>
      </c>
      <c r="B471" s="7">
        <v>0</v>
      </c>
      <c r="C471" s="7">
        <v>0</v>
      </c>
      <c r="D471" s="7">
        <v>0</v>
      </c>
    </row>
    <row r="472" spans="1:4" x14ac:dyDescent="0.25">
      <c r="A472" s="2">
        <v>467</v>
      </c>
      <c r="B472" s="7">
        <v>0</v>
      </c>
      <c r="C472" s="7">
        <v>0</v>
      </c>
      <c r="D472" s="7">
        <v>0</v>
      </c>
    </row>
    <row r="473" spans="1:4" x14ac:dyDescent="0.25">
      <c r="A473" s="2">
        <v>468</v>
      </c>
      <c r="B473" s="7">
        <v>0</v>
      </c>
      <c r="C473" s="7">
        <v>0</v>
      </c>
      <c r="D473" s="7">
        <v>0</v>
      </c>
    </row>
    <row r="474" spans="1:4" x14ac:dyDescent="0.25">
      <c r="A474" s="2">
        <v>469</v>
      </c>
      <c r="B474" s="7">
        <v>0</v>
      </c>
      <c r="C474" s="7">
        <v>0</v>
      </c>
      <c r="D474" s="7">
        <v>0</v>
      </c>
    </row>
    <row r="475" spans="1:4" x14ac:dyDescent="0.25">
      <c r="A475" s="2">
        <v>470</v>
      </c>
      <c r="B475" s="7">
        <v>0</v>
      </c>
      <c r="C475" s="7">
        <v>0</v>
      </c>
      <c r="D475" s="7">
        <v>0</v>
      </c>
    </row>
    <row r="476" spans="1:4" x14ac:dyDescent="0.25">
      <c r="A476" s="2">
        <v>471</v>
      </c>
      <c r="B476" s="7">
        <v>0</v>
      </c>
      <c r="C476" s="7">
        <v>0</v>
      </c>
      <c r="D476" s="7">
        <v>0</v>
      </c>
    </row>
    <row r="477" spans="1:4" x14ac:dyDescent="0.25">
      <c r="A477" s="2">
        <v>472</v>
      </c>
      <c r="B477" s="7">
        <v>0</v>
      </c>
      <c r="C477" s="7">
        <v>0</v>
      </c>
      <c r="D477" s="7">
        <v>0</v>
      </c>
    </row>
    <row r="478" spans="1:4" x14ac:dyDescent="0.25">
      <c r="A478" s="2">
        <v>473</v>
      </c>
      <c r="B478" s="7">
        <v>0</v>
      </c>
      <c r="C478" s="7">
        <v>0</v>
      </c>
      <c r="D478" s="7">
        <v>0</v>
      </c>
    </row>
    <row r="479" spans="1:4" x14ac:dyDescent="0.25">
      <c r="A479" s="2">
        <v>474</v>
      </c>
      <c r="B479" s="7">
        <v>0</v>
      </c>
      <c r="C479" s="7">
        <v>0</v>
      </c>
      <c r="D479" s="7">
        <v>0</v>
      </c>
    </row>
    <row r="480" spans="1:4" x14ac:dyDescent="0.25">
      <c r="A480" s="2">
        <v>475</v>
      </c>
      <c r="B480" s="7">
        <v>0</v>
      </c>
      <c r="C480" s="7">
        <v>0</v>
      </c>
      <c r="D480" s="7">
        <v>0</v>
      </c>
    </row>
    <row r="481" spans="1:4" x14ac:dyDescent="0.25">
      <c r="A481" s="2">
        <v>476</v>
      </c>
      <c r="B481" s="7">
        <v>0</v>
      </c>
      <c r="C481" s="7">
        <v>0</v>
      </c>
      <c r="D481" s="7">
        <v>0</v>
      </c>
    </row>
    <row r="482" spans="1:4" x14ac:dyDescent="0.25">
      <c r="A482" s="2">
        <v>477</v>
      </c>
      <c r="B482" s="7">
        <v>0</v>
      </c>
      <c r="C482" s="7">
        <v>0</v>
      </c>
      <c r="D482" s="7">
        <v>0</v>
      </c>
    </row>
    <row r="483" spans="1:4" x14ac:dyDescent="0.25">
      <c r="A483" s="2">
        <v>478</v>
      </c>
      <c r="B483" s="7">
        <v>0</v>
      </c>
      <c r="C483" s="7">
        <v>0</v>
      </c>
      <c r="D483" s="7">
        <v>0</v>
      </c>
    </row>
    <row r="484" spans="1:4" x14ac:dyDescent="0.25">
      <c r="A484" s="2">
        <v>479</v>
      </c>
      <c r="B484" s="7">
        <v>0</v>
      </c>
      <c r="C484" s="7">
        <v>0</v>
      </c>
      <c r="D484" s="7">
        <v>0</v>
      </c>
    </row>
    <row r="485" spans="1:4" x14ac:dyDescent="0.25">
      <c r="A485" s="2">
        <v>480</v>
      </c>
      <c r="B485" s="7">
        <v>0</v>
      </c>
      <c r="C485" s="7">
        <v>0</v>
      </c>
      <c r="D485" s="7">
        <v>0</v>
      </c>
    </row>
    <row r="486" spans="1:4" x14ac:dyDescent="0.25">
      <c r="A486" s="2">
        <v>481</v>
      </c>
      <c r="B486" s="7">
        <v>0</v>
      </c>
      <c r="C486" s="7">
        <v>0</v>
      </c>
      <c r="D486" s="7">
        <v>0</v>
      </c>
    </row>
    <row r="487" spans="1:4" x14ac:dyDescent="0.25">
      <c r="A487" s="2">
        <v>482</v>
      </c>
      <c r="B487" s="7">
        <v>0</v>
      </c>
      <c r="C487" s="7">
        <v>0</v>
      </c>
      <c r="D487" s="7">
        <v>0</v>
      </c>
    </row>
    <row r="488" spans="1:4" x14ac:dyDescent="0.25">
      <c r="A488" s="2">
        <v>483</v>
      </c>
      <c r="B488" s="7">
        <v>0</v>
      </c>
      <c r="C488" s="7">
        <v>0</v>
      </c>
      <c r="D488" s="7">
        <v>0</v>
      </c>
    </row>
    <row r="489" spans="1:4" x14ac:dyDescent="0.25">
      <c r="A489" s="2">
        <v>484</v>
      </c>
      <c r="B489" s="7">
        <v>0</v>
      </c>
      <c r="C489" s="7">
        <v>0</v>
      </c>
      <c r="D489" s="7">
        <v>0</v>
      </c>
    </row>
    <row r="490" spans="1:4" x14ac:dyDescent="0.25">
      <c r="A490" s="2">
        <v>485</v>
      </c>
      <c r="B490" s="7">
        <v>0</v>
      </c>
      <c r="C490" s="7">
        <v>0</v>
      </c>
      <c r="D490" s="7">
        <v>0</v>
      </c>
    </row>
    <row r="491" spans="1:4" x14ac:dyDescent="0.25">
      <c r="A491" s="2">
        <v>486</v>
      </c>
      <c r="B491" s="7">
        <v>0</v>
      </c>
      <c r="C491" s="7">
        <v>0</v>
      </c>
      <c r="D491" s="7">
        <v>0</v>
      </c>
    </row>
    <row r="492" spans="1:4" x14ac:dyDescent="0.25">
      <c r="A492" s="2">
        <v>487</v>
      </c>
      <c r="B492" s="7">
        <v>0</v>
      </c>
      <c r="C492" s="7">
        <v>0</v>
      </c>
      <c r="D492" s="7">
        <v>0</v>
      </c>
    </row>
    <row r="493" spans="1:4" x14ac:dyDescent="0.25">
      <c r="A493" s="2">
        <v>488</v>
      </c>
      <c r="B493" s="7">
        <v>0</v>
      </c>
      <c r="C493" s="7">
        <v>0</v>
      </c>
      <c r="D493" s="7">
        <v>0</v>
      </c>
    </row>
    <row r="494" spans="1:4" x14ac:dyDescent="0.25">
      <c r="A494" s="2">
        <v>489</v>
      </c>
      <c r="B494" s="7">
        <v>0</v>
      </c>
      <c r="C494" s="7">
        <v>0</v>
      </c>
      <c r="D494" s="7">
        <v>0</v>
      </c>
    </row>
    <row r="495" spans="1:4" x14ac:dyDescent="0.25">
      <c r="A495" s="2">
        <v>490</v>
      </c>
      <c r="B495" s="7">
        <v>0</v>
      </c>
      <c r="C495" s="7">
        <v>0</v>
      </c>
      <c r="D495" s="7">
        <v>0</v>
      </c>
    </row>
    <row r="496" spans="1:4" x14ac:dyDescent="0.25">
      <c r="A496" s="2">
        <v>491</v>
      </c>
      <c r="B496" s="7">
        <v>0</v>
      </c>
      <c r="C496" s="7">
        <v>0</v>
      </c>
      <c r="D496" s="7">
        <v>0</v>
      </c>
    </row>
    <row r="497" spans="1:4" x14ac:dyDescent="0.25">
      <c r="A497" s="2">
        <v>492</v>
      </c>
      <c r="B497" s="7">
        <v>0</v>
      </c>
      <c r="C497" s="7">
        <v>0</v>
      </c>
      <c r="D497" s="7">
        <v>0</v>
      </c>
    </row>
    <row r="498" spans="1:4" x14ac:dyDescent="0.25">
      <c r="A498" s="2">
        <v>493</v>
      </c>
      <c r="B498" s="7">
        <v>0</v>
      </c>
      <c r="C498" s="7">
        <v>0</v>
      </c>
      <c r="D498" s="7">
        <v>0</v>
      </c>
    </row>
    <row r="499" spans="1:4" x14ac:dyDescent="0.25">
      <c r="A499" s="2">
        <v>494</v>
      </c>
      <c r="B499" s="7">
        <v>0</v>
      </c>
      <c r="C499" s="7">
        <v>0</v>
      </c>
      <c r="D499" s="7">
        <v>0</v>
      </c>
    </row>
    <row r="500" spans="1:4" x14ac:dyDescent="0.25">
      <c r="A500" s="2">
        <v>495</v>
      </c>
      <c r="B500" s="7">
        <v>0</v>
      </c>
      <c r="C500" s="7">
        <v>0</v>
      </c>
      <c r="D500" s="7">
        <v>0</v>
      </c>
    </row>
    <row r="501" spans="1:4" x14ac:dyDescent="0.25">
      <c r="A501" s="2">
        <v>496</v>
      </c>
      <c r="B501" s="7">
        <v>0</v>
      </c>
      <c r="C501" s="7">
        <v>0</v>
      </c>
      <c r="D501" s="7">
        <v>0</v>
      </c>
    </row>
    <row r="502" spans="1:4" x14ac:dyDescent="0.25">
      <c r="A502" s="2">
        <v>497</v>
      </c>
      <c r="B502" s="7">
        <v>0</v>
      </c>
      <c r="C502" s="7">
        <v>0</v>
      </c>
      <c r="D502" s="7">
        <v>0</v>
      </c>
    </row>
    <row r="503" spans="1:4" x14ac:dyDescent="0.25">
      <c r="A503" s="2">
        <v>498</v>
      </c>
      <c r="B503" s="7">
        <v>0</v>
      </c>
      <c r="C503" s="7">
        <v>0</v>
      </c>
      <c r="D503" s="7">
        <v>0</v>
      </c>
    </row>
    <row r="504" spans="1:4" x14ac:dyDescent="0.25">
      <c r="A504" s="2">
        <v>499</v>
      </c>
      <c r="B504" s="7">
        <v>0</v>
      </c>
      <c r="C504" s="7">
        <v>0</v>
      </c>
      <c r="D504" s="7">
        <v>0</v>
      </c>
    </row>
    <row r="505" spans="1:4" x14ac:dyDescent="0.25">
      <c r="A505" s="2">
        <v>500</v>
      </c>
      <c r="B505" s="7">
        <v>0</v>
      </c>
      <c r="C505" s="7">
        <v>0</v>
      </c>
      <c r="D505" s="7">
        <v>0</v>
      </c>
    </row>
    <row r="506" spans="1:4" x14ac:dyDescent="0.25">
      <c r="A506" s="2">
        <v>501</v>
      </c>
      <c r="B506" s="7">
        <v>0</v>
      </c>
      <c r="C506" s="7">
        <v>0</v>
      </c>
      <c r="D506" s="7">
        <v>0</v>
      </c>
    </row>
    <row r="507" spans="1:4" x14ac:dyDescent="0.25">
      <c r="A507" s="2">
        <v>502</v>
      </c>
      <c r="B507" s="7">
        <v>0</v>
      </c>
      <c r="C507" s="7">
        <v>0</v>
      </c>
      <c r="D507" s="7">
        <v>0</v>
      </c>
    </row>
    <row r="508" spans="1:4" x14ac:dyDescent="0.25">
      <c r="A508" s="2">
        <v>503</v>
      </c>
      <c r="B508" s="7">
        <v>0</v>
      </c>
      <c r="C508" s="7">
        <v>0</v>
      </c>
      <c r="D508" s="7">
        <v>0</v>
      </c>
    </row>
    <row r="509" spans="1:4" x14ac:dyDescent="0.25">
      <c r="A509" s="2">
        <v>504</v>
      </c>
      <c r="B509" s="7">
        <v>0</v>
      </c>
      <c r="C509" s="7">
        <v>0</v>
      </c>
      <c r="D509" s="7">
        <v>0</v>
      </c>
    </row>
    <row r="510" spans="1:4" x14ac:dyDescent="0.25">
      <c r="A510" s="2">
        <v>505</v>
      </c>
      <c r="B510" s="7">
        <v>0</v>
      </c>
      <c r="C510" s="7">
        <v>0</v>
      </c>
      <c r="D510" s="7">
        <v>0</v>
      </c>
    </row>
    <row r="511" spans="1:4" x14ac:dyDescent="0.25">
      <c r="A511" s="2">
        <v>506</v>
      </c>
      <c r="B511" s="7">
        <v>0</v>
      </c>
      <c r="C511" s="7">
        <v>0</v>
      </c>
      <c r="D511" s="7">
        <v>0</v>
      </c>
    </row>
    <row r="512" spans="1:4" x14ac:dyDescent="0.25">
      <c r="A512" s="2">
        <v>507</v>
      </c>
      <c r="B512" s="7">
        <v>0</v>
      </c>
      <c r="C512" s="7">
        <v>0</v>
      </c>
      <c r="D512" s="7">
        <v>0</v>
      </c>
    </row>
    <row r="513" spans="1:4" x14ac:dyDescent="0.25">
      <c r="A513" s="2">
        <v>508</v>
      </c>
      <c r="B513" s="7">
        <v>0</v>
      </c>
      <c r="C513" s="7">
        <v>0</v>
      </c>
      <c r="D513" s="7">
        <v>0</v>
      </c>
    </row>
    <row r="514" spans="1:4" x14ac:dyDescent="0.25">
      <c r="A514" s="2">
        <v>509</v>
      </c>
      <c r="B514" s="7">
        <v>0</v>
      </c>
      <c r="C514" s="7">
        <v>0</v>
      </c>
      <c r="D514" s="7">
        <v>0</v>
      </c>
    </row>
    <row r="515" spans="1:4" x14ac:dyDescent="0.25">
      <c r="A515" s="2">
        <v>510</v>
      </c>
      <c r="B515" s="7">
        <v>0</v>
      </c>
      <c r="C515" s="7">
        <v>0</v>
      </c>
      <c r="D515" s="7">
        <v>0</v>
      </c>
    </row>
    <row r="516" spans="1:4" x14ac:dyDescent="0.25">
      <c r="A516" s="2">
        <v>511</v>
      </c>
      <c r="B516" s="7">
        <v>0</v>
      </c>
      <c r="C516" s="7">
        <v>0</v>
      </c>
      <c r="D516" s="7">
        <v>0</v>
      </c>
    </row>
    <row r="517" spans="1:4" x14ac:dyDescent="0.25">
      <c r="A517" s="2">
        <v>512</v>
      </c>
      <c r="B517" s="7">
        <v>0</v>
      </c>
      <c r="C517" s="7">
        <v>0</v>
      </c>
      <c r="D517" s="7">
        <v>0</v>
      </c>
    </row>
    <row r="518" spans="1:4" x14ac:dyDescent="0.25">
      <c r="A518" s="2">
        <v>513</v>
      </c>
      <c r="B518" s="7">
        <v>0</v>
      </c>
      <c r="C518" s="7">
        <v>0</v>
      </c>
      <c r="D518" s="7">
        <v>0</v>
      </c>
    </row>
    <row r="519" spans="1:4" x14ac:dyDescent="0.25">
      <c r="A519" s="2">
        <v>514</v>
      </c>
      <c r="B519" s="7">
        <v>0</v>
      </c>
      <c r="C519" s="7">
        <v>0</v>
      </c>
      <c r="D519" s="7">
        <v>0</v>
      </c>
    </row>
    <row r="520" spans="1:4" x14ac:dyDescent="0.25">
      <c r="A520" s="2">
        <v>515</v>
      </c>
      <c r="B520" s="7">
        <v>0</v>
      </c>
      <c r="C520" s="7">
        <v>0</v>
      </c>
      <c r="D520" s="7">
        <v>0</v>
      </c>
    </row>
    <row r="521" spans="1:4" x14ac:dyDescent="0.25">
      <c r="A521" s="2">
        <v>516</v>
      </c>
      <c r="B521" s="7">
        <v>0</v>
      </c>
      <c r="C521" s="7">
        <v>0</v>
      </c>
      <c r="D521" s="7">
        <v>0</v>
      </c>
    </row>
    <row r="522" spans="1:4" x14ac:dyDescent="0.25">
      <c r="A522" s="2">
        <v>517</v>
      </c>
      <c r="B522" s="7">
        <v>0</v>
      </c>
      <c r="C522" s="7">
        <v>0</v>
      </c>
      <c r="D522" s="7">
        <v>0</v>
      </c>
    </row>
    <row r="523" spans="1:4" x14ac:dyDescent="0.25">
      <c r="A523" s="2">
        <v>518</v>
      </c>
      <c r="B523" s="7">
        <v>0</v>
      </c>
      <c r="C523" s="7">
        <v>0</v>
      </c>
      <c r="D523" s="7">
        <v>0</v>
      </c>
    </row>
    <row r="524" spans="1:4" x14ac:dyDescent="0.25">
      <c r="A524" s="2">
        <v>519</v>
      </c>
      <c r="B524" s="7">
        <v>0</v>
      </c>
      <c r="C524" s="7">
        <v>0</v>
      </c>
      <c r="D524" s="7">
        <v>0</v>
      </c>
    </row>
    <row r="525" spans="1:4" x14ac:dyDescent="0.25">
      <c r="A525" s="2">
        <v>520</v>
      </c>
      <c r="B525" s="7">
        <v>0</v>
      </c>
      <c r="C525" s="7">
        <v>0</v>
      </c>
      <c r="D525" s="7">
        <v>0</v>
      </c>
    </row>
    <row r="526" spans="1:4" x14ac:dyDescent="0.25">
      <c r="A526" s="2">
        <v>521</v>
      </c>
      <c r="B526" s="7">
        <v>0</v>
      </c>
      <c r="C526" s="7">
        <v>0</v>
      </c>
      <c r="D526" s="7">
        <v>0</v>
      </c>
    </row>
    <row r="527" spans="1:4" x14ac:dyDescent="0.25">
      <c r="A527" s="2">
        <v>522</v>
      </c>
      <c r="B527" s="7">
        <v>0</v>
      </c>
      <c r="C527" s="7">
        <v>0</v>
      </c>
      <c r="D527" s="7">
        <v>0</v>
      </c>
    </row>
    <row r="528" spans="1:4" x14ac:dyDescent="0.25">
      <c r="A528" s="2">
        <v>523</v>
      </c>
      <c r="B528" s="7">
        <v>0</v>
      </c>
      <c r="C528" s="7">
        <v>0</v>
      </c>
      <c r="D528" s="7">
        <v>0</v>
      </c>
    </row>
    <row r="529" spans="1:4" x14ac:dyDescent="0.25">
      <c r="A529" s="2">
        <v>524</v>
      </c>
      <c r="B529" s="7">
        <v>0</v>
      </c>
      <c r="C529" s="7">
        <v>0</v>
      </c>
      <c r="D529" s="7">
        <v>0</v>
      </c>
    </row>
    <row r="530" spans="1:4" x14ac:dyDescent="0.25">
      <c r="A530" s="2">
        <v>525</v>
      </c>
      <c r="B530" s="7">
        <v>0</v>
      </c>
      <c r="C530" s="7">
        <v>0</v>
      </c>
      <c r="D530" s="7">
        <v>0</v>
      </c>
    </row>
    <row r="531" spans="1:4" x14ac:dyDescent="0.25">
      <c r="A531" s="2">
        <v>526</v>
      </c>
      <c r="B531" s="7">
        <v>0</v>
      </c>
      <c r="C531" s="7">
        <v>0</v>
      </c>
      <c r="D531" s="7">
        <v>0</v>
      </c>
    </row>
    <row r="532" spans="1:4" x14ac:dyDescent="0.25">
      <c r="A532" s="2">
        <v>527</v>
      </c>
      <c r="B532" s="7">
        <v>0</v>
      </c>
      <c r="C532" s="7">
        <v>0</v>
      </c>
      <c r="D532" s="7">
        <v>0</v>
      </c>
    </row>
    <row r="533" spans="1:4" x14ac:dyDescent="0.25">
      <c r="A533" s="2">
        <v>528</v>
      </c>
      <c r="B533" s="7">
        <v>0</v>
      </c>
      <c r="C533" s="7">
        <v>0</v>
      </c>
      <c r="D533" s="7">
        <v>0</v>
      </c>
    </row>
    <row r="534" spans="1:4" x14ac:dyDescent="0.25">
      <c r="A534" s="2">
        <v>529</v>
      </c>
      <c r="B534" s="7">
        <v>0</v>
      </c>
      <c r="C534" s="7">
        <v>0</v>
      </c>
      <c r="D534" s="7">
        <v>0</v>
      </c>
    </row>
    <row r="535" spans="1:4" x14ac:dyDescent="0.25">
      <c r="A535" s="2">
        <v>530</v>
      </c>
      <c r="B535" s="7">
        <v>0</v>
      </c>
      <c r="C535" s="7">
        <v>0</v>
      </c>
      <c r="D535" s="7">
        <v>0</v>
      </c>
    </row>
    <row r="536" spans="1:4" x14ac:dyDescent="0.25">
      <c r="A536" s="2">
        <v>531</v>
      </c>
      <c r="B536" s="7">
        <v>0</v>
      </c>
      <c r="C536" s="7">
        <v>0</v>
      </c>
      <c r="D536" s="7">
        <v>0</v>
      </c>
    </row>
    <row r="537" spans="1:4" x14ac:dyDescent="0.25">
      <c r="A537" s="2">
        <v>532</v>
      </c>
      <c r="B537" s="7">
        <v>0</v>
      </c>
      <c r="C537" s="7">
        <v>0</v>
      </c>
      <c r="D537" s="7">
        <v>0</v>
      </c>
    </row>
    <row r="538" spans="1:4" x14ac:dyDescent="0.25">
      <c r="A538" s="2">
        <v>533</v>
      </c>
      <c r="B538" s="7">
        <v>0</v>
      </c>
      <c r="C538" s="7">
        <v>0</v>
      </c>
      <c r="D538" s="7">
        <v>0</v>
      </c>
    </row>
    <row r="539" spans="1:4" x14ac:dyDescent="0.25">
      <c r="A539" s="2">
        <v>534</v>
      </c>
      <c r="B539" s="7">
        <v>0</v>
      </c>
      <c r="C539" s="7">
        <v>0</v>
      </c>
      <c r="D539" s="7">
        <v>0</v>
      </c>
    </row>
    <row r="540" spans="1:4" x14ac:dyDescent="0.25">
      <c r="A540" s="2">
        <v>535</v>
      </c>
      <c r="B540" s="7">
        <v>0</v>
      </c>
      <c r="C540" s="7">
        <v>0</v>
      </c>
      <c r="D540" s="7">
        <v>0</v>
      </c>
    </row>
    <row r="541" spans="1:4" x14ac:dyDescent="0.25">
      <c r="A541" s="2">
        <v>536</v>
      </c>
      <c r="B541" s="7">
        <v>0</v>
      </c>
      <c r="C541" s="7">
        <v>0</v>
      </c>
      <c r="D541" s="7">
        <v>0</v>
      </c>
    </row>
    <row r="542" spans="1:4" x14ac:dyDescent="0.25">
      <c r="A542" s="2">
        <v>537</v>
      </c>
      <c r="B542" s="7">
        <v>0</v>
      </c>
      <c r="C542" s="7">
        <v>0</v>
      </c>
      <c r="D542" s="7">
        <v>0</v>
      </c>
    </row>
    <row r="543" spans="1:4" x14ac:dyDescent="0.25">
      <c r="A543" s="2">
        <v>538</v>
      </c>
      <c r="B543" s="7">
        <v>0</v>
      </c>
      <c r="C543" s="7">
        <v>0</v>
      </c>
      <c r="D543" s="7">
        <v>0</v>
      </c>
    </row>
    <row r="544" spans="1:4" x14ac:dyDescent="0.25">
      <c r="A544" s="2">
        <v>539</v>
      </c>
      <c r="B544" s="7">
        <v>0</v>
      </c>
      <c r="C544" s="7">
        <v>0</v>
      </c>
      <c r="D544" s="7">
        <v>0</v>
      </c>
    </row>
    <row r="545" spans="1:4" x14ac:dyDescent="0.25">
      <c r="A545" s="2">
        <v>540</v>
      </c>
      <c r="B545" s="7">
        <v>0</v>
      </c>
      <c r="C545" s="7">
        <v>0</v>
      </c>
      <c r="D545" s="7">
        <v>0</v>
      </c>
    </row>
    <row r="546" spans="1:4" x14ac:dyDescent="0.25">
      <c r="A546" s="2">
        <v>541</v>
      </c>
      <c r="B546" s="7">
        <v>0</v>
      </c>
      <c r="C546" s="7">
        <v>0</v>
      </c>
      <c r="D546" s="7">
        <v>0</v>
      </c>
    </row>
    <row r="547" spans="1:4" x14ac:dyDescent="0.25">
      <c r="A547" s="2">
        <v>542</v>
      </c>
      <c r="B547" s="7">
        <v>0</v>
      </c>
      <c r="C547" s="7">
        <v>0</v>
      </c>
      <c r="D547" s="7">
        <v>0</v>
      </c>
    </row>
    <row r="548" spans="1:4" x14ac:dyDescent="0.25">
      <c r="A548" s="2">
        <v>543</v>
      </c>
      <c r="B548" s="7">
        <v>0</v>
      </c>
      <c r="C548" s="7">
        <v>0</v>
      </c>
      <c r="D548" s="7">
        <v>0</v>
      </c>
    </row>
    <row r="549" spans="1:4" x14ac:dyDescent="0.25">
      <c r="A549" s="2">
        <v>544</v>
      </c>
      <c r="B549" s="7">
        <v>0</v>
      </c>
      <c r="C549" s="7">
        <v>0</v>
      </c>
      <c r="D549" s="7">
        <v>0</v>
      </c>
    </row>
    <row r="550" spans="1:4" x14ac:dyDescent="0.25">
      <c r="A550" s="2">
        <v>545</v>
      </c>
      <c r="B550" s="7">
        <v>0</v>
      </c>
      <c r="C550" s="7">
        <v>0</v>
      </c>
      <c r="D550" s="7">
        <v>0</v>
      </c>
    </row>
    <row r="551" spans="1:4" x14ac:dyDescent="0.25">
      <c r="A551" s="2">
        <v>546</v>
      </c>
      <c r="B551" s="7">
        <v>0</v>
      </c>
      <c r="C551" s="7">
        <v>0</v>
      </c>
      <c r="D551" s="7">
        <v>0</v>
      </c>
    </row>
    <row r="552" spans="1:4" x14ac:dyDescent="0.25">
      <c r="A552" s="2">
        <v>547</v>
      </c>
      <c r="B552" s="7">
        <v>0</v>
      </c>
      <c r="C552" s="7">
        <v>0</v>
      </c>
      <c r="D552" s="7">
        <v>0</v>
      </c>
    </row>
    <row r="553" spans="1:4" x14ac:dyDescent="0.25">
      <c r="A553" s="2">
        <v>548</v>
      </c>
      <c r="B553" s="7">
        <v>0</v>
      </c>
      <c r="C553" s="7">
        <v>0</v>
      </c>
      <c r="D553" s="7">
        <v>0</v>
      </c>
    </row>
    <row r="554" spans="1:4" x14ac:dyDescent="0.25">
      <c r="A554" s="2">
        <v>549</v>
      </c>
      <c r="B554" s="7">
        <v>0</v>
      </c>
      <c r="C554" s="7">
        <v>0</v>
      </c>
      <c r="D554" s="7">
        <v>0</v>
      </c>
    </row>
    <row r="555" spans="1:4" x14ac:dyDescent="0.25">
      <c r="A555" s="2">
        <v>550</v>
      </c>
      <c r="B555" s="7">
        <v>0</v>
      </c>
      <c r="C555" s="7">
        <v>0</v>
      </c>
      <c r="D555" s="7">
        <v>0</v>
      </c>
    </row>
    <row r="556" spans="1:4" x14ac:dyDescent="0.25">
      <c r="A556" s="2">
        <v>551</v>
      </c>
      <c r="B556" s="7">
        <v>0</v>
      </c>
      <c r="C556" s="7">
        <v>0</v>
      </c>
      <c r="D556" s="7">
        <v>0</v>
      </c>
    </row>
    <row r="557" spans="1:4" x14ac:dyDescent="0.25">
      <c r="A557" s="2">
        <v>552</v>
      </c>
      <c r="B557" s="7">
        <v>0</v>
      </c>
      <c r="C557" s="7">
        <v>0</v>
      </c>
      <c r="D557" s="7">
        <v>0</v>
      </c>
    </row>
    <row r="558" spans="1:4" x14ac:dyDescent="0.25">
      <c r="A558" s="2">
        <v>553</v>
      </c>
      <c r="B558" s="7">
        <v>0</v>
      </c>
      <c r="C558" s="7">
        <v>0</v>
      </c>
      <c r="D558" s="7">
        <v>0</v>
      </c>
    </row>
    <row r="559" spans="1:4" x14ac:dyDescent="0.25">
      <c r="A559" s="2">
        <v>554</v>
      </c>
      <c r="B559" s="7">
        <v>0</v>
      </c>
      <c r="C559" s="7">
        <v>0</v>
      </c>
      <c r="D559" s="7">
        <v>0</v>
      </c>
    </row>
    <row r="560" spans="1:4" x14ac:dyDescent="0.25">
      <c r="A560" s="2">
        <v>555</v>
      </c>
      <c r="B560" s="7">
        <v>0</v>
      </c>
      <c r="C560" s="7">
        <v>0</v>
      </c>
      <c r="D560" s="7">
        <v>0</v>
      </c>
    </row>
    <row r="561" spans="1:4" x14ac:dyDescent="0.25">
      <c r="A561" s="2">
        <v>556</v>
      </c>
      <c r="B561" s="7">
        <v>0</v>
      </c>
      <c r="C561" s="7">
        <v>0</v>
      </c>
      <c r="D561" s="7">
        <v>0</v>
      </c>
    </row>
    <row r="562" spans="1:4" x14ac:dyDescent="0.25">
      <c r="A562" s="2">
        <v>557</v>
      </c>
      <c r="B562" s="7">
        <v>0</v>
      </c>
      <c r="C562" s="7">
        <v>0</v>
      </c>
      <c r="D562" s="7">
        <v>0</v>
      </c>
    </row>
    <row r="563" spans="1:4" x14ac:dyDescent="0.25">
      <c r="A563" s="2">
        <v>558</v>
      </c>
      <c r="B563" s="7">
        <v>0</v>
      </c>
      <c r="C563" s="7">
        <v>0</v>
      </c>
      <c r="D563" s="7">
        <v>0</v>
      </c>
    </row>
    <row r="564" spans="1:4" x14ac:dyDescent="0.25">
      <c r="A564" s="2">
        <v>559</v>
      </c>
      <c r="B564" s="7">
        <v>0</v>
      </c>
      <c r="C564" s="7">
        <v>0</v>
      </c>
      <c r="D564" s="7">
        <v>0</v>
      </c>
    </row>
    <row r="565" spans="1:4" x14ac:dyDescent="0.25">
      <c r="A565" s="2">
        <v>560</v>
      </c>
      <c r="B565" s="7">
        <v>0</v>
      </c>
      <c r="C565" s="7">
        <v>0</v>
      </c>
      <c r="D565" s="7">
        <v>0</v>
      </c>
    </row>
    <row r="566" spans="1:4" x14ac:dyDescent="0.25">
      <c r="A566" s="2">
        <v>561</v>
      </c>
      <c r="B566" s="7">
        <v>0</v>
      </c>
      <c r="C566" s="7">
        <v>0</v>
      </c>
      <c r="D566" s="7">
        <v>0</v>
      </c>
    </row>
    <row r="567" spans="1:4" x14ac:dyDescent="0.25">
      <c r="A567" s="2">
        <v>562</v>
      </c>
      <c r="B567" s="7">
        <v>0</v>
      </c>
      <c r="C567" s="7">
        <v>0</v>
      </c>
      <c r="D567" s="7">
        <v>0</v>
      </c>
    </row>
    <row r="568" spans="1:4" x14ac:dyDescent="0.25">
      <c r="A568" s="2">
        <v>563</v>
      </c>
      <c r="B568" s="7">
        <v>0</v>
      </c>
      <c r="C568" s="7">
        <v>0</v>
      </c>
      <c r="D568" s="7">
        <v>0</v>
      </c>
    </row>
    <row r="569" spans="1:4" x14ac:dyDescent="0.25">
      <c r="A569" s="2">
        <v>564</v>
      </c>
      <c r="B569" s="7">
        <v>0</v>
      </c>
      <c r="C569" s="7">
        <v>0</v>
      </c>
      <c r="D569" s="7">
        <v>0</v>
      </c>
    </row>
    <row r="570" spans="1:4" x14ac:dyDescent="0.25">
      <c r="A570" s="2">
        <v>565</v>
      </c>
      <c r="B570" s="7">
        <v>0</v>
      </c>
      <c r="C570" s="7">
        <v>0</v>
      </c>
      <c r="D570" s="7">
        <v>0</v>
      </c>
    </row>
    <row r="571" spans="1:4" x14ac:dyDescent="0.25">
      <c r="A571" s="2">
        <v>566</v>
      </c>
      <c r="B571" s="7">
        <v>0</v>
      </c>
      <c r="C571" s="7">
        <v>0</v>
      </c>
      <c r="D571" s="7">
        <v>0</v>
      </c>
    </row>
    <row r="572" spans="1:4" x14ac:dyDescent="0.25">
      <c r="A572" s="2">
        <v>567</v>
      </c>
      <c r="B572" s="7">
        <v>0</v>
      </c>
      <c r="C572" s="7">
        <v>0</v>
      </c>
      <c r="D572" s="7">
        <v>0</v>
      </c>
    </row>
    <row r="573" spans="1:4" x14ac:dyDescent="0.25">
      <c r="A573" s="2">
        <v>568</v>
      </c>
      <c r="B573" s="7">
        <v>0</v>
      </c>
      <c r="C573" s="7">
        <v>0</v>
      </c>
      <c r="D573" s="7">
        <v>0</v>
      </c>
    </row>
    <row r="574" spans="1:4" x14ac:dyDescent="0.25">
      <c r="A574" s="2">
        <v>569</v>
      </c>
      <c r="B574" s="7">
        <v>0</v>
      </c>
      <c r="C574" s="7">
        <v>0</v>
      </c>
      <c r="D574" s="7">
        <v>0</v>
      </c>
    </row>
    <row r="575" spans="1:4" x14ac:dyDescent="0.25">
      <c r="A575" s="2">
        <v>570</v>
      </c>
      <c r="B575" s="7">
        <v>0</v>
      </c>
      <c r="C575" s="7">
        <v>0</v>
      </c>
      <c r="D575" s="7">
        <v>0</v>
      </c>
    </row>
    <row r="576" spans="1:4" x14ac:dyDescent="0.25">
      <c r="A576" s="2">
        <v>571</v>
      </c>
      <c r="B576" s="7">
        <v>0</v>
      </c>
      <c r="C576" s="7">
        <v>0</v>
      </c>
      <c r="D576" s="7">
        <v>0</v>
      </c>
    </row>
    <row r="577" spans="1:4" x14ac:dyDescent="0.25">
      <c r="A577" s="2">
        <v>572</v>
      </c>
      <c r="B577" s="7">
        <v>0</v>
      </c>
      <c r="C577" s="7">
        <v>0</v>
      </c>
      <c r="D577" s="7">
        <v>0</v>
      </c>
    </row>
    <row r="578" spans="1:4" x14ac:dyDescent="0.25">
      <c r="A578" s="2">
        <v>573</v>
      </c>
      <c r="B578" s="7">
        <v>0</v>
      </c>
      <c r="C578" s="7">
        <v>0</v>
      </c>
      <c r="D578" s="7">
        <v>0</v>
      </c>
    </row>
    <row r="579" spans="1:4" x14ac:dyDescent="0.25">
      <c r="A579" s="2">
        <v>574</v>
      </c>
      <c r="B579" s="7">
        <v>0</v>
      </c>
      <c r="C579" s="7">
        <v>0</v>
      </c>
      <c r="D579" s="7">
        <v>0</v>
      </c>
    </row>
    <row r="580" spans="1:4" x14ac:dyDescent="0.25">
      <c r="A580" s="2">
        <v>575</v>
      </c>
      <c r="B580" s="7">
        <v>0</v>
      </c>
      <c r="C580" s="7">
        <v>0</v>
      </c>
      <c r="D580" s="7">
        <v>0</v>
      </c>
    </row>
    <row r="581" spans="1:4" x14ac:dyDescent="0.25">
      <c r="A581" s="2">
        <v>576</v>
      </c>
      <c r="B581" s="7">
        <v>0</v>
      </c>
      <c r="C581" s="7">
        <v>0</v>
      </c>
      <c r="D581" s="7">
        <v>0</v>
      </c>
    </row>
    <row r="582" spans="1:4" x14ac:dyDescent="0.25">
      <c r="A582" s="2">
        <v>577</v>
      </c>
      <c r="B582" s="7">
        <v>0</v>
      </c>
      <c r="C582" s="7">
        <v>0</v>
      </c>
      <c r="D582" s="7">
        <v>0</v>
      </c>
    </row>
    <row r="583" spans="1:4" x14ac:dyDescent="0.25">
      <c r="A583" s="2">
        <v>578</v>
      </c>
      <c r="B583" s="7">
        <v>0</v>
      </c>
      <c r="C583" s="7">
        <v>0</v>
      </c>
      <c r="D583" s="7">
        <v>0</v>
      </c>
    </row>
    <row r="584" spans="1:4" x14ac:dyDescent="0.25">
      <c r="A584" s="2">
        <v>579</v>
      </c>
      <c r="B584" s="7">
        <v>0</v>
      </c>
      <c r="C584" s="7">
        <v>0</v>
      </c>
      <c r="D584" s="7">
        <v>0</v>
      </c>
    </row>
    <row r="585" spans="1:4" x14ac:dyDescent="0.25">
      <c r="A585" s="2">
        <v>580</v>
      </c>
      <c r="B585" s="7">
        <v>0</v>
      </c>
      <c r="C585" s="7">
        <v>0</v>
      </c>
      <c r="D585" s="7">
        <v>0</v>
      </c>
    </row>
    <row r="586" spans="1:4" x14ac:dyDescent="0.25">
      <c r="A586" s="2">
        <v>581</v>
      </c>
      <c r="B586" s="7">
        <v>0</v>
      </c>
      <c r="C586" s="7">
        <v>0</v>
      </c>
      <c r="D586" s="7">
        <v>0</v>
      </c>
    </row>
    <row r="587" spans="1:4" x14ac:dyDescent="0.25">
      <c r="A587" s="2">
        <v>582</v>
      </c>
      <c r="B587" s="7">
        <v>0</v>
      </c>
      <c r="C587" s="7">
        <v>0</v>
      </c>
      <c r="D587" s="7">
        <v>0</v>
      </c>
    </row>
    <row r="588" spans="1:4" x14ac:dyDescent="0.25">
      <c r="A588" s="2">
        <v>583</v>
      </c>
      <c r="B588" s="7">
        <v>0</v>
      </c>
      <c r="C588" s="7">
        <v>0</v>
      </c>
      <c r="D588" s="7">
        <v>0</v>
      </c>
    </row>
    <row r="589" spans="1:4" x14ac:dyDescent="0.25">
      <c r="A589" s="2">
        <v>584</v>
      </c>
      <c r="B589" s="7">
        <v>0</v>
      </c>
      <c r="C589" s="7">
        <v>0</v>
      </c>
      <c r="D589" s="7">
        <v>0</v>
      </c>
    </row>
    <row r="590" spans="1:4" x14ac:dyDescent="0.25">
      <c r="A590" s="2">
        <v>585</v>
      </c>
      <c r="B590" s="7">
        <v>0</v>
      </c>
      <c r="C590" s="7">
        <v>0</v>
      </c>
      <c r="D590" s="7">
        <v>0</v>
      </c>
    </row>
    <row r="591" spans="1:4" x14ac:dyDescent="0.25">
      <c r="A591" s="2">
        <v>586</v>
      </c>
      <c r="B591" s="7">
        <v>1</v>
      </c>
      <c r="C591" s="7">
        <v>0</v>
      </c>
      <c r="D591" s="7">
        <v>1</v>
      </c>
    </row>
    <row r="592" spans="1:4" x14ac:dyDescent="0.25">
      <c r="A592" s="2">
        <v>587</v>
      </c>
      <c r="B592" s="7">
        <v>2</v>
      </c>
      <c r="C592" s="7">
        <v>0</v>
      </c>
      <c r="D592" s="7">
        <v>1</v>
      </c>
    </row>
    <row r="593" spans="1:4" x14ac:dyDescent="0.25">
      <c r="A593" s="2">
        <v>588</v>
      </c>
      <c r="B593" s="7">
        <v>3</v>
      </c>
      <c r="C593" s="7">
        <v>0</v>
      </c>
      <c r="D593" s="7">
        <v>1</v>
      </c>
    </row>
    <row r="594" spans="1:4" x14ac:dyDescent="0.25">
      <c r="A594" s="2">
        <v>589</v>
      </c>
      <c r="B594" s="7">
        <v>2.7347399999999999</v>
      </c>
      <c r="C594" s="7">
        <v>0.265264</v>
      </c>
      <c r="D594" s="7">
        <v>0</v>
      </c>
    </row>
    <row r="595" spans="1:4" x14ac:dyDescent="0.25">
      <c r="A595" s="2">
        <v>590</v>
      </c>
      <c r="B595" s="7">
        <v>2.7347399999999999</v>
      </c>
      <c r="C595" s="7">
        <v>0</v>
      </c>
      <c r="D595" s="7">
        <v>0</v>
      </c>
    </row>
    <row r="596" spans="1:4" x14ac:dyDescent="0.25">
      <c r="A596" s="2">
        <v>591</v>
      </c>
      <c r="B596" s="7">
        <v>2.7347399999999999</v>
      </c>
      <c r="C596" s="7">
        <v>0</v>
      </c>
      <c r="D596" s="7">
        <v>0</v>
      </c>
    </row>
    <row r="597" spans="1:4" x14ac:dyDescent="0.25">
      <c r="A597" s="2">
        <v>592</v>
      </c>
      <c r="B597" s="7">
        <v>2.7347399999999999</v>
      </c>
      <c r="C597" s="7">
        <v>0</v>
      </c>
      <c r="D597" s="7">
        <v>0</v>
      </c>
    </row>
    <row r="598" spans="1:4" x14ac:dyDescent="0.25">
      <c r="A598" s="2">
        <v>593</v>
      </c>
      <c r="B598" s="7">
        <v>2.7347399999999999</v>
      </c>
      <c r="C598" s="7">
        <v>0</v>
      </c>
      <c r="D598" s="7">
        <v>0</v>
      </c>
    </row>
    <row r="599" spans="1:4" x14ac:dyDescent="0.25">
      <c r="A599" s="2">
        <v>594</v>
      </c>
      <c r="B599" s="7">
        <v>2.7347399999999999</v>
      </c>
      <c r="C599" s="7">
        <v>0</v>
      </c>
      <c r="D599" s="7">
        <v>0</v>
      </c>
    </row>
    <row r="600" spans="1:4" x14ac:dyDescent="0.25">
      <c r="A600" s="2">
        <v>595</v>
      </c>
      <c r="B600" s="7">
        <v>2.7347399999999999</v>
      </c>
      <c r="C600" s="7">
        <v>0</v>
      </c>
      <c r="D600" s="7">
        <v>0</v>
      </c>
    </row>
    <row r="601" spans="1:4" x14ac:dyDescent="0.25">
      <c r="A601" s="2">
        <v>596</v>
      </c>
      <c r="B601" s="7">
        <v>2.7347399999999999</v>
      </c>
      <c r="C601" s="7">
        <v>0</v>
      </c>
      <c r="D601" s="7">
        <v>0</v>
      </c>
    </row>
    <row r="602" spans="1:4" x14ac:dyDescent="0.25">
      <c r="A602" s="2">
        <v>597</v>
      </c>
      <c r="B602" s="7">
        <v>2.7347399999999999</v>
      </c>
      <c r="C602" s="7">
        <v>0</v>
      </c>
      <c r="D602" s="7">
        <v>0</v>
      </c>
    </row>
    <row r="603" spans="1:4" x14ac:dyDescent="0.25">
      <c r="A603" s="2">
        <v>598</v>
      </c>
      <c r="B603" s="7">
        <v>2.7347399999999999</v>
      </c>
      <c r="C603" s="7">
        <v>0</v>
      </c>
      <c r="D603" s="7">
        <v>0</v>
      </c>
    </row>
    <row r="604" spans="1:4" x14ac:dyDescent="0.25">
      <c r="A604" s="2">
        <v>599</v>
      </c>
      <c r="B604" s="7">
        <v>2.7347399999999999</v>
      </c>
      <c r="C604" s="7">
        <v>0</v>
      </c>
      <c r="D604" s="7">
        <v>0</v>
      </c>
    </row>
    <row r="605" spans="1:4" x14ac:dyDescent="0.25">
      <c r="A605" s="2">
        <v>600</v>
      </c>
      <c r="B605" s="7">
        <v>2.5244300000000002</v>
      </c>
      <c r="C605" s="7">
        <v>0.21030299999999999</v>
      </c>
      <c r="D605" s="7">
        <v>0</v>
      </c>
    </row>
    <row r="606" spans="1:4" x14ac:dyDescent="0.25">
      <c r="A606" s="2" t="s">
        <v>29</v>
      </c>
      <c r="B606" s="7">
        <v>213.5358619999999</v>
      </c>
      <c r="C606" s="7">
        <v>18.475565599999999</v>
      </c>
      <c r="D606" s="7">
        <v>19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45AAC-C5A8-4FD2-B65B-CD77EF14B0E5}">
  <dimension ref="A3:D604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20.7109375" bestFit="1" customWidth="1"/>
    <col min="4" max="4" width="14" bestFit="1" customWidth="1"/>
  </cols>
  <sheetData>
    <row r="3" spans="1:4" x14ac:dyDescent="0.25">
      <c r="A3" s="1" t="s">
        <v>30</v>
      </c>
      <c r="B3" t="s">
        <v>43</v>
      </c>
      <c r="C3" t="s">
        <v>44</v>
      </c>
      <c r="D3" t="s">
        <v>41</v>
      </c>
    </row>
    <row r="4" spans="1:4" x14ac:dyDescent="0.25">
      <c r="A4" s="2">
        <v>1</v>
      </c>
      <c r="B4" s="7">
        <v>0.15</v>
      </c>
      <c r="C4" s="7">
        <v>5.06811E-2</v>
      </c>
      <c r="D4" s="7">
        <v>0.15</v>
      </c>
    </row>
    <row r="5" spans="1:4" x14ac:dyDescent="0.25">
      <c r="A5" s="2">
        <v>2</v>
      </c>
      <c r="B5" s="7">
        <v>0.146532</v>
      </c>
      <c r="C5" s="7">
        <v>5.9796799999999997E-2</v>
      </c>
      <c r="D5" s="7">
        <v>0.146532</v>
      </c>
    </row>
    <row r="6" spans="1:4" x14ac:dyDescent="0.25">
      <c r="A6" s="2">
        <v>3</v>
      </c>
      <c r="B6" s="7">
        <v>0.16225000000000001</v>
      </c>
      <c r="C6" s="7">
        <v>5.7404900000000002E-2</v>
      </c>
      <c r="D6" s="7">
        <v>0.16225000000000001</v>
      </c>
    </row>
    <row r="7" spans="1:4" x14ac:dyDescent="0.25">
      <c r="A7" s="2">
        <v>4</v>
      </c>
      <c r="B7" s="7">
        <v>0.15174599999999999</v>
      </c>
      <c r="C7" s="7">
        <v>5.5109400000000003E-2</v>
      </c>
      <c r="D7" s="7">
        <v>0.15174599999999999</v>
      </c>
    </row>
    <row r="8" spans="1:4" x14ac:dyDescent="0.25">
      <c r="A8" s="2">
        <v>5</v>
      </c>
      <c r="B8" s="7">
        <v>0.14186399999999999</v>
      </c>
      <c r="C8" s="7">
        <v>5.2940800000000003E-2</v>
      </c>
      <c r="D8" s="7">
        <v>0.14186399999999999</v>
      </c>
    </row>
    <row r="9" spans="1:4" x14ac:dyDescent="0.25">
      <c r="A9" s="2">
        <v>6</v>
      </c>
      <c r="B9" s="7">
        <v>0.13264699999999999</v>
      </c>
      <c r="C9" s="7">
        <v>5.0841699999999997E-2</v>
      </c>
      <c r="D9" s="7">
        <v>0</v>
      </c>
    </row>
    <row r="10" spans="1:4" x14ac:dyDescent="0.25">
      <c r="A10" s="2">
        <v>7</v>
      </c>
      <c r="B10" s="7">
        <v>0.13057099999999999</v>
      </c>
      <c r="C10" s="7">
        <v>4.8826700000000001E-2</v>
      </c>
      <c r="D10" s="7">
        <v>0.13057099999999999</v>
      </c>
    </row>
    <row r="11" spans="1:4" x14ac:dyDescent="0.25">
      <c r="A11" s="2">
        <v>8</v>
      </c>
      <c r="B11" s="7">
        <v>0.12205100000000001</v>
      </c>
      <c r="C11" s="7">
        <v>4.6892799999999998E-2</v>
      </c>
      <c r="D11" s="7">
        <v>0.12205100000000001</v>
      </c>
    </row>
    <row r="12" spans="1:4" x14ac:dyDescent="0.25">
      <c r="A12" s="2">
        <v>9</v>
      </c>
      <c r="B12" s="7">
        <v>0.114038</v>
      </c>
      <c r="C12" s="7">
        <v>8.3534800000000006E-2</v>
      </c>
      <c r="D12" s="7">
        <v>0.114038</v>
      </c>
    </row>
    <row r="13" spans="1:4" x14ac:dyDescent="0.25">
      <c r="A13" s="2">
        <v>10</v>
      </c>
      <c r="B13" s="7">
        <v>0.19312499999999999</v>
      </c>
      <c r="C13" s="7">
        <v>8.0237299999999998E-2</v>
      </c>
      <c r="D13" s="7">
        <v>0.19312499999999999</v>
      </c>
    </row>
    <row r="14" spans="1:4" x14ac:dyDescent="0.25">
      <c r="A14" s="2">
        <v>11</v>
      </c>
      <c r="B14" s="7">
        <v>0.180226</v>
      </c>
      <c r="C14" s="7">
        <v>7.7037499999999995E-2</v>
      </c>
      <c r="D14" s="7">
        <v>0.180226</v>
      </c>
    </row>
    <row r="15" spans="1:4" x14ac:dyDescent="0.25">
      <c r="A15" s="2">
        <v>12</v>
      </c>
      <c r="B15" s="7">
        <v>0.16802800000000001</v>
      </c>
      <c r="C15" s="7">
        <v>7.3965699999999995E-2</v>
      </c>
      <c r="D15" s="7">
        <v>0</v>
      </c>
    </row>
    <row r="16" spans="1:4" x14ac:dyDescent="0.25">
      <c r="A16" s="2">
        <v>13</v>
      </c>
      <c r="B16" s="7">
        <v>0.164968</v>
      </c>
      <c r="C16" s="7">
        <v>7.1016700000000002E-2</v>
      </c>
      <c r="D16" s="7">
        <v>0.164968</v>
      </c>
    </row>
    <row r="17" spans="1:4" x14ac:dyDescent="0.25">
      <c r="A17" s="2">
        <v>14</v>
      </c>
      <c r="B17" s="7">
        <v>0.153783</v>
      </c>
      <c r="C17" s="7">
        <v>6.8185700000000002E-2</v>
      </c>
      <c r="D17" s="7">
        <v>0.153783</v>
      </c>
    </row>
    <row r="18" spans="1:4" x14ac:dyDescent="0.25">
      <c r="A18" s="2">
        <v>15</v>
      </c>
      <c r="B18" s="7">
        <v>0.14327400000000001</v>
      </c>
      <c r="C18" s="7">
        <v>6.5467800000000007E-2</v>
      </c>
      <c r="D18" s="7">
        <v>0</v>
      </c>
    </row>
    <row r="19" spans="1:4" x14ac:dyDescent="0.25">
      <c r="A19" s="2">
        <v>16</v>
      </c>
      <c r="B19" s="7">
        <v>0.140569</v>
      </c>
      <c r="C19" s="7">
        <v>6.2858700000000003E-2</v>
      </c>
      <c r="D19" s="7">
        <v>0.140569</v>
      </c>
    </row>
    <row r="20" spans="1:4" x14ac:dyDescent="0.25">
      <c r="A20" s="2">
        <v>17</v>
      </c>
      <c r="B20" s="7">
        <v>0.130943</v>
      </c>
      <c r="C20" s="7">
        <v>6.0353900000000002E-2</v>
      </c>
      <c r="D20" s="7">
        <v>0.130943</v>
      </c>
    </row>
    <row r="21" spans="1:4" x14ac:dyDescent="0.25">
      <c r="A21" s="2">
        <v>18</v>
      </c>
      <c r="B21" s="7">
        <v>0.121903</v>
      </c>
      <c r="C21" s="7">
        <v>5.7949199999999999E-2</v>
      </c>
      <c r="D21" s="7">
        <v>0.121903</v>
      </c>
    </row>
    <row r="22" spans="1:4" x14ac:dyDescent="0.25">
      <c r="A22" s="2">
        <v>19</v>
      </c>
      <c r="B22" s="7">
        <v>0.113415</v>
      </c>
      <c r="C22" s="7">
        <v>7.5459100000000001E-2</v>
      </c>
      <c r="D22" s="7">
        <v>0.113415</v>
      </c>
    </row>
    <row r="23" spans="1:4" x14ac:dyDescent="0.25">
      <c r="A23" s="2">
        <v>20</v>
      </c>
      <c r="B23" s="7">
        <v>0.15003900000000001</v>
      </c>
      <c r="C23" s="7">
        <v>7.25026E-2</v>
      </c>
      <c r="D23" s="7">
        <v>0.15003900000000001</v>
      </c>
    </row>
    <row r="24" spans="1:4" x14ac:dyDescent="0.25">
      <c r="A24" s="2">
        <v>21</v>
      </c>
      <c r="B24" s="7">
        <v>0.139658</v>
      </c>
      <c r="C24" s="7">
        <v>6.9630600000000001E-2</v>
      </c>
      <c r="D24" s="7">
        <v>0.139658</v>
      </c>
    </row>
    <row r="25" spans="1:4" x14ac:dyDescent="0.25">
      <c r="A25" s="2">
        <v>22</v>
      </c>
      <c r="B25" s="7">
        <v>0.12983800000000001</v>
      </c>
      <c r="C25" s="7">
        <v>6.6859699999999994E-2</v>
      </c>
      <c r="D25" s="7">
        <v>0.12983800000000001</v>
      </c>
    </row>
    <row r="26" spans="1:4" x14ac:dyDescent="0.25">
      <c r="A26" s="2">
        <v>23</v>
      </c>
      <c r="B26" s="7">
        <v>0.12059300000000001</v>
      </c>
      <c r="C26" s="7">
        <v>6.4214499999999994E-2</v>
      </c>
      <c r="D26" s="7">
        <v>0.12059300000000001</v>
      </c>
    </row>
    <row r="27" spans="1:4" x14ac:dyDescent="0.25">
      <c r="A27" s="2">
        <v>24</v>
      </c>
      <c r="B27" s="7">
        <v>0.111955</v>
      </c>
      <c r="C27" s="7">
        <v>6.1694699999999998E-2</v>
      </c>
      <c r="D27" s="7">
        <v>0.111955</v>
      </c>
    </row>
    <row r="28" spans="1:4" x14ac:dyDescent="0.25">
      <c r="A28" s="2">
        <v>25</v>
      </c>
      <c r="B28" s="7">
        <v>0.103898</v>
      </c>
      <c r="C28" s="7">
        <v>5.9260100000000003E-2</v>
      </c>
      <c r="D28" s="7">
        <v>0.103898</v>
      </c>
    </row>
    <row r="29" spans="1:4" x14ac:dyDescent="0.25">
      <c r="A29" s="2">
        <v>26</v>
      </c>
      <c r="B29" s="7">
        <v>9.6310199999999999E-2</v>
      </c>
      <c r="C29" s="7">
        <v>5.69852E-2</v>
      </c>
      <c r="D29" s="7">
        <v>9.6310199999999999E-2</v>
      </c>
    </row>
    <row r="30" spans="1:4" x14ac:dyDescent="0.25">
      <c r="A30" s="2">
        <v>27</v>
      </c>
      <c r="B30" s="7">
        <v>8.9339199999999994E-2</v>
      </c>
      <c r="C30" s="7">
        <v>5.4705799999999999E-2</v>
      </c>
      <c r="D30" s="7">
        <v>8.9339199999999994E-2</v>
      </c>
    </row>
    <row r="31" spans="1:4" x14ac:dyDescent="0.25">
      <c r="A31" s="2">
        <v>28</v>
      </c>
      <c r="B31" s="7">
        <v>8.2592899999999997E-2</v>
      </c>
      <c r="C31" s="7">
        <v>5.2607399999999999E-2</v>
      </c>
      <c r="D31" s="7">
        <v>8.2592899999999997E-2</v>
      </c>
    </row>
    <row r="32" spans="1:4" x14ac:dyDescent="0.25">
      <c r="A32" s="2">
        <v>29</v>
      </c>
      <c r="B32" s="7">
        <v>7.6477000000000003E-2</v>
      </c>
      <c r="C32" s="7">
        <v>5.0503100000000002E-2</v>
      </c>
      <c r="D32" s="7">
        <v>7.6477000000000003E-2</v>
      </c>
    </row>
    <row r="33" spans="1:4" x14ac:dyDescent="0.25">
      <c r="A33" s="2">
        <v>30</v>
      </c>
      <c r="B33" s="7">
        <v>7.0548899999999998E-2</v>
      </c>
      <c r="C33" s="7">
        <v>4.8529799999999998E-2</v>
      </c>
      <c r="D33" s="7">
        <v>7.0548899999999998E-2</v>
      </c>
    </row>
    <row r="34" spans="1:4" x14ac:dyDescent="0.25">
      <c r="A34" s="2">
        <v>31</v>
      </c>
      <c r="B34" s="7">
        <v>6.5106700000000003E-2</v>
      </c>
      <c r="C34" s="7">
        <v>4.6711099999999998E-2</v>
      </c>
      <c r="D34" s="7">
        <v>6.5106700000000003E-2</v>
      </c>
    </row>
    <row r="35" spans="1:4" x14ac:dyDescent="0.25">
      <c r="A35" s="2">
        <v>32</v>
      </c>
      <c r="B35" s="7">
        <v>6.0185799999999998E-2</v>
      </c>
      <c r="C35" s="7">
        <v>5.67444E-2</v>
      </c>
      <c r="D35" s="7">
        <v>6.0185799999999998E-2</v>
      </c>
    </row>
    <row r="36" spans="1:4" x14ac:dyDescent="0.25">
      <c r="A36" s="2">
        <v>33</v>
      </c>
      <c r="B36" s="7">
        <v>8.2086900000000004E-2</v>
      </c>
      <c r="C36" s="7">
        <v>5.4474599999999998E-2</v>
      </c>
      <c r="D36" s="7">
        <v>8.2086900000000004E-2</v>
      </c>
    </row>
    <row r="37" spans="1:4" x14ac:dyDescent="0.25">
      <c r="A37" s="2">
        <v>34</v>
      </c>
      <c r="B37" s="7">
        <v>7.5712699999999994E-2</v>
      </c>
      <c r="C37" s="7">
        <v>5.2333200000000003E-2</v>
      </c>
      <c r="D37" s="7">
        <v>7.5712699999999994E-2</v>
      </c>
    </row>
    <row r="38" spans="1:4" x14ac:dyDescent="0.25">
      <c r="A38" s="2">
        <v>35</v>
      </c>
      <c r="B38" s="7">
        <v>6.9832699999999998E-2</v>
      </c>
      <c r="C38" s="7">
        <v>5.0422300000000003E-2</v>
      </c>
      <c r="D38" s="7">
        <v>6.9832699999999998E-2</v>
      </c>
    </row>
    <row r="39" spans="1:4" x14ac:dyDescent="0.25">
      <c r="A39" s="2">
        <v>36</v>
      </c>
      <c r="B39" s="7">
        <v>6.4658199999999999E-2</v>
      </c>
      <c r="C39" s="7">
        <v>4.8405400000000001E-2</v>
      </c>
      <c r="D39" s="7">
        <v>6.4658199999999999E-2</v>
      </c>
    </row>
    <row r="40" spans="1:4" x14ac:dyDescent="0.25">
      <c r="A40" s="2">
        <v>37</v>
      </c>
      <c r="B40" s="7">
        <v>5.94084E-2</v>
      </c>
      <c r="C40" s="7">
        <v>4.6469200000000002E-2</v>
      </c>
      <c r="D40" s="7">
        <v>0</v>
      </c>
    </row>
    <row r="41" spans="1:4" x14ac:dyDescent="0.25">
      <c r="A41" s="2">
        <v>38</v>
      </c>
      <c r="B41" s="7">
        <v>5.7472200000000001E-2</v>
      </c>
      <c r="C41" s="7">
        <v>4.46878E-2</v>
      </c>
      <c r="D41" s="7">
        <v>5.7472200000000001E-2</v>
      </c>
    </row>
    <row r="42" spans="1:4" x14ac:dyDescent="0.25">
      <c r="A42" s="2">
        <v>39</v>
      </c>
      <c r="B42" s="7">
        <v>5.2913799999999997E-2</v>
      </c>
      <c r="C42" s="7">
        <v>6.4716099999999999E-2</v>
      </c>
      <c r="D42" s="7">
        <v>5.2913799999999997E-2</v>
      </c>
    </row>
    <row r="43" spans="1:4" x14ac:dyDescent="0.25">
      <c r="A43" s="2">
        <v>40</v>
      </c>
      <c r="B43" s="7">
        <v>9.7566200000000006E-2</v>
      </c>
      <c r="C43" s="7">
        <v>6.2127399999999999E-2</v>
      </c>
      <c r="D43" s="7">
        <v>9.7566200000000006E-2</v>
      </c>
    </row>
    <row r="44" spans="1:4" x14ac:dyDescent="0.25">
      <c r="A44" s="2">
        <v>41</v>
      </c>
      <c r="B44" s="7">
        <v>9.0099200000000004E-2</v>
      </c>
      <c r="C44" s="7">
        <v>5.9812900000000002E-2</v>
      </c>
      <c r="D44" s="7">
        <v>9.0099200000000004E-2</v>
      </c>
    </row>
    <row r="45" spans="1:4" x14ac:dyDescent="0.25">
      <c r="A45" s="2">
        <v>42</v>
      </c>
      <c r="B45" s="7">
        <v>8.3492899999999995E-2</v>
      </c>
      <c r="C45" s="7">
        <v>5.7657600000000003E-2</v>
      </c>
      <c r="D45" s="7">
        <v>8.3492899999999995E-2</v>
      </c>
    </row>
    <row r="46" spans="1:4" x14ac:dyDescent="0.25">
      <c r="A46" s="2">
        <v>43</v>
      </c>
      <c r="B46" s="7">
        <v>7.7459500000000001E-2</v>
      </c>
      <c r="C46" s="7">
        <v>5.5558700000000003E-2</v>
      </c>
      <c r="D46" s="7">
        <v>7.7459500000000001E-2</v>
      </c>
    </row>
    <row r="47" spans="1:4" x14ac:dyDescent="0.25">
      <c r="A47" s="2">
        <v>44</v>
      </c>
      <c r="B47" s="7">
        <v>7.1746900000000002E-2</v>
      </c>
      <c r="C47" s="7">
        <v>5.3518200000000002E-2</v>
      </c>
      <c r="D47" s="7">
        <v>7.1746900000000002E-2</v>
      </c>
    </row>
    <row r="48" spans="1:4" x14ac:dyDescent="0.25">
      <c r="A48" s="2">
        <v>45</v>
      </c>
      <c r="B48" s="7">
        <v>6.63464E-2</v>
      </c>
      <c r="C48" s="7">
        <v>5.1849300000000001E-2</v>
      </c>
      <c r="D48" s="7">
        <v>6.63464E-2</v>
      </c>
    </row>
    <row r="49" spans="1:4" x14ac:dyDescent="0.25">
      <c r="A49" s="2">
        <v>46</v>
      </c>
      <c r="B49" s="7">
        <v>6.1949999999999998E-2</v>
      </c>
      <c r="C49" s="7">
        <v>5.0160799999999998E-2</v>
      </c>
      <c r="D49" s="7">
        <v>6.1949999999999998E-2</v>
      </c>
    </row>
    <row r="50" spans="1:4" x14ac:dyDescent="0.25">
      <c r="A50" s="2">
        <v>47</v>
      </c>
      <c r="B50" s="7">
        <v>5.7645799999999997E-2</v>
      </c>
      <c r="C50" s="7">
        <v>4.81544E-2</v>
      </c>
      <c r="D50" s="7">
        <v>5.7645799999999997E-2</v>
      </c>
    </row>
    <row r="51" spans="1:4" x14ac:dyDescent="0.25">
      <c r="A51" s="2">
        <v>48</v>
      </c>
      <c r="B51" s="7">
        <v>5.2757100000000001E-2</v>
      </c>
      <c r="C51" s="7">
        <v>4.6386200000000002E-2</v>
      </c>
      <c r="D51" s="7">
        <v>0</v>
      </c>
    </row>
    <row r="52" spans="1:4" x14ac:dyDescent="0.25">
      <c r="A52" s="2">
        <v>49</v>
      </c>
      <c r="B52" s="7">
        <v>5.11864E-2</v>
      </c>
      <c r="C52" s="7">
        <v>4.4530800000000002E-2</v>
      </c>
      <c r="D52" s="7">
        <v>5.11864E-2</v>
      </c>
    </row>
    <row r="53" spans="1:4" x14ac:dyDescent="0.25">
      <c r="A53" s="2">
        <v>50</v>
      </c>
      <c r="B53" s="7">
        <v>4.48181E-2</v>
      </c>
      <c r="C53" s="7">
        <v>6.1540299999999999E-2</v>
      </c>
      <c r="D53" s="7">
        <v>4.48181E-2</v>
      </c>
    </row>
    <row r="54" spans="1:4" x14ac:dyDescent="0.25">
      <c r="A54" s="2">
        <v>51</v>
      </c>
      <c r="B54" s="7">
        <v>8.5028699999999999E-2</v>
      </c>
      <c r="C54" s="7">
        <v>5.9456299999999997E-2</v>
      </c>
      <c r="D54" s="7">
        <v>8.5028699999999999E-2</v>
      </c>
    </row>
    <row r="55" spans="1:4" x14ac:dyDescent="0.25">
      <c r="A55" s="2">
        <v>52</v>
      </c>
      <c r="B55" s="7">
        <v>7.91655E-2</v>
      </c>
      <c r="C55" s="7">
        <v>5.7166300000000003E-2</v>
      </c>
      <c r="D55" s="7">
        <v>7.91655E-2</v>
      </c>
    </row>
    <row r="56" spans="1:4" x14ac:dyDescent="0.25">
      <c r="A56" s="2">
        <v>53</v>
      </c>
      <c r="B56" s="7">
        <v>7.3027499999999995E-2</v>
      </c>
      <c r="C56" s="7">
        <v>5.5225400000000001E-2</v>
      </c>
      <c r="D56" s="7">
        <v>7.3027499999999995E-2</v>
      </c>
    </row>
    <row r="57" spans="1:4" x14ac:dyDescent="0.25">
      <c r="A57" s="2">
        <v>54</v>
      </c>
      <c r="B57" s="7">
        <v>6.7867200000000003E-2</v>
      </c>
      <c r="C57" s="7">
        <v>5.3314599999999997E-2</v>
      </c>
      <c r="D57" s="7">
        <v>6.7867200000000003E-2</v>
      </c>
    </row>
    <row r="58" spans="1:4" x14ac:dyDescent="0.25">
      <c r="A58" s="2">
        <v>55</v>
      </c>
      <c r="B58" s="7">
        <v>6.2935900000000003E-2</v>
      </c>
      <c r="C58" s="7">
        <v>5.1181999999999998E-2</v>
      </c>
      <c r="D58" s="7">
        <v>6.2935900000000003E-2</v>
      </c>
    </row>
    <row r="59" spans="1:4" x14ac:dyDescent="0.25">
      <c r="A59" s="2">
        <v>56</v>
      </c>
      <c r="B59" s="7">
        <v>5.7656499999999999E-2</v>
      </c>
      <c r="C59" s="7">
        <v>4.9134700000000003E-2</v>
      </c>
      <c r="D59" s="7">
        <v>5.7656499999999999E-2</v>
      </c>
    </row>
    <row r="60" spans="1:4" x14ac:dyDescent="0.25">
      <c r="A60" s="2">
        <v>57</v>
      </c>
      <c r="B60" s="7">
        <v>5.27264E-2</v>
      </c>
      <c r="C60" s="7">
        <v>4.71694E-2</v>
      </c>
      <c r="D60" s="7">
        <v>5.27264E-2</v>
      </c>
    </row>
    <row r="61" spans="1:4" x14ac:dyDescent="0.25">
      <c r="A61" s="2">
        <v>58</v>
      </c>
      <c r="B61" s="7">
        <v>1.9107499999999999E-2</v>
      </c>
      <c r="C61" s="7">
        <v>4.5282599999999999E-2</v>
      </c>
      <c r="D61" s="7">
        <v>1.9107499999999999E-2</v>
      </c>
    </row>
    <row r="62" spans="1:4" x14ac:dyDescent="0.25">
      <c r="A62" s="2">
        <v>59</v>
      </c>
      <c r="B62" s="7">
        <v>0</v>
      </c>
      <c r="C62" s="7">
        <v>4.3471299999999997E-2</v>
      </c>
      <c r="D62" s="7">
        <v>0</v>
      </c>
    </row>
    <row r="63" spans="1:4" x14ac:dyDescent="0.25">
      <c r="A63" s="2">
        <v>60</v>
      </c>
      <c r="B63" s="7">
        <v>0</v>
      </c>
      <c r="C63" s="7">
        <v>4.20221E-2</v>
      </c>
      <c r="D63" s="7">
        <v>0</v>
      </c>
    </row>
    <row r="64" spans="1:4" x14ac:dyDescent="0.25">
      <c r="A64" s="2">
        <v>61</v>
      </c>
      <c r="B64" s="7">
        <v>7.2414899999999997E-3</v>
      </c>
      <c r="C64" s="7">
        <v>4.0341200000000001E-2</v>
      </c>
      <c r="D64" s="7">
        <v>7.2414899999999997E-3</v>
      </c>
    </row>
    <row r="65" spans="1:4" x14ac:dyDescent="0.25">
      <c r="A65" s="2">
        <v>62</v>
      </c>
      <c r="B65" s="7">
        <v>0</v>
      </c>
      <c r="C65" s="7">
        <v>3.8727600000000001E-2</v>
      </c>
      <c r="D65" s="7">
        <v>0</v>
      </c>
    </row>
    <row r="66" spans="1:4" x14ac:dyDescent="0.25">
      <c r="A66" s="2">
        <v>63</v>
      </c>
      <c r="B66" s="7">
        <v>0</v>
      </c>
      <c r="C66" s="7">
        <v>3.7178500000000003E-2</v>
      </c>
      <c r="D66" s="7">
        <v>0</v>
      </c>
    </row>
    <row r="67" spans="1:4" x14ac:dyDescent="0.25">
      <c r="A67" s="2">
        <v>64</v>
      </c>
      <c r="B67" s="7">
        <v>0</v>
      </c>
      <c r="C67" s="7">
        <v>3.6028600000000001E-2</v>
      </c>
      <c r="D67" s="7">
        <v>0</v>
      </c>
    </row>
    <row r="68" spans="1:4" x14ac:dyDescent="0.25">
      <c r="A68" s="2">
        <v>65</v>
      </c>
      <c r="B68" s="7">
        <v>8.4332299999999999E-3</v>
      </c>
      <c r="C68" s="7">
        <v>3.45875E-2</v>
      </c>
      <c r="D68" s="7">
        <v>8.4332299999999999E-3</v>
      </c>
    </row>
    <row r="69" spans="1:4" x14ac:dyDescent="0.25">
      <c r="A69" s="2">
        <v>66</v>
      </c>
      <c r="B69" s="7">
        <v>0</v>
      </c>
      <c r="C69" s="7">
        <v>3.3225600000000001E-2</v>
      </c>
      <c r="D69" s="7">
        <v>0</v>
      </c>
    </row>
    <row r="70" spans="1:4" x14ac:dyDescent="0.25">
      <c r="A70" s="2">
        <v>67</v>
      </c>
      <c r="B70" s="7">
        <v>5.4109500000000001E-4</v>
      </c>
      <c r="C70" s="7">
        <v>3.1896599999999997E-2</v>
      </c>
      <c r="D70" s="7">
        <v>0</v>
      </c>
    </row>
    <row r="71" spans="1:4" x14ac:dyDescent="0.25">
      <c r="A71" s="2">
        <v>68</v>
      </c>
      <c r="B71" s="7">
        <v>5.4109500000000001E-4</v>
      </c>
      <c r="C71" s="7">
        <v>3.06208E-2</v>
      </c>
      <c r="D71" s="7">
        <v>5.4109500000000001E-4</v>
      </c>
    </row>
    <row r="72" spans="1:4" x14ac:dyDescent="0.25">
      <c r="A72" s="2">
        <v>69</v>
      </c>
      <c r="B72" s="7">
        <v>0</v>
      </c>
      <c r="C72" s="7">
        <v>2.9395899999999999E-2</v>
      </c>
      <c r="D72" s="7">
        <v>0</v>
      </c>
    </row>
    <row r="73" spans="1:4" x14ac:dyDescent="0.25">
      <c r="A73" s="2">
        <v>70</v>
      </c>
      <c r="B73" s="7">
        <v>0</v>
      </c>
      <c r="C73" s="7">
        <v>2.8220100000000001E-2</v>
      </c>
      <c r="D73" s="7">
        <v>0</v>
      </c>
    </row>
    <row r="74" spans="1:4" x14ac:dyDescent="0.25">
      <c r="A74" s="2">
        <v>71</v>
      </c>
      <c r="B74" s="7">
        <v>0</v>
      </c>
      <c r="C74" s="7">
        <v>2.7109000000000001E-2</v>
      </c>
      <c r="D74" s="7">
        <v>0</v>
      </c>
    </row>
    <row r="75" spans="1:4" x14ac:dyDescent="0.25">
      <c r="A75" s="2">
        <v>72</v>
      </c>
      <c r="B75" s="7">
        <v>0</v>
      </c>
      <c r="C75" s="7">
        <v>2.6024599999999998E-2</v>
      </c>
      <c r="D75" s="7">
        <v>0</v>
      </c>
    </row>
    <row r="76" spans="1:4" x14ac:dyDescent="0.25">
      <c r="A76" s="2">
        <v>73</v>
      </c>
      <c r="B76" s="7">
        <v>0</v>
      </c>
      <c r="C76" s="7">
        <v>2.4983700000000001E-2</v>
      </c>
      <c r="D76" s="7">
        <v>0</v>
      </c>
    </row>
    <row r="77" spans="1:4" x14ac:dyDescent="0.25">
      <c r="A77" s="2">
        <v>74</v>
      </c>
      <c r="B77" s="7">
        <v>0</v>
      </c>
      <c r="C77" s="7">
        <v>2.4245900000000001E-2</v>
      </c>
      <c r="D77" s="7">
        <v>0</v>
      </c>
    </row>
    <row r="78" spans="1:4" x14ac:dyDescent="0.25">
      <c r="A78" s="2">
        <v>75</v>
      </c>
      <c r="B78" s="7">
        <v>0</v>
      </c>
      <c r="C78" s="7">
        <v>2.3276100000000001E-2</v>
      </c>
      <c r="D78" s="7">
        <v>0</v>
      </c>
    </row>
    <row r="79" spans="1:4" x14ac:dyDescent="0.25">
      <c r="A79" s="2">
        <v>76</v>
      </c>
      <c r="B79" s="7">
        <v>0</v>
      </c>
      <c r="C79" s="7">
        <v>2.23451E-2</v>
      </c>
      <c r="D79" s="7">
        <v>0</v>
      </c>
    </row>
    <row r="80" spans="1:4" x14ac:dyDescent="0.25">
      <c r="A80" s="2">
        <v>77</v>
      </c>
      <c r="B80" s="7">
        <v>0</v>
      </c>
      <c r="C80" s="7">
        <v>2.14513E-2</v>
      </c>
      <c r="D80" s="7">
        <v>0</v>
      </c>
    </row>
    <row r="81" spans="1:4" x14ac:dyDescent="0.25">
      <c r="A81" s="2">
        <v>78</v>
      </c>
      <c r="B81" s="7">
        <v>0</v>
      </c>
      <c r="C81" s="7">
        <v>2.0593199999999999E-2</v>
      </c>
      <c r="D81" s="7">
        <v>0</v>
      </c>
    </row>
    <row r="82" spans="1:4" x14ac:dyDescent="0.25">
      <c r="A82" s="2">
        <v>79</v>
      </c>
      <c r="B82" s="7">
        <v>0</v>
      </c>
      <c r="C82" s="7">
        <v>1.9769499999999999E-2</v>
      </c>
      <c r="D82" s="7">
        <v>0</v>
      </c>
    </row>
    <row r="83" spans="1:4" x14ac:dyDescent="0.25">
      <c r="A83" s="2">
        <v>80</v>
      </c>
      <c r="B83" s="7">
        <v>0</v>
      </c>
      <c r="C83" s="7">
        <v>1.8978700000000001E-2</v>
      </c>
      <c r="D83" s="7">
        <v>0</v>
      </c>
    </row>
    <row r="84" spans="1:4" x14ac:dyDescent="0.25">
      <c r="A84" s="2">
        <v>81</v>
      </c>
      <c r="B84" s="7">
        <v>0</v>
      </c>
      <c r="C84" s="7">
        <v>1.82195E-2</v>
      </c>
      <c r="D84" s="7">
        <v>0</v>
      </c>
    </row>
    <row r="85" spans="1:4" x14ac:dyDescent="0.25">
      <c r="A85" s="2">
        <v>82</v>
      </c>
      <c r="B85" s="7">
        <v>0</v>
      </c>
      <c r="C85" s="7">
        <v>1.7490800000000001E-2</v>
      </c>
      <c r="D85" s="7">
        <v>0</v>
      </c>
    </row>
    <row r="86" spans="1:4" x14ac:dyDescent="0.25">
      <c r="A86" s="2">
        <v>83</v>
      </c>
      <c r="B86" s="7">
        <v>0</v>
      </c>
      <c r="C86" s="7">
        <v>1.67911E-2</v>
      </c>
      <c r="D86" s="7">
        <v>0</v>
      </c>
    </row>
    <row r="87" spans="1:4" x14ac:dyDescent="0.25">
      <c r="A87" s="2">
        <v>84</v>
      </c>
      <c r="B87" s="7">
        <v>0</v>
      </c>
      <c r="C87" s="7">
        <v>1.6724200000000002E-2</v>
      </c>
      <c r="D87" s="7">
        <v>0</v>
      </c>
    </row>
    <row r="88" spans="1:4" x14ac:dyDescent="0.25">
      <c r="A88" s="2">
        <v>85</v>
      </c>
      <c r="B88" s="7">
        <v>0</v>
      </c>
      <c r="C88" s="7">
        <v>1.6055199999999999E-2</v>
      </c>
      <c r="D88" s="7">
        <v>0</v>
      </c>
    </row>
    <row r="89" spans="1:4" x14ac:dyDescent="0.25">
      <c r="A89" s="2">
        <v>86</v>
      </c>
      <c r="B89" s="7">
        <v>0</v>
      </c>
      <c r="C89" s="7">
        <v>1.5413E-2</v>
      </c>
      <c r="D89" s="7">
        <v>0</v>
      </c>
    </row>
    <row r="90" spans="1:4" x14ac:dyDescent="0.25">
      <c r="A90" s="2">
        <v>87</v>
      </c>
      <c r="B90" s="7">
        <v>0</v>
      </c>
      <c r="C90" s="7">
        <v>1.4796500000000001E-2</v>
      </c>
      <c r="D90" s="7">
        <v>0</v>
      </c>
    </row>
    <row r="91" spans="1:4" x14ac:dyDescent="0.25">
      <c r="A91" s="2">
        <v>88</v>
      </c>
      <c r="B91" s="7">
        <v>0</v>
      </c>
      <c r="C91" s="7">
        <v>1.42046E-2</v>
      </c>
      <c r="D91" s="7">
        <v>0</v>
      </c>
    </row>
    <row r="92" spans="1:4" x14ac:dyDescent="0.25">
      <c r="A92" s="2">
        <v>89</v>
      </c>
      <c r="B92" s="7">
        <v>0</v>
      </c>
      <c r="C92" s="7">
        <v>1.36364E-2</v>
      </c>
      <c r="D92" s="7">
        <v>0</v>
      </c>
    </row>
    <row r="93" spans="1:4" x14ac:dyDescent="0.25">
      <c r="A93" s="2">
        <v>90</v>
      </c>
      <c r="B93" s="7">
        <v>0</v>
      </c>
      <c r="C93" s="7">
        <v>1.3091E-2</v>
      </c>
      <c r="D93" s="7">
        <v>0</v>
      </c>
    </row>
    <row r="94" spans="1:4" x14ac:dyDescent="0.25">
      <c r="A94" s="2">
        <v>91</v>
      </c>
      <c r="B94" s="7">
        <v>0</v>
      </c>
      <c r="C94" s="7">
        <v>1.25673E-2</v>
      </c>
      <c r="D94" s="7">
        <v>0</v>
      </c>
    </row>
    <row r="95" spans="1:4" x14ac:dyDescent="0.25">
      <c r="A95" s="2">
        <v>92</v>
      </c>
      <c r="B95" s="7">
        <v>0</v>
      </c>
      <c r="C95" s="7">
        <v>1.2064699999999999E-2</v>
      </c>
      <c r="D95" s="7">
        <v>0</v>
      </c>
    </row>
    <row r="96" spans="1:4" x14ac:dyDescent="0.25">
      <c r="A96" s="2">
        <v>93</v>
      </c>
      <c r="B96" s="7">
        <v>0</v>
      </c>
      <c r="C96" s="7">
        <v>1.15821E-2</v>
      </c>
      <c r="D96" s="7">
        <v>0</v>
      </c>
    </row>
    <row r="97" spans="1:4" x14ac:dyDescent="0.25">
      <c r="A97" s="2">
        <v>94</v>
      </c>
      <c r="B97" s="7">
        <v>0</v>
      </c>
      <c r="C97" s="7">
        <v>1.11188E-2</v>
      </c>
      <c r="D97" s="7">
        <v>0</v>
      </c>
    </row>
    <row r="98" spans="1:4" x14ac:dyDescent="0.25">
      <c r="A98" s="2">
        <v>95</v>
      </c>
      <c r="B98" s="7">
        <v>0</v>
      </c>
      <c r="C98" s="7">
        <v>1.0673999999999999E-2</v>
      </c>
      <c r="D98" s="7">
        <v>0</v>
      </c>
    </row>
    <row r="99" spans="1:4" x14ac:dyDescent="0.25">
      <c r="A99" s="2">
        <v>96</v>
      </c>
      <c r="B99" s="7">
        <v>0</v>
      </c>
      <c r="C99" s="7">
        <v>1.02471E-2</v>
      </c>
      <c r="D99" s="7">
        <v>0</v>
      </c>
    </row>
    <row r="100" spans="1:4" x14ac:dyDescent="0.25">
      <c r="A100" s="2">
        <v>97</v>
      </c>
      <c r="B100" s="7">
        <v>0</v>
      </c>
      <c r="C100" s="7">
        <v>9.8371900000000009E-3</v>
      </c>
      <c r="D100" s="7">
        <v>0</v>
      </c>
    </row>
    <row r="101" spans="1:4" x14ac:dyDescent="0.25">
      <c r="A101" s="2">
        <v>98</v>
      </c>
      <c r="B101" s="7">
        <v>0</v>
      </c>
      <c r="C101" s="7">
        <v>9.4436999999999993E-3</v>
      </c>
      <c r="D101" s="7">
        <v>0</v>
      </c>
    </row>
    <row r="102" spans="1:4" x14ac:dyDescent="0.25">
      <c r="A102" s="2">
        <v>99</v>
      </c>
      <c r="B102" s="7">
        <v>0</v>
      </c>
      <c r="C102" s="7">
        <v>9.0659499999999997E-3</v>
      </c>
      <c r="D102" s="7">
        <v>0</v>
      </c>
    </row>
    <row r="103" spans="1:4" x14ac:dyDescent="0.25">
      <c r="A103" s="2">
        <v>100</v>
      </c>
      <c r="B103" s="7">
        <v>0</v>
      </c>
      <c r="C103" s="7">
        <v>8.7033100000000006E-3</v>
      </c>
      <c r="D103" s="7">
        <v>0</v>
      </c>
    </row>
    <row r="104" spans="1:4" x14ac:dyDescent="0.25">
      <c r="A104" s="2">
        <v>101</v>
      </c>
      <c r="B104" s="7">
        <v>0</v>
      </c>
      <c r="C104" s="7">
        <v>8.3551800000000002E-3</v>
      </c>
      <c r="D104" s="7">
        <v>0</v>
      </c>
    </row>
    <row r="105" spans="1:4" x14ac:dyDescent="0.25">
      <c r="A105" s="2">
        <v>102</v>
      </c>
      <c r="B105" s="7">
        <v>0</v>
      </c>
      <c r="C105" s="7">
        <v>8.0209700000000005E-3</v>
      </c>
      <c r="D105" s="7">
        <v>0</v>
      </c>
    </row>
    <row r="106" spans="1:4" x14ac:dyDescent="0.25">
      <c r="A106" s="2">
        <v>103</v>
      </c>
      <c r="B106" s="7">
        <v>0</v>
      </c>
      <c r="C106" s="7">
        <v>7.7001400000000003E-3</v>
      </c>
      <c r="D106" s="7">
        <v>0</v>
      </c>
    </row>
    <row r="107" spans="1:4" x14ac:dyDescent="0.25">
      <c r="A107" s="2">
        <v>104</v>
      </c>
      <c r="B107" s="7">
        <v>0</v>
      </c>
      <c r="C107" s="7">
        <v>7.3921300000000002E-3</v>
      </c>
      <c r="D107" s="7">
        <v>0</v>
      </c>
    </row>
    <row r="108" spans="1:4" x14ac:dyDescent="0.25">
      <c r="A108" s="2">
        <v>105</v>
      </c>
      <c r="B108" s="7">
        <v>0</v>
      </c>
      <c r="C108" s="7">
        <v>7.0964399999999999E-3</v>
      </c>
      <c r="D108" s="7">
        <v>0</v>
      </c>
    </row>
    <row r="109" spans="1:4" x14ac:dyDescent="0.25">
      <c r="A109" s="2">
        <v>106</v>
      </c>
      <c r="B109" s="7">
        <v>0</v>
      </c>
      <c r="C109" s="7">
        <v>6.8125900000000003E-3</v>
      </c>
      <c r="D109" s="7">
        <v>0</v>
      </c>
    </row>
    <row r="110" spans="1:4" x14ac:dyDescent="0.25">
      <c r="A110" s="2">
        <v>107</v>
      </c>
      <c r="B110" s="7">
        <v>0</v>
      </c>
      <c r="C110" s="7">
        <v>6.5400800000000002E-3</v>
      </c>
      <c r="D110" s="7">
        <v>0</v>
      </c>
    </row>
    <row r="111" spans="1:4" x14ac:dyDescent="0.25">
      <c r="A111" s="2">
        <v>108</v>
      </c>
      <c r="B111" s="7">
        <v>0</v>
      </c>
      <c r="C111" s="7">
        <v>6.2784800000000003E-3</v>
      </c>
      <c r="D111" s="7">
        <v>0</v>
      </c>
    </row>
    <row r="112" spans="1:4" x14ac:dyDescent="0.25">
      <c r="A112" s="2">
        <v>109</v>
      </c>
      <c r="B112" s="7">
        <v>0</v>
      </c>
      <c r="C112" s="7">
        <v>6.02734E-3</v>
      </c>
      <c r="D112" s="7">
        <v>0</v>
      </c>
    </row>
    <row r="113" spans="1:4" x14ac:dyDescent="0.25">
      <c r="A113" s="2">
        <v>110</v>
      </c>
      <c r="B113" s="7">
        <v>0</v>
      </c>
      <c r="C113" s="7">
        <v>5.7862499999999997E-3</v>
      </c>
      <c r="D113" s="7">
        <v>0</v>
      </c>
    </row>
    <row r="114" spans="1:4" x14ac:dyDescent="0.25">
      <c r="A114" s="2">
        <v>111</v>
      </c>
      <c r="B114" s="7">
        <v>0</v>
      </c>
      <c r="C114" s="7">
        <v>5.5548000000000004E-3</v>
      </c>
      <c r="D114" s="7">
        <v>0</v>
      </c>
    </row>
    <row r="115" spans="1:4" x14ac:dyDescent="0.25">
      <c r="A115" s="2">
        <v>112</v>
      </c>
      <c r="B115" s="7">
        <v>0</v>
      </c>
      <c r="C115" s="7">
        <v>5.3325999999999998E-3</v>
      </c>
      <c r="D115" s="7">
        <v>0</v>
      </c>
    </row>
    <row r="116" spans="1:4" x14ac:dyDescent="0.25">
      <c r="A116" s="2">
        <v>113</v>
      </c>
      <c r="B116" s="7">
        <v>0</v>
      </c>
      <c r="C116" s="7">
        <v>5.1193000000000002E-3</v>
      </c>
      <c r="D116" s="7">
        <v>0</v>
      </c>
    </row>
    <row r="117" spans="1:4" x14ac:dyDescent="0.25">
      <c r="A117" s="2">
        <v>114</v>
      </c>
      <c r="B117" s="7">
        <v>0</v>
      </c>
      <c r="C117" s="7">
        <v>4.9145300000000003E-3</v>
      </c>
      <c r="D117" s="7">
        <v>0</v>
      </c>
    </row>
    <row r="118" spans="1:4" x14ac:dyDescent="0.25">
      <c r="A118" s="2">
        <v>115</v>
      </c>
      <c r="B118" s="7">
        <v>0</v>
      </c>
      <c r="C118" s="7">
        <v>4.7179500000000003E-3</v>
      </c>
      <c r="D118" s="7">
        <v>0</v>
      </c>
    </row>
    <row r="119" spans="1:4" x14ac:dyDescent="0.25">
      <c r="A119" s="2">
        <v>116</v>
      </c>
      <c r="B119" s="7">
        <v>0</v>
      </c>
      <c r="C119" s="7">
        <v>4.5292300000000004E-3</v>
      </c>
      <c r="D119" s="7">
        <v>0</v>
      </c>
    </row>
    <row r="120" spans="1:4" x14ac:dyDescent="0.25">
      <c r="A120" s="2">
        <v>117</v>
      </c>
      <c r="B120" s="7">
        <v>0</v>
      </c>
      <c r="C120" s="7">
        <v>4.3480599999999999E-3</v>
      </c>
      <c r="D120" s="7">
        <v>0</v>
      </c>
    </row>
    <row r="121" spans="1:4" x14ac:dyDescent="0.25">
      <c r="A121" s="2">
        <v>118</v>
      </c>
      <c r="B121" s="7">
        <v>0</v>
      </c>
      <c r="C121" s="7">
        <v>4.1741399999999998E-3</v>
      </c>
      <c r="D121" s="7">
        <v>0</v>
      </c>
    </row>
    <row r="122" spans="1:4" x14ac:dyDescent="0.25">
      <c r="A122" s="2">
        <v>119</v>
      </c>
      <c r="B122" s="7">
        <v>0</v>
      </c>
      <c r="C122" s="7">
        <v>4.00717E-3</v>
      </c>
      <c r="D122" s="7">
        <v>0</v>
      </c>
    </row>
    <row r="123" spans="1:4" x14ac:dyDescent="0.25">
      <c r="A123" s="2">
        <v>120</v>
      </c>
      <c r="B123" s="7">
        <v>0</v>
      </c>
      <c r="C123" s="7">
        <v>3.8468899999999999E-3</v>
      </c>
      <c r="D123" s="7">
        <v>0</v>
      </c>
    </row>
    <row r="124" spans="1:4" x14ac:dyDescent="0.25">
      <c r="A124" s="2">
        <v>121</v>
      </c>
      <c r="B124" s="7">
        <v>0</v>
      </c>
      <c r="C124" s="7">
        <v>3.69301E-3</v>
      </c>
      <c r="D124" s="7">
        <v>0</v>
      </c>
    </row>
    <row r="125" spans="1:4" x14ac:dyDescent="0.25">
      <c r="A125" s="2">
        <v>122</v>
      </c>
      <c r="B125" s="7">
        <v>0</v>
      </c>
      <c r="C125" s="7">
        <v>3.54529E-3</v>
      </c>
      <c r="D125" s="7">
        <v>0</v>
      </c>
    </row>
    <row r="126" spans="1:4" x14ac:dyDescent="0.25">
      <c r="A126" s="2">
        <v>123</v>
      </c>
      <c r="B126" s="7">
        <v>0</v>
      </c>
      <c r="C126" s="7">
        <v>3.40348E-3</v>
      </c>
      <c r="D126" s="7">
        <v>0</v>
      </c>
    </row>
    <row r="127" spans="1:4" x14ac:dyDescent="0.25">
      <c r="A127" s="2">
        <v>124</v>
      </c>
      <c r="B127" s="7">
        <v>0</v>
      </c>
      <c r="C127" s="7">
        <v>3.2673400000000001E-3</v>
      </c>
      <c r="D127" s="7">
        <v>0</v>
      </c>
    </row>
    <row r="128" spans="1:4" x14ac:dyDescent="0.25">
      <c r="A128" s="2">
        <v>125</v>
      </c>
      <c r="B128" s="7">
        <v>0</v>
      </c>
      <c r="C128" s="7">
        <v>3.1366499999999999E-3</v>
      </c>
      <c r="D128" s="7">
        <v>0</v>
      </c>
    </row>
    <row r="129" spans="1:4" x14ac:dyDescent="0.25">
      <c r="A129" s="2">
        <v>126</v>
      </c>
      <c r="B129" s="7">
        <v>0</v>
      </c>
      <c r="C129" s="7">
        <v>3.01118E-3</v>
      </c>
      <c r="D129" s="7">
        <v>0</v>
      </c>
    </row>
    <row r="130" spans="1:4" x14ac:dyDescent="0.25">
      <c r="A130" s="2">
        <v>127</v>
      </c>
      <c r="B130" s="7">
        <v>0</v>
      </c>
      <c r="C130" s="7">
        <v>2.8907300000000002E-3</v>
      </c>
      <c r="D130" s="7">
        <v>0</v>
      </c>
    </row>
    <row r="131" spans="1:4" x14ac:dyDescent="0.25">
      <c r="A131" s="2">
        <v>128</v>
      </c>
      <c r="B131" s="7">
        <v>0</v>
      </c>
      <c r="C131" s="7">
        <v>2.7751E-3</v>
      </c>
      <c r="D131" s="7">
        <v>0</v>
      </c>
    </row>
    <row r="132" spans="1:4" x14ac:dyDescent="0.25">
      <c r="A132" s="2">
        <v>129</v>
      </c>
      <c r="B132" s="7">
        <v>0</v>
      </c>
      <c r="C132" s="7">
        <v>2.6641E-3</v>
      </c>
      <c r="D132" s="7">
        <v>0</v>
      </c>
    </row>
    <row r="133" spans="1:4" x14ac:dyDescent="0.25">
      <c r="A133" s="2">
        <v>130</v>
      </c>
      <c r="B133" s="7">
        <v>0</v>
      </c>
      <c r="C133" s="7">
        <v>2.5575400000000001E-3</v>
      </c>
      <c r="D133" s="7">
        <v>0</v>
      </c>
    </row>
    <row r="134" spans="1:4" x14ac:dyDescent="0.25">
      <c r="A134" s="2">
        <v>131</v>
      </c>
      <c r="B134" s="7">
        <v>0</v>
      </c>
      <c r="C134" s="7">
        <v>2.4552300000000001E-3</v>
      </c>
      <c r="D134" s="7">
        <v>0</v>
      </c>
    </row>
    <row r="135" spans="1:4" x14ac:dyDescent="0.25">
      <c r="A135" s="2">
        <v>132</v>
      </c>
      <c r="B135" s="7">
        <v>0</v>
      </c>
      <c r="C135" s="7">
        <v>2.35702E-3</v>
      </c>
      <c r="D135" s="7">
        <v>0</v>
      </c>
    </row>
    <row r="136" spans="1:4" x14ac:dyDescent="0.25">
      <c r="A136" s="2">
        <v>133</v>
      </c>
      <c r="B136" s="7">
        <v>0</v>
      </c>
      <c r="C136" s="7">
        <v>2.2627400000000001E-3</v>
      </c>
      <c r="D136" s="7">
        <v>0</v>
      </c>
    </row>
    <row r="137" spans="1:4" x14ac:dyDescent="0.25">
      <c r="A137" s="2">
        <v>134</v>
      </c>
      <c r="B137" s="7">
        <v>0</v>
      </c>
      <c r="C137" s="7">
        <v>2.1722299999999998E-3</v>
      </c>
      <c r="D137" s="7">
        <v>0</v>
      </c>
    </row>
    <row r="138" spans="1:4" x14ac:dyDescent="0.25">
      <c r="A138" s="2">
        <v>135</v>
      </c>
      <c r="B138" s="7">
        <v>0</v>
      </c>
      <c r="C138" s="7">
        <v>2.0853400000000002E-3</v>
      </c>
      <c r="D138" s="7">
        <v>0</v>
      </c>
    </row>
    <row r="139" spans="1:4" x14ac:dyDescent="0.25">
      <c r="A139" s="2">
        <v>136</v>
      </c>
      <c r="B139" s="7">
        <v>0</v>
      </c>
      <c r="C139" s="7">
        <v>2.0019299999999999E-3</v>
      </c>
      <c r="D139" s="7">
        <v>0</v>
      </c>
    </row>
    <row r="140" spans="1:4" x14ac:dyDescent="0.25">
      <c r="A140" s="2">
        <v>137</v>
      </c>
      <c r="B140" s="7">
        <v>0</v>
      </c>
      <c r="C140" s="7">
        <v>1.9218499999999999E-3</v>
      </c>
      <c r="D140" s="7">
        <v>0</v>
      </c>
    </row>
    <row r="141" spans="1:4" x14ac:dyDescent="0.25">
      <c r="A141" s="2">
        <v>138</v>
      </c>
      <c r="B141" s="7">
        <v>0</v>
      </c>
      <c r="C141" s="7">
        <v>1.84498E-3</v>
      </c>
      <c r="D141" s="7">
        <v>0</v>
      </c>
    </row>
    <row r="142" spans="1:4" x14ac:dyDescent="0.25">
      <c r="A142" s="2">
        <v>139</v>
      </c>
      <c r="B142" s="7">
        <v>0</v>
      </c>
      <c r="C142" s="7">
        <v>1.77118E-3</v>
      </c>
      <c r="D142" s="7">
        <v>0</v>
      </c>
    </row>
    <row r="143" spans="1:4" x14ac:dyDescent="0.25">
      <c r="A143" s="2">
        <v>140</v>
      </c>
      <c r="B143" s="7">
        <v>0</v>
      </c>
      <c r="C143" s="7">
        <v>1.7003299999999999E-3</v>
      </c>
      <c r="D143" s="7">
        <v>0</v>
      </c>
    </row>
    <row r="144" spans="1:4" x14ac:dyDescent="0.25">
      <c r="A144" s="2">
        <v>141</v>
      </c>
      <c r="B144" s="7">
        <v>0</v>
      </c>
      <c r="C144" s="7">
        <v>1.63232E-3</v>
      </c>
      <c r="D144" s="7">
        <v>0</v>
      </c>
    </row>
    <row r="145" spans="1:4" x14ac:dyDescent="0.25">
      <c r="A145" s="2">
        <v>142</v>
      </c>
      <c r="B145" s="7">
        <v>0</v>
      </c>
      <c r="C145" s="7">
        <v>1.5670300000000001E-3</v>
      </c>
      <c r="D145" s="7">
        <v>0</v>
      </c>
    </row>
    <row r="146" spans="1:4" x14ac:dyDescent="0.25">
      <c r="A146" s="2">
        <v>143</v>
      </c>
      <c r="B146" s="7">
        <v>0</v>
      </c>
      <c r="C146" s="7">
        <v>1.50435E-3</v>
      </c>
      <c r="D146" s="7">
        <v>0</v>
      </c>
    </row>
    <row r="147" spans="1:4" x14ac:dyDescent="0.25">
      <c r="A147" s="2">
        <v>144</v>
      </c>
      <c r="B147" s="7">
        <v>0</v>
      </c>
      <c r="C147" s="7">
        <v>1.44417E-3</v>
      </c>
      <c r="D147" s="7">
        <v>0</v>
      </c>
    </row>
    <row r="148" spans="1:4" x14ac:dyDescent="0.25">
      <c r="A148" s="2">
        <v>145</v>
      </c>
      <c r="B148" s="7">
        <v>0</v>
      </c>
      <c r="C148" s="7">
        <v>1.3864000000000001E-3</v>
      </c>
      <c r="D148" s="7">
        <v>0</v>
      </c>
    </row>
    <row r="149" spans="1:4" x14ac:dyDescent="0.25">
      <c r="A149" s="2">
        <v>146</v>
      </c>
      <c r="B149" s="7">
        <v>0</v>
      </c>
      <c r="C149" s="7">
        <v>1.33095E-3</v>
      </c>
      <c r="D149" s="7">
        <v>0</v>
      </c>
    </row>
    <row r="150" spans="1:4" x14ac:dyDescent="0.25">
      <c r="A150" s="2">
        <v>147</v>
      </c>
      <c r="B150" s="7">
        <v>0</v>
      </c>
      <c r="C150" s="7">
        <v>1.27771E-3</v>
      </c>
      <c r="D150" s="7">
        <v>0</v>
      </c>
    </row>
    <row r="151" spans="1:4" x14ac:dyDescent="0.25">
      <c r="A151" s="2">
        <v>148</v>
      </c>
      <c r="B151" s="7">
        <v>0</v>
      </c>
      <c r="C151" s="7">
        <v>1.2266E-3</v>
      </c>
      <c r="D151" s="7">
        <v>0</v>
      </c>
    </row>
    <row r="152" spans="1:4" x14ac:dyDescent="0.25">
      <c r="A152" s="2">
        <v>149</v>
      </c>
      <c r="B152" s="7">
        <v>0</v>
      </c>
      <c r="C152" s="7">
        <v>1.1775399999999999E-3</v>
      </c>
      <c r="D152" s="7">
        <v>0</v>
      </c>
    </row>
    <row r="153" spans="1:4" x14ac:dyDescent="0.25">
      <c r="A153" s="2">
        <v>150</v>
      </c>
      <c r="B153" s="7">
        <v>0</v>
      </c>
      <c r="C153" s="7">
        <v>1.1304399999999999E-3</v>
      </c>
      <c r="D153" s="7">
        <v>0</v>
      </c>
    </row>
    <row r="154" spans="1:4" x14ac:dyDescent="0.25">
      <c r="A154" s="2">
        <v>151</v>
      </c>
      <c r="B154" s="7">
        <v>0</v>
      </c>
      <c r="C154" s="7">
        <v>1.08522E-3</v>
      </c>
      <c r="D154" s="7">
        <v>0</v>
      </c>
    </row>
    <row r="155" spans="1:4" x14ac:dyDescent="0.25">
      <c r="A155" s="2">
        <v>152</v>
      </c>
      <c r="B155" s="7">
        <v>0</v>
      </c>
      <c r="C155" s="7">
        <v>1.04181E-3</v>
      </c>
      <c r="D155" s="7">
        <v>0</v>
      </c>
    </row>
    <row r="156" spans="1:4" x14ac:dyDescent="0.25">
      <c r="A156" s="2">
        <v>153</v>
      </c>
      <c r="B156" s="7">
        <v>0</v>
      </c>
      <c r="C156" s="7">
        <v>1.0001400000000001E-3</v>
      </c>
      <c r="D156" s="7">
        <v>0</v>
      </c>
    </row>
    <row r="157" spans="1:4" x14ac:dyDescent="0.25">
      <c r="A157" s="2">
        <v>154</v>
      </c>
      <c r="B157" s="7">
        <v>0</v>
      </c>
      <c r="C157" s="7">
        <v>9.6013299999999995E-4</v>
      </c>
      <c r="D157" s="7">
        <v>0</v>
      </c>
    </row>
    <row r="158" spans="1:4" x14ac:dyDescent="0.25">
      <c r="A158" s="2">
        <v>155</v>
      </c>
      <c r="B158" s="7">
        <v>0</v>
      </c>
      <c r="C158" s="7">
        <v>9.2172700000000001E-4</v>
      </c>
      <c r="D158" s="7">
        <v>0</v>
      </c>
    </row>
    <row r="159" spans="1:4" x14ac:dyDescent="0.25">
      <c r="A159" s="2">
        <v>156</v>
      </c>
      <c r="B159" s="7">
        <v>0</v>
      </c>
      <c r="C159" s="7">
        <v>8.8485799999999998E-4</v>
      </c>
      <c r="D159" s="7">
        <v>0</v>
      </c>
    </row>
    <row r="160" spans="1:4" x14ac:dyDescent="0.25">
      <c r="A160" s="2">
        <v>157</v>
      </c>
      <c r="B160" s="7">
        <v>0</v>
      </c>
      <c r="C160" s="7">
        <v>8.4946399999999997E-4</v>
      </c>
      <c r="D160" s="7">
        <v>0</v>
      </c>
    </row>
    <row r="161" spans="1:4" x14ac:dyDescent="0.25">
      <c r="A161" s="2">
        <v>158</v>
      </c>
      <c r="B161" s="7">
        <v>0</v>
      </c>
      <c r="C161" s="7">
        <v>8.1548500000000002E-4</v>
      </c>
      <c r="D161" s="7">
        <v>0</v>
      </c>
    </row>
    <row r="162" spans="1:4" x14ac:dyDescent="0.25">
      <c r="A162" s="2">
        <v>159</v>
      </c>
      <c r="B162" s="7">
        <v>0</v>
      </c>
      <c r="C162" s="7">
        <v>7.8286600000000001E-4</v>
      </c>
      <c r="D162" s="7">
        <v>0</v>
      </c>
    </row>
    <row r="163" spans="1:4" x14ac:dyDescent="0.25">
      <c r="A163" s="2">
        <v>160</v>
      </c>
      <c r="B163" s="7">
        <v>0</v>
      </c>
      <c r="C163" s="7">
        <v>7.5155100000000004E-4</v>
      </c>
      <c r="D163" s="7">
        <v>0</v>
      </c>
    </row>
    <row r="164" spans="1:4" x14ac:dyDescent="0.25">
      <c r="A164" s="2">
        <v>161</v>
      </c>
      <c r="B164" s="7">
        <v>0</v>
      </c>
      <c r="C164" s="7">
        <v>7.2148899999999996E-4</v>
      </c>
      <c r="D164" s="7">
        <v>0</v>
      </c>
    </row>
    <row r="165" spans="1:4" x14ac:dyDescent="0.25">
      <c r="A165" s="2">
        <v>162</v>
      </c>
      <c r="B165" s="7">
        <v>0</v>
      </c>
      <c r="C165" s="7">
        <v>6.9262999999999996E-4</v>
      </c>
      <c r="D165" s="7">
        <v>0</v>
      </c>
    </row>
    <row r="166" spans="1:4" x14ac:dyDescent="0.25">
      <c r="A166" s="2">
        <v>163</v>
      </c>
      <c r="B166" s="7">
        <v>0</v>
      </c>
      <c r="C166" s="7">
        <v>6.6492400000000001E-4</v>
      </c>
      <c r="D166" s="7">
        <v>0</v>
      </c>
    </row>
    <row r="167" spans="1:4" x14ac:dyDescent="0.25">
      <c r="A167" s="2">
        <v>164</v>
      </c>
      <c r="B167" s="7">
        <v>0</v>
      </c>
      <c r="C167" s="7">
        <v>6.3832799999999996E-4</v>
      </c>
      <c r="D167" s="7">
        <v>0</v>
      </c>
    </row>
    <row r="168" spans="1:4" x14ac:dyDescent="0.25">
      <c r="A168" s="2">
        <v>165</v>
      </c>
      <c r="B168" s="7">
        <v>0</v>
      </c>
      <c r="C168" s="7">
        <v>6.1279399999999995E-4</v>
      </c>
      <c r="D168" s="7">
        <v>0</v>
      </c>
    </row>
    <row r="169" spans="1:4" x14ac:dyDescent="0.25">
      <c r="A169" s="2">
        <v>166</v>
      </c>
      <c r="B169" s="7">
        <v>0</v>
      </c>
      <c r="C169" s="7">
        <v>5.8828299999999999E-4</v>
      </c>
      <c r="D169" s="7">
        <v>0</v>
      </c>
    </row>
    <row r="170" spans="1:4" x14ac:dyDescent="0.25">
      <c r="A170" s="2">
        <v>167</v>
      </c>
      <c r="B170" s="7">
        <v>0</v>
      </c>
      <c r="C170" s="7">
        <v>5.6475099999999995E-4</v>
      </c>
      <c r="D170" s="7">
        <v>0</v>
      </c>
    </row>
    <row r="171" spans="1:4" x14ac:dyDescent="0.25">
      <c r="A171" s="2">
        <v>168</v>
      </c>
      <c r="B171" s="7">
        <v>0</v>
      </c>
      <c r="C171" s="7">
        <v>5.4216099999999999E-4</v>
      </c>
      <c r="D171" s="7">
        <v>0</v>
      </c>
    </row>
    <row r="172" spans="1:4" x14ac:dyDescent="0.25">
      <c r="A172" s="2">
        <v>169</v>
      </c>
      <c r="B172" s="7">
        <v>0</v>
      </c>
      <c r="C172" s="7">
        <v>5.2047499999999995E-4</v>
      </c>
      <c r="D172" s="7">
        <v>0</v>
      </c>
    </row>
    <row r="173" spans="1:4" x14ac:dyDescent="0.25">
      <c r="A173" s="2">
        <v>170</v>
      </c>
      <c r="B173" s="7">
        <v>0</v>
      </c>
      <c r="C173" s="7">
        <v>4.9965600000000002E-4</v>
      </c>
      <c r="D173" s="7">
        <v>0</v>
      </c>
    </row>
    <row r="174" spans="1:4" x14ac:dyDescent="0.25">
      <c r="A174" s="2">
        <v>171</v>
      </c>
      <c r="B174" s="7">
        <v>0</v>
      </c>
      <c r="C174" s="7">
        <v>4.7967000000000002E-4</v>
      </c>
      <c r="D174" s="7">
        <v>0</v>
      </c>
    </row>
    <row r="175" spans="1:4" x14ac:dyDescent="0.25">
      <c r="A175" s="2">
        <v>172</v>
      </c>
      <c r="B175" s="7">
        <v>0</v>
      </c>
      <c r="C175" s="7">
        <v>4.6048299999999998E-4</v>
      </c>
      <c r="D175" s="7">
        <v>0</v>
      </c>
    </row>
    <row r="176" spans="1:4" x14ac:dyDescent="0.25">
      <c r="A176" s="2">
        <v>173</v>
      </c>
      <c r="B176" s="7">
        <v>0</v>
      </c>
      <c r="C176" s="7">
        <v>4.4206300000000003E-4</v>
      </c>
      <c r="D176" s="7">
        <v>0</v>
      </c>
    </row>
    <row r="177" spans="1:4" x14ac:dyDescent="0.25">
      <c r="A177" s="2">
        <v>174</v>
      </c>
      <c r="B177" s="7">
        <v>0</v>
      </c>
      <c r="C177" s="7">
        <v>4.2438099999999999E-4</v>
      </c>
      <c r="D177" s="7">
        <v>0</v>
      </c>
    </row>
    <row r="178" spans="1:4" x14ac:dyDescent="0.25">
      <c r="A178" s="2">
        <v>175</v>
      </c>
      <c r="B178" s="7">
        <v>0</v>
      </c>
      <c r="C178" s="7">
        <v>4.0740600000000002E-4</v>
      </c>
      <c r="D178" s="7">
        <v>0</v>
      </c>
    </row>
    <row r="179" spans="1:4" x14ac:dyDescent="0.25">
      <c r="A179" s="2">
        <v>176</v>
      </c>
      <c r="B179" s="7">
        <v>0</v>
      </c>
      <c r="C179" s="7">
        <v>3.91109E-4</v>
      </c>
      <c r="D179" s="7">
        <v>0</v>
      </c>
    </row>
    <row r="180" spans="1:4" x14ac:dyDescent="0.25">
      <c r="A180" s="2">
        <v>177</v>
      </c>
      <c r="B180" s="7">
        <v>0</v>
      </c>
      <c r="C180" s="7">
        <v>3.7546500000000001E-4</v>
      </c>
      <c r="D180" s="7">
        <v>0</v>
      </c>
    </row>
    <row r="181" spans="1:4" x14ac:dyDescent="0.25">
      <c r="A181" s="2">
        <v>178</v>
      </c>
      <c r="B181" s="7">
        <v>0</v>
      </c>
      <c r="C181" s="7">
        <v>3.60446E-4</v>
      </c>
      <c r="D181" s="7">
        <v>0</v>
      </c>
    </row>
    <row r="182" spans="1:4" x14ac:dyDescent="0.25">
      <c r="A182" s="2">
        <v>179</v>
      </c>
      <c r="B182" s="7">
        <v>0</v>
      </c>
      <c r="C182" s="7">
        <v>3.4602899999999998E-4</v>
      </c>
      <c r="D182" s="7">
        <v>0</v>
      </c>
    </row>
    <row r="183" spans="1:4" x14ac:dyDescent="0.25">
      <c r="A183" s="2">
        <v>180</v>
      </c>
      <c r="B183" s="7">
        <v>0</v>
      </c>
      <c r="C183" s="7">
        <v>3.3218700000000001E-4</v>
      </c>
      <c r="D183" s="7">
        <v>0</v>
      </c>
    </row>
    <row r="184" spans="1:4" x14ac:dyDescent="0.25">
      <c r="A184" s="2">
        <v>181</v>
      </c>
      <c r="B184" s="7">
        <v>0</v>
      </c>
      <c r="C184" s="7">
        <v>3.189E-4</v>
      </c>
      <c r="D184" s="7">
        <v>0</v>
      </c>
    </row>
    <row r="185" spans="1:4" x14ac:dyDescent="0.25">
      <c r="A185" s="2">
        <v>182</v>
      </c>
      <c r="B185" s="7">
        <v>0</v>
      </c>
      <c r="C185" s="7">
        <v>3.06144E-4</v>
      </c>
      <c r="D185" s="7">
        <v>0</v>
      </c>
    </row>
    <row r="186" spans="1:4" x14ac:dyDescent="0.25">
      <c r="A186" s="2">
        <v>183</v>
      </c>
      <c r="B186" s="7">
        <v>0</v>
      </c>
      <c r="C186" s="7">
        <v>2.9389800000000001E-4</v>
      </c>
      <c r="D186" s="7">
        <v>0</v>
      </c>
    </row>
    <row r="187" spans="1:4" x14ac:dyDescent="0.25">
      <c r="A187" s="2">
        <v>184</v>
      </c>
      <c r="B187" s="7">
        <v>0</v>
      </c>
      <c r="C187" s="7">
        <v>2.8214199999999998E-4</v>
      </c>
      <c r="D187" s="7">
        <v>0</v>
      </c>
    </row>
    <row r="188" spans="1:4" x14ac:dyDescent="0.25">
      <c r="A188" s="2">
        <v>185</v>
      </c>
      <c r="B188" s="7">
        <v>0</v>
      </c>
      <c r="C188" s="7">
        <v>2.70857E-4</v>
      </c>
      <c r="D188" s="7">
        <v>0</v>
      </c>
    </row>
    <row r="189" spans="1:4" x14ac:dyDescent="0.25">
      <c r="A189" s="2">
        <v>186</v>
      </c>
      <c r="B189" s="7">
        <v>0</v>
      </c>
      <c r="C189" s="7">
        <v>2.60022E-4</v>
      </c>
      <c r="D189" s="7">
        <v>0</v>
      </c>
    </row>
    <row r="190" spans="1:4" x14ac:dyDescent="0.25">
      <c r="A190" s="2">
        <v>187</v>
      </c>
      <c r="B190" s="7">
        <v>0</v>
      </c>
      <c r="C190" s="7">
        <v>2.49621E-4</v>
      </c>
      <c r="D190" s="7">
        <v>0</v>
      </c>
    </row>
    <row r="191" spans="1:4" x14ac:dyDescent="0.25">
      <c r="A191" s="2">
        <v>188</v>
      </c>
      <c r="B191" s="7">
        <v>0</v>
      </c>
      <c r="C191" s="7">
        <v>2.3963700000000001E-4</v>
      </c>
      <c r="D191" s="7">
        <v>0</v>
      </c>
    </row>
    <row r="192" spans="1:4" x14ac:dyDescent="0.25">
      <c r="A192" s="2">
        <v>189</v>
      </c>
      <c r="B192" s="7">
        <v>0</v>
      </c>
      <c r="C192" s="7">
        <v>2.30051E-4</v>
      </c>
      <c r="D192" s="7">
        <v>0</v>
      </c>
    </row>
    <row r="193" spans="1:4" x14ac:dyDescent="0.25">
      <c r="A193" s="2">
        <v>190</v>
      </c>
      <c r="B193" s="7">
        <v>0</v>
      </c>
      <c r="C193" s="7">
        <v>2.2084900000000001E-4</v>
      </c>
      <c r="D193" s="7">
        <v>0</v>
      </c>
    </row>
    <row r="194" spans="1:4" x14ac:dyDescent="0.25">
      <c r="A194" s="2">
        <v>191</v>
      </c>
      <c r="B194" s="7">
        <v>0</v>
      </c>
      <c r="C194" s="7">
        <v>2.12015E-4</v>
      </c>
      <c r="D194" s="7">
        <v>0</v>
      </c>
    </row>
    <row r="195" spans="1:4" x14ac:dyDescent="0.25">
      <c r="A195" s="2">
        <v>192</v>
      </c>
      <c r="B195" s="7">
        <v>0</v>
      </c>
      <c r="C195" s="7">
        <v>2.03535E-4</v>
      </c>
      <c r="D195" s="7">
        <v>0</v>
      </c>
    </row>
    <row r="196" spans="1:4" x14ac:dyDescent="0.25">
      <c r="A196" s="2">
        <v>193</v>
      </c>
      <c r="B196" s="7">
        <v>0</v>
      </c>
      <c r="C196" s="7">
        <v>1.95393E-4</v>
      </c>
      <c r="D196" s="7">
        <v>0</v>
      </c>
    </row>
    <row r="197" spans="1:4" x14ac:dyDescent="0.25">
      <c r="A197" s="2">
        <v>194</v>
      </c>
      <c r="B197" s="7">
        <v>0</v>
      </c>
      <c r="C197" s="7">
        <v>1.87577E-4</v>
      </c>
      <c r="D197" s="7">
        <v>0</v>
      </c>
    </row>
    <row r="198" spans="1:4" x14ac:dyDescent="0.25">
      <c r="A198" s="2">
        <v>195</v>
      </c>
      <c r="B198" s="7">
        <v>0</v>
      </c>
      <c r="C198" s="7">
        <v>1.8007400000000001E-4</v>
      </c>
      <c r="D198" s="7">
        <v>0</v>
      </c>
    </row>
    <row r="199" spans="1:4" x14ac:dyDescent="0.25">
      <c r="A199" s="2">
        <v>196</v>
      </c>
      <c r="B199" s="7">
        <v>0</v>
      </c>
      <c r="C199" s="7">
        <v>1.7287100000000001E-4</v>
      </c>
      <c r="D199" s="7">
        <v>0</v>
      </c>
    </row>
    <row r="200" spans="1:4" x14ac:dyDescent="0.25">
      <c r="A200" s="2">
        <v>197</v>
      </c>
      <c r="B200" s="7">
        <v>0</v>
      </c>
      <c r="C200" s="7">
        <v>1.6595600000000001E-4</v>
      </c>
      <c r="D200" s="7">
        <v>0</v>
      </c>
    </row>
    <row r="201" spans="1:4" x14ac:dyDescent="0.25">
      <c r="A201" s="2">
        <v>198</v>
      </c>
      <c r="B201" s="7">
        <v>0</v>
      </c>
      <c r="C201" s="7">
        <v>1.5931800000000001E-4</v>
      </c>
      <c r="D201" s="7">
        <v>0</v>
      </c>
    </row>
    <row r="202" spans="1:4" x14ac:dyDescent="0.25">
      <c r="A202" s="2">
        <v>199</v>
      </c>
      <c r="B202" s="7">
        <v>0</v>
      </c>
      <c r="C202" s="7">
        <v>1.52946E-4</v>
      </c>
      <c r="D202" s="7">
        <v>0</v>
      </c>
    </row>
    <row r="203" spans="1:4" x14ac:dyDescent="0.25">
      <c r="A203" s="2">
        <v>200</v>
      </c>
      <c r="B203" s="7">
        <v>0</v>
      </c>
      <c r="C203" s="7">
        <v>1.46828E-4</v>
      </c>
      <c r="D203" s="7">
        <v>0</v>
      </c>
    </row>
    <row r="204" spans="1:4" x14ac:dyDescent="0.25">
      <c r="A204" s="2">
        <v>201</v>
      </c>
      <c r="B204" s="7">
        <v>0</v>
      </c>
      <c r="C204" s="7">
        <v>1.4095500000000001E-4</v>
      </c>
      <c r="D204" s="7">
        <v>0</v>
      </c>
    </row>
    <row r="205" spans="1:4" x14ac:dyDescent="0.25">
      <c r="A205" s="2">
        <v>202</v>
      </c>
      <c r="B205" s="7">
        <v>0</v>
      </c>
      <c r="C205" s="7">
        <v>1.3531599999999999E-4</v>
      </c>
      <c r="D205" s="7">
        <v>0</v>
      </c>
    </row>
    <row r="206" spans="1:4" x14ac:dyDescent="0.25">
      <c r="A206" s="2">
        <v>203</v>
      </c>
      <c r="B206" s="7">
        <v>0</v>
      </c>
      <c r="C206" s="7">
        <v>1.2990399999999999E-4</v>
      </c>
      <c r="D206" s="7">
        <v>0</v>
      </c>
    </row>
    <row r="207" spans="1:4" x14ac:dyDescent="0.25">
      <c r="A207" s="2">
        <v>204</v>
      </c>
      <c r="B207" s="7">
        <v>0</v>
      </c>
      <c r="C207" s="7">
        <v>1.2470800000000001E-4</v>
      </c>
      <c r="D207" s="7">
        <v>0</v>
      </c>
    </row>
    <row r="208" spans="1:4" x14ac:dyDescent="0.25">
      <c r="A208" s="2">
        <v>205</v>
      </c>
      <c r="B208" s="7">
        <v>0</v>
      </c>
      <c r="C208" s="7">
        <v>1.19719E-4</v>
      </c>
      <c r="D208" s="7">
        <v>0</v>
      </c>
    </row>
    <row r="209" spans="1:4" x14ac:dyDescent="0.25">
      <c r="A209" s="2">
        <v>206</v>
      </c>
      <c r="B209" s="7">
        <v>0</v>
      </c>
      <c r="C209" s="7">
        <v>1.14931E-4</v>
      </c>
      <c r="D209" s="7">
        <v>0</v>
      </c>
    </row>
    <row r="210" spans="1:4" x14ac:dyDescent="0.25">
      <c r="A210" s="2">
        <v>207</v>
      </c>
      <c r="B210" s="7">
        <v>0</v>
      </c>
      <c r="C210" s="7">
        <v>1.10333E-4</v>
      </c>
      <c r="D210" s="7">
        <v>0</v>
      </c>
    </row>
    <row r="211" spans="1:4" x14ac:dyDescent="0.25">
      <c r="A211" s="2">
        <v>208</v>
      </c>
      <c r="B211" s="7">
        <v>0</v>
      </c>
      <c r="C211" s="7">
        <v>1.0592E-4</v>
      </c>
      <c r="D211" s="7">
        <v>0</v>
      </c>
    </row>
    <row r="212" spans="1:4" x14ac:dyDescent="0.25">
      <c r="A212" s="2">
        <v>209</v>
      </c>
      <c r="B212" s="7">
        <v>0</v>
      </c>
      <c r="C212" s="7">
        <v>1.01683E-4</v>
      </c>
      <c r="D212" s="7">
        <v>0</v>
      </c>
    </row>
    <row r="213" spans="1:4" x14ac:dyDescent="0.25">
      <c r="A213" s="2">
        <v>210</v>
      </c>
      <c r="B213" s="7">
        <v>0</v>
      </c>
      <c r="C213" s="7">
        <v>9.7615799999999995E-5</v>
      </c>
      <c r="D213" s="7">
        <v>0</v>
      </c>
    </row>
    <row r="214" spans="1:4" x14ac:dyDescent="0.25">
      <c r="A214" s="2">
        <v>211</v>
      </c>
      <c r="B214" s="7">
        <v>0</v>
      </c>
      <c r="C214" s="7">
        <v>9.3711199999999998E-5</v>
      </c>
      <c r="D214" s="7">
        <v>0</v>
      </c>
    </row>
    <row r="215" spans="1:4" x14ac:dyDescent="0.25">
      <c r="A215" s="2">
        <v>212</v>
      </c>
      <c r="B215" s="7">
        <v>0</v>
      </c>
      <c r="C215" s="7">
        <v>8.9962800000000005E-5</v>
      </c>
      <c r="D215" s="7">
        <v>0</v>
      </c>
    </row>
    <row r="216" spans="1:4" x14ac:dyDescent="0.25">
      <c r="A216" s="2">
        <v>213</v>
      </c>
      <c r="B216" s="7">
        <v>0</v>
      </c>
      <c r="C216" s="7">
        <v>8.6364200000000002E-5</v>
      </c>
      <c r="D216" s="7">
        <v>0</v>
      </c>
    </row>
    <row r="217" spans="1:4" x14ac:dyDescent="0.25">
      <c r="A217" s="2">
        <v>214</v>
      </c>
      <c r="B217" s="7">
        <v>0</v>
      </c>
      <c r="C217" s="7">
        <v>8.2909699999999997E-5</v>
      </c>
      <c r="D217" s="7">
        <v>0</v>
      </c>
    </row>
    <row r="218" spans="1:4" x14ac:dyDescent="0.25">
      <c r="A218" s="2">
        <v>215</v>
      </c>
      <c r="B218" s="7">
        <v>0</v>
      </c>
      <c r="C218" s="7">
        <v>7.9593300000000002E-5</v>
      </c>
      <c r="D218" s="7">
        <v>0</v>
      </c>
    </row>
    <row r="219" spans="1:4" x14ac:dyDescent="0.25">
      <c r="A219" s="2">
        <v>216</v>
      </c>
      <c r="B219" s="7">
        <v>0</v>
      </c>
      <c r="C219" s="7">
        <v>7.6409599999999994E-5</v>
      </c>
      <c r="D219" s="7">
        <v>0</v>
      </c>
    </row>
    <row r="220" spans="1:4" x14ac:dyDescent="0.25">
      <c r="A220" s="2">
        <v>217</v>
      </c>
      <c r="B220" s="7">
        <v>0</v>
      </c>
      <c r="C220" s="7">
        <v>7.3353200000000001E-5</v>
      </c>
      <c r="D220" s="7">
        <v>0</v>
      </c>
    </row>
    <row r="221" spans="1:4" x14ac:dyDescent="0.25">
      <c r="A221" s="2">
        <v>218</v>
      </c>
      <c r="B221" s="7">
        <v>0</v>
      </c>
      <c r="C221" s="7">
        <v>7.0419000000000005E-5</v>
      </c>
      <c r="D221" s="7">
        <v>0</v>
      </c>
    </row>
    <row r="222" spans="1:4" x14ac:dyDescent="0.25">
      <c r="A222" s="2">
        <v>219</v>
      </c>
      <c r="B222" s="7">
        <v>0</v>
      </c>
      <c r="C222" s="7">
        <v>6.7602300000000002E-5</v>
      </c>
      <c r="D222" s="7">
        <v>0</v>
      </c>
    </row>
    <row r="223" spans="1:4" x14ac:dyDescent="0.25">
      <c r="A223" s="2">
        <v>220</v>
      </c>
      <c r="B223" s="7">
        <v>0</v>
      </c>
      <c r="C223" s="7">
        <v>6.4898200000000001E-5</v>
      </c>
      <c r="D223" s="7">
        <v>0</v>
      </c>
    </row>
    <row r="224" spans="1:4" x14ac:dyDescent="0.25">
      <c r="A224" s="2">
        <v>221</v>
      </c>
      <c r="B224" s="7">
        <v>0</v>
      </c>
      <c r="C224" s="7">
        <v>6.2302299999999995E-5</v>
      </c>
      <c r="D224" s="7">
        <v>0</v>
      </c>
    </row>
    <row r="225" spans="1:4" x14ac:dyDescent="0.25">
      <c r="A225" s="2">
        <v>222</v>
      </c>
      <c r="B225" s="7">
        <v>0</v>
      </c>
      <c r="C225" s="7">
        <v>5.9810199999999999E-5</v>
      </c>
      <c r="D225" s="7">
        <v>0</v>
      </c>
    </row>
    <row r="226" spans="1:4" x14ac:dyDescent="0.25">
      <c r="A226" s="2">
        <v>223</v>
      </c>
      <c r="B226" s="7">
        <v>0</v>
      </c>
      <c r="C226" s="7">
        <v>5.7417799999999998E-5</v>
      </c>
      <c r="D226" s="7">
        <v>0</v>
      </c>
    </row>
    <row r="227" spans="1:4" x14ac:dyDescent="0.25">
      <c r="A227" s="2">
        <v>224</v>
      </c>
      <c r="B227" s="7">
        <v>0</v>
      </c>
      <c r="C227" s="7">
        <v>5.5121100000000003E-5</v>
      </c>
      <c r="D227" s="7">
        <v>0</v>
      </c>
    </row>
    <row r="228" spans="1:4" x14ac:dyDescent="0.25">
      <c r="A228" s="2">
        <v>225</v>
      </c>
      <c r="B228" s="7">
        <v>0</v>
      </c>
      <c r="C228" s="7">
        <v>5.29162E-5</v>
      </c>
      <c r="D228" s="7">
        <v>0</v>
      </c>
    </row>
    <row r="229" spans="1:4" x14ac:dyDescent="0.25">
      <c r="A229" s="2">
        <v>226</v>
      </c>
      <c r="B229" s="7">
        <v>0</v>
      </c>
      <c r="C229" s="7">
        <v>5.0799600000000001E-5</v>
      </c>
      <c r="D229" s="7">
        <v>0</v>
      </c>
    </row>
    <row r="230" spans="1:4" x14ac:dyDescent="0.25">
      <c r="A230" s="2">
        <v>227</v>
      </c>
      <c r="B230" s="7">
        <v>0</v>
      </c>
      <c r="C230" s="7">
        <v>4.8767599999999997E-5</v>
      </c>
      <c r="D230" s="7">
        <v>0</v>
      </c>
    </row>
    <row r="231" spans="1:4" x14ac:dyDescent="0.25">
      <c r="A231" s="2">
        <v>228</v>
      </c>
      <c r="B231" s="7">
        <v>0</v>
      </c>
      <c r="C231" s="7">
        <v>4.6816900000000002E-5</v>
      </c>
      <c r="D231" s="7">
        <v>0</v>
      </c>
    </row>
    <row r="232" spans="1:4" x14ac:dyDescent="0.25">
      <c r="A232" s="2">
        <v>229</v>
      </c>
      <c r="B232" s="7">
        <v>0</v>
      </c>
      <c r="C232" s="7">
        <v>4.4944200000000002E-5</v>
      </c>
      <c r="D232" s="7">
        <v>0</v>
      </c>
    </row>
    <row r="233" spans="1:4" x14ac:dyDescent="0.25">
      <c r="A233" s="2">
        <v>230</v>
      </c>
      <c r="B233" s="7">
        <v>0</v>
      </c>
      <c r="C233" s="7">
        <v>4.3146399999999997E-5</v>
      </c>
      <c r="D233" s="7">
        <v>0</v>
      </c>
    </row>
    <row r="234" spans="1:4" x14ac:dyDescent="0.25">
      <c r="A234" s="2">
        <v>231</v>
      </c>
      <c r="B234" s="7">
        <v>0</v>
      </c>
      <c r="C234" s="7">
        <v>4.1420600000000001E-5</v>
      </c>
      <c r="D234" s="7">
        <v>0</v>
      </c>
    </row>
    <row r="235" spans="1:4" x14ac:dyDescent="0.25">
      <c r="A235" s="2">
        <v>232</v>
      </c>
      <c r="B235" s="7">
        <v>0</v>
      </c>
      <c r="C235" s="7">
        <v>3.97638E-5</v>
      </c>
      <c r="D235" s="7">
        <v>0</v>
      </c>
    </row>
    <row r="236" spans="1:4" x14ac:dyDescent="0.25">
      <c r="A236" s="2">
        <v>233</v>
      </c>
      <c r="B236" s="7">
        <v>0</v>
      </c>
      <c r="C236" s="7">
        <v>3.8173200000000002E-5</v>
      </c>
      <c r="D236" s="7">
        <v>0</v>
      </c>
    </row>
    <row r="237" spans="1:4" x14ac:dyDescent="0.25">
      <c r="A237" s="2">
        <v>234</v>
      </c>
      <c r="B237" s="7">
        <v>0</v>
      </c>
      <c r="C237" s="7">
        <v>3.6646300000000002E-5</v>
      </c>
      <c r="D237" s="7">
        <v>0</v>
      </c>
    </row>
    <row r="238" spans="1:4" x14ac:dyDescent="0.25">
      <c r="A238" s="2">
        <v>235</v>
      </c>
      <c r="B238" s="7">
        <v>0</v>
      </c>
      <c r="C238" s="7">
        <v>3.5180399999999999E-5</v>
      </c>
      <c r="D238" s="7">
        <v>0</v>
      </c>
    </row>
    <row r="239" spans="1:4" x14ac:dyDescent="0.25">
      <c r="A239" s="2">
        <v>236</v>
      </c>
      <c r="B239" s="7">
        <v>0</v>
      </c>
      <c r="C239" s="7">
        <v>3.3773199999999997E-5</v>
      </c>
      <c r="D239" s="7">
        <v>0</v>
      </c>
    </row>
    <row r="240" spans="1:4" x14ac:dyDescent="0.25">
      <c r="A240" s="2">
        <v>237</v>
      </c>
      <c r="B240" s="7">
        <v>0</v>
      </c>
      <c r="C240" s="7">
        <v>3.2422300000000003E-5</v>
      </c>
      <c r="D240" s="7">
        <v>0</v>
      </c>
    </row>
    <row r="241" spans="1:4" x14ac:dyDescent="0.25">
      <c r="A241" s="2">
        <v>238</v>
      </c>
      <c r="B241" s="7">
        <v>0</v>
      </c>
      <c r="C241" s="7">
        <v>3.1125399999999998E-5</v>
      </c>
      <c r="D241" s="7">
        <v>0</v>
      </c>
    </row>
    <row r="242" spans="1:4" x14ac:dyDescent="0.25">
      <c r="A242" s="2">
        <v>239</v>
      </c>
      <c r="B242" s="7">
        <v>0</v>
      </c>
      <c r="C242" s="7">
        <v>2.9880399999999999E-5</v>
      </c>
      <c r="D242" s="7">
        <v>0</v>
      </c>
    </row>
    <row r="243" spans="1:4" x14ac:dyDescent="0.25">
      <c r="A243" s="2">
        <v>240</v>
      </c>
      <c r="B243" s="7">
        <v>0</v>
      </c>
      <c r="C243" s="7">
        <v>2.8685200000000001E-5</v>
      </c>
      <c r="D243" s="7">
        <v>0</v>
      </c>
    </row>
    <row r="244" spans="1:4" x14ac:dyDescent="0.25">
      <c r="A244" s="2">
        <v>241</v>
      </c>
      <c r="B244" s="7">
        <v>0</v>
      </c>
      <c r="C244" s="7">
        <v>2.7537799999999999E-5</v>
      </c>
      <c r="D244" s="7">
        <v>0</v>
      </c>
    </row>
    <row r="245" spans="1:4" x14ac:dyDescent="0.25">
      <c r="A245" s="2">
        <v>242</v>
      </c>
      <c r="B245" s="7">
        <v>0</v>
      </c>
      <c r="C245" s="7">
        <v>2.6436199999999999E-5</v>
      </c>
      <c r="D245" s="7">
        <v>0</v>
      </c>
    </row>
    <row r="246" spans="1:4" x14ac:dyDescent="0.25">
      <c r="A246" s="2">
        <v>243</v>
      </c>
      <c r="B246" s="7">
        <v>0</v>
      </c>
      <c r="C246" s="7">
        <v>2.5378799999999998E-5</v>
      </c>
      <c r="D246" s="7">
        <v>0</v>
      </c>
    </row>
    <row r="247" spans="1:4" x14ac:dyDescent="0.25">
      <c r="A247" s="2">
        <v>244</v>
      </c>
      <c r="B247" s="7">
        <v>0</v>
      </c>
      <c r="C247" s="7">
        <v>2.4363600000000002E-5</v>
      </c>
      <c r="D247" s="7">
        <v>0</v>
      </c>
    </row>
    <row r="248" spans="1:4" x14ac:dyDescent="0.25">
      <c r="A248" s="2">
        <v>245</v>
      </c>
      <c r="B248" s="7">
        <v>0</v>
      </c>
      <c r="C248" s="7">
        <v>2.3389099999999999E-5</v>
      </c>
      <c r="D248" s="7">
        <v>0</v>
      </c>
    </row>
    <row r="249" spans="1:4" x14ac:dyDescent="0.25">
      <c r="A249" s="2">
        <v>246</v>
      </c>
      <c r="B249" s="7">
        <v>0</v>
      </c>
      <c r="C249" s="7">
        <v>2.2453500000000001E-5</v>
      </c>
      <c r="D249" s="7">
        <v>0</v>
      </c>
    </row>
    <row r="250" spans="1:4" x14ac:dyDescent="0.25">
      <c r="A250" s="2">
        <v>247</v>
      </c>
      <c r="B250" s="7">
        <v>0</v>
      </c>
      <c r="C250" s="7">
        <v>2.15554E-5</v>
      </c>
      <c r="D250" s="7">
        <v>0</v>
      </c>
    </row>
    <row r="251" spans="1:4" x14ac:dyDescent="0.25">
      <c r="A251" s="2">
        <v>248</v>
      </c>
      <c r="B251" s="7">
        <v>0</v>
      </c>
      <c r="C251" s="7">
        <v>2.06932E-5</v>
      </c>
      <c r="D251" s="7">
        <v>0</v>
      </c>
    </row>
    <row r="252" spans="1:4" x14ac:dyDescent="0.25">
      <c r="A252" s="2">
        <v>249</v>
      </c>
      <c r="B252" s="7">
        <v>0</v>
      </c>
      <c r="C252" s="7">
        <v>1.9865400000000001E-5</v>
      </c>
      <c r="D252" s="7">
        <v>0</v>
      </c>
    </row>
    <row r="253" spans="1:4" x14ac:dyDescent="0.25">
      <c r="A253" s="2">
        <v>250</v>
      </c>
      <c r="B253" s="7">
        <v>0</v>
      </c>
      <c r="C253" s="7">
        <v>1.90708E-5</v>
      </c>
      <c r="D253" s="7">
        <v>0</v>
      </c>
    </row>
    <row r="254" spans="1:4" x14ac:dyDescent="0.25">
      <c r="A254" s="2">
        <v>251</v>
      </c>
      <c r="B254" s="7">
        <v>0</v>
      </c>
      <c r="C254" s="7">
        <v>1.8308000000000002E-5</v>
      </c>
      <c r="D254" s="7">
        <v>0</v>
      </c>
    </row>
    <row r="255" spans="1:4" x14ac:dyDescent="0.25">
      <c r="A255" s="2">
        <v>252</v>
      </c>
      <c r="B255" s="7">
        <v>0</v>
      </c>
      <c r="C255" s="7">
        <v>1.7575699999999998E-5</v>
      </c>
      <c r="D255" s="7">
        <v>0</v>
      </c>
    </row>
    <row r="256" spans="1:4" x14ac:dyDescent="0.25">
      <c r="A256" s="2">
        <v>253</v>
      </c>
      <c r="B256" s="7">
        <v>0</v>
      </c>
      <c r="C256" s="7">
        <v>1.6872599999999998E-5</v>
      </c>
      <c r="D256" s="7">
        <v>0</v>
      </c>
    </row>
    <row r="257" spans="1:4" x14ac:dyDescent="0.25">
      <c r="A257" s="2">
        <v>254</v>
      </c>
      <c r="B257" s="7">
        <v>0</v>
      </c>
      <c r="C257" s="7">
        <v>1.6197699999999999E-5</v>
      </c>
      <c r="D257" s="7">
        <v>0</v>
      </c>
    </row>
    <row r="258" spans="1:4" x14ac:dyDescent="0.25">
      <c r="A258" s="2">
        <v>255</v>
      </c>
      <c r="B258" s="7">
        <v>0</v>
      </c>
      <c r="C258" s="7">
        <v>1.5549800000000001E-5</v>
      </c>
      <c r="D258" s="7">
        <v>0</v>
      </c>
    </row>
    <row r="259" spans="1:4" x14ac:dyDescent="0.25">
      <c r="A259" s="2">
        <v>256</v>
      </c>
      <c r="B259" s="7">
        <v>0</v>
      </c>
      <c r="C259" s="7">
        <v>1.49278E-5</v>
      </c>
      <c r="D259" s="7">
        <v>0</v>
      </c>
    </row>
    <row r="260" spans="1:4" x14ac:dyDescent="0.25">
      <c r="A260" s="2">
        <v>257</v>
      </c>
      <c r="B260" s="7">
        <v>0</v>
      </c>
      <c r="C260" s="7">
        <v>1.43307E-5</v>
      </c>
      <c r="D260" s="7">
        <v>0</v>
      </c>
    </row>
    <row r="261" spans="1:4" x14ac:dyDescent="0.25">
      <c r="A261" s="2">
        <v>258</v>
      </c>
      <c r="B261" s="7">
        <v>0</v>
      </c>
      <c r="C261" s="7">
        <v>1.37575E-5</v>
      </c>
      <c r="D261" s="7">
        <v>0</v>
      </c>
    </row>
    <row r="262" spans="1:4" x14ac:dyDescent="0.25">
      <c r="A262" s="2">
        <v>259</v>
      </c>
      <c r="B262" s="7">
        <v>0</v>
      </c>
      <c r="C262" s="7">
        <v>1.32072E-5</v>
      </c>
      <c r="D262" s="7">
        <v>0</v>
      </c>
    </row>
    <row r="263" spans="1:4" x14ac:dyDescent="0.25">
      <c r="A263" s="2">
        <v>260</v>
      </c>
      <c r="B263" s="7">
        <v>0</v>
      </c>
      <c r="C263" s="7">
        <v>1.26789E-5</v>
      </c>
      <c r="D263" s="7">
        <v>0</v>
      </c>
    </row>
    <row r="264" spans="1:4" x14ac:dyDescent="0.25">
      <c r="A264" s="2">
        <v>261</v>
      </c>
      <c r="B264" s="7">
        <v>0</v>
      </c>
      <c r="C264" s="7">
        <v>1.2171799999999999E-5</v>
      </c>
      <c r="D264" s="7">
        <v>0</v>
      </c>
    </row>
    <row r="265" spans="1:4" x14ac:dyDescent="0.25">
      <c r="A265" s="2">
        <v>262</v>
      </c>
      <c r="B265" s="7">
        <v>0</v>
      </c>
      <c r="C265" s="7">
        <v>1.1684900000000001E-5</v>
      </c>
      <c r="D265" s="7">
        <v>0</v>
      </c>
    </row>
    <row r="266" spans="1:4" x14ac:dyDescent="0.25">
      <c r="A266" s="2">
        <v>263</v>
      </c>
      <c r="B266" s="7">
        <v>0</v>
      </c>
      <c r="C266" s="7">
        <v>1.1217500000000001E-5</v>
      </c>
      <c r="D266" s="7">
        <v>0</v>
      </c>
    </row>
    <row r="267" spans="1:4" x14ac:dyDescent="0.25">
      <c r="A267" s="2">
        <v>264</v>
      </c>
      <c r="B267" s="7">
        <v>0</v>
      </c>
      <c r="C267" s="7">
        <v>1.0768799999999999E-5</v>
      </c>
      <c r="D267" s="7">
        <v>0</v>
      </c>
    </row>
    <row r="268" spans="1:4" x14ac:dyDescent="0.25">
      <c r="A268" s="2">
        <v>265</v>
      </c>
      <c r="B268" s="7">
        <v>0</v>
      </c>
      <c r="C268" s="7">
        <v>1.0338E-5</v>
      </c>
      <c r="D268" s="7">
        <v>0</v>
      </c>
    </row>
    <row r="269" spans="1:4" x14ac:dyDescent="0.25">
      <c r="A269" s="2">
        <v>266</v>
      </c>
      <c r="B269" s="7">
        <v>0</v>
      </c>
      <c r="C269" s="7">
        <v>9.9245199999999993E-6</v>
      </c>
      <c r="D269" s="7">
        <v>0</v>
      </c>
    </row>
    <row r="270" spans="1:4" x14ac:dyDescent="0.25">
      <c r="A270" s="2">
        <v>267</v>
      </c>
      <c r="B270" s="7">
        <v>0</v>
      </c>
      <c r="C270" s="7">
        <v>9.5275399999999992E-6</v>
      </c>
      <c r="D270" s="7">
        <v>0</v>
      </c>
    </row>
    <row r="271" spans="1:4" x14ac:dyDescent="0.25">
      <c r="A271" s="2">
        <v>268</v>
      </c>
      <c r="B271" s="7">
        <v>0</v>
      </c>
      <c r="C271" s="7">
        <v>9.1464299999999998E-6</v>
      </c>
      <c r="D271" s="7">
        <v>0</v>
      </c>
    </row>
    <row r="272" spans="1:4" x14ac:dyDescent="0.25">
      <c r="A272" s="2">
        <v>269</v>
      </c>
      <c r="B272" s="7">
        <v>0</v>
      </c>
      <c r="C272" s="7">
        <v>8.7805800000000006E-6</v>
      </c>
      <c r="D272" s="7">
        <v>0</v>
      </c>
    </row>
    <row r="273" spans="1:4" x14ac:dyDescent="0.25">
      <c r="A273" s="2">
        <v>270</v>
      </c>
      <c r="B273" s="7">
        <v>0</v>
      </c>
      <c r="C273" s="7">
        <v>8.4293499999999992E-6</v>
      </c>
      <c r="D273" s="7">
        <v>0</v>
      </c>
    </row>
    <row r="274" spans="1:4" x14ac:dyDescent="0.25">
      <c r="A274" s="2">
        <v>271</v>
      </c>
      <c r="B274" s="7">
        <v>0</v>
      </c>
      <c r="C274" s="7">
        <v>8.0921800000000005E-6</v>
      </c>
      <c r="D274" s="7">
        <v>0</v>
      </c>
    </row>
    <row r="275" spans="1:4" x14ac:dyDescent="0.25">
      <c r="A275" s="2">
        <v>272</v>
      </c>
      <c r="B275" s="7">
        <v>0</v>
      </c>
      <c r="C275" s="7">
        <v>7.7684899999999995E-6</v>
      </c>
      <c r="D275" s="7">
        <v>0</v>
      </c>
    </row>
    <row r="276" spans="1:4" x14ac:dyDescent="0.25">
      <c r="A276" s="2">
        <v>273</v>
      </c>
      <c r="B276" s="7">
        <v>0</v>
      </c>
      <c r="C276" s="7">
        <v>7.4577499999999999E-6</v>
      </c>
      <c r="D276" s="7">
        <v>0</v>
      </c>
    </row>
    <row r="277" spans="1:4" x14ac:dyDescent="0.25">
      <c r="A277" s="2">
        <v>274</v>
      </c>
      <c r="B277" s="7">
        <v>0</v>
      </c>
      <c r="C277" s="7">
        <v>7.1594399999999998E-6</v>
      </c>
      <c r="D277" s="7">
        <v>0</v>
      </c>
    </row>
    <row r="278" spans="1:4" x14ac:dyDescent="0.25">
      <c r="A278" s="2">
        <v>275</v>
      </c>
      <c r="B278" s="7">
        <v>0</v>
      </c>
      <c r="C278" s="7">
        <v>6.8730600000000001E-6</v>
      </c>
      <c r="D278" s="7">
        <v>0</v>
      </c>
    </row>
    <row r="279" spans="1:4" x14ac:dyDescent="0.25">
      <c r="A279" s="2">
        <v>276</v>
      </c>
      <c r="B279" s="7">
        <v>0</v>
      </c>
      <c r="C279" s="7">
        <v>6.5981399999999998E-6</v>
      </c>
      <c r="D279" s="7">
        <v>0</v>
      </c>
    </row>
    <row r="280" spans="1:4" x14ac:dyDescent="0.25">
      <c r="A280" s="2">
        <v>277</v>
      </c>
      <c r="B280" s="7">
        <v>0</v>
      </c>
      <c r="C280" s="7">
        <v>6.33422E-6</v>
      </c>
      <c r="D280" s="7">
        <v>0</v>
      </c>
    </row>
    <row r="281" spans="1:4" x14ac:dyDescent="0.25">
      <c r="A281" s="2">
        <v>278</v>
      </c>
      <c r="B281" s="7">
        <v>0</v>
      </c>
      <c r="C281" s="7">
        <v>6.0808500000000004E-6</v>
      </c>
      <c r="D281" s="7">
        <v>0</v>
      </c>
    </row>
    <row r="282" spans="1:4" x14ac:dyDescent="0.25">
      <c r="A282" s="2">
        <v>279</v>
      </c>
      <c r="B282" s="7">
        <v>0</v>
      </c>
      <c r="C282" s="7">
        <v>5.8376099999999997E-6</v>
      </c>
      <c r="D282" s="7">
        <v>0</v>
      </c>
    </row>
    <row r="283" spans="1:4" x14ac:dyDescent="0.25">
      <c r="A283" s="2">
        <v>280</v>
      </c>
      <c r="B283" s="7">
        <v>0</v>
      </c>
      <c r="C283" s="7">
        <v>5.6041100000000001E-6</v>
      </c>
      <c r="D283" s="7">
        <v>0</v>
      </c>
    </row>
    <row r="284" spans="1:4" x14ac:dyDescent="0.25">
      <c r="A284" s="2">
        <v>281</v>
      </c>
      <c r="B284" s="7">
        <v>0</v>
      </c>
      <c r="C284" s="7">
        <v>5.3799400000000002E-6</v>
      </c>
      <c r="D284" s="7">
        <v>0</v>
      </c>
    </row>
    <row r="285" spans="1:4" x14ac:dyDescent="0.25">
      <c r="A285" s="2">
        <v>282</v>
      </c>
      <c r="B285" s="7">
        <v>0</v>
      </c>
      <c r="C285" s="7">
        <v>5.16475E-6</v>
      </c>
      <c r="D285" s="7">
        <v>0</v>
      </c>
    </row>
    <row r="286" spans="1:4" x14ac:dyDescent="0.25">
      <c r="A286" s="2">
        <v>283</v>
      </c>
      <c r="B286" s="7">
        <v>0</v>
      </c>
      <c r="C286" s="7">
        <v>4.95816E-6</v>
      </c>
      <c r="D286" s="7">
        <v>0</v>
      </c>
    </row>
    <row r="287" spans="1:4" x14ac:dyDescent="0.25">
      <c r="A287" s="2">
        <v>284</v>
      </c>
      <c r="B287" s="7">
        <v>0</v>
      </c>
      <c r="C287" s="7">
        <v>4.7598300000000001E-6</v>
      </c>
      <c r="D287" s="7">
        <v>0</v>
      </c>
    </row>
    <row r="288" spans="1:4" x14ac:dyDescent="0.25">
      <c r="A288" s="2">
        <v>285</v>
      </c>
      <c r="B288" s="7">
        <v>0</v>
      </c>
      <c r="C288" s="7">
        <v>4.5694400000000001E-6</v>
      </c>
      <c r="D288" s="7">
        <v>0</v>
      </c>
    </row>
    <row r="289" spans="1:4" x14ac:dyDescent="0.25">
      <c r="A289" s="2">
        <v>286</v>
      </c>
      <c r="B289" s="7">
        <v>0</v>
      </c>
      <c r="C289" s="7">
        <v>4.3866599999999996E-6</v>
      </c>
      <c r="D289" s="7">
        <v>0</v>
      </c>
    </row>
    <row r="290" spans="1:4" x14ac:dyDescent="0.25">
      <c r="A290" s="2">
        <v>287</v>
      </c>
      <c r="B290" s="7">
        <v>0</v>
      </c>
      <c r="C290" s="7">
        <v>4.2111899999999997E-6</v>
      </c>
      <c r="D290" s="7">
        <v>0</v>
      </c>
    </row>
    <row r="291" spans="1:4" x14ac:dyDescent="0.25">
      <c r="A291" s="2">
        <v>288</v>
      </c>
      <c r="B291" s="7">
        <v>0</v>
      </c>
      <c r="C291" s="7">
        <v>4.0427500000000004E-6</v>
      </c>
      <c r="D291" s="7">
        <v>0</v>
      </c>
    </row>
    <row r="292" spans="1:4" x14ac:dyDescent="0.25">
      <c r="A292" s="2">
        <v>289</v>
      </c>
      <c r="B292" s="7">
        <v>0</v>
      </c>
      <c r="C292" s="7">
        <v>3.88104E-6</v>
      </c>
      <c r="D292" s="7">
        <v>0</v>
      </c>
    </row>
    <row r="293" spans="1:4" x14ac:dyDescent="0.25">
      <c r="A293" s="2">
        <v>290</v>
      </c>
      <c r="B293" s="7">
        <v>0</v>
      </c>
      <c r="C293" s="7">
        <v>3.7257900000000001E-6</v>
      </c>
      <c r="D293" s="7">
        <v>0</v>
      </c>
    </row>
    <row r="294" spans="1:4" x14ac:dyDescent="0.25">
      <c r="A294" s="2">
        <v>291</v>
      </c>
      <c r="B294" s="7">
        <v>0</v>
      </c>
      <c r="C294" s="7">
        <v>3.57676E-6</v>
      </c>
      <c r="D294" s="7">
        <v>0</v>
      </c>
    </row>
    <row r="295" spans="1:4" x14ac:dyDescent="0.25">
      <c r="A295" s="2">
        <v>292</v>
      </c>
      <c r="B295" s="7">
        <v>0</v>
      </c>
      <c r="C295" s="7">
        <v>3.43369E-6</v>
      </c>
      <c r="D295" s="7">
        <v>0</v>
      </c>
    </row>
    <row r="296" spans="1:4" x14ac:dyDescent="0.25">
      <c r="A296" s="2">
        <v>293</v>
      </c>
      <c r="B296" s="7">
        <v>0</v>
      </c>
      <c r="C296" s="7">
        <v>3.2963399999999999E-6</v>
      </c>
      <c r="D296" s="7">
        <v>0</v>
      </c>
    </row>
    <row r="297" spans="1:4" x14ac:dyDescent="0.25">
      <c r="A297" s="2">
        <v>294</v>
      </c>
      <c r="B297" s="7">
        <v>0</v>
      </c>
      <c r="C297" s="7">
        <v>3.1644900000000001E-6</v>
      </c>
      <c r="D297" s="7">
        <v>0</v>
      </c>
    </row>
    <row r="298" spans="1:4" x14ac:dyDescent="0.25">
      <c r="A298" s="2">
        <v>295</v>
      </c>
      <c r="B298" s="7">
        <v>0</v>
      </c>
      <c r="C298" s="7">
        <v>3.03791E-6</v>
      </c>
      <c r="D298" s="7">
        <v>0</v>
      </c>
    </row>
    <row r="299" spans="1:4" x14ac:dyDescent="0.25">
      <c r="A299" s="2">
        <v>296</v>
      </c>
      <c r="B299" s="7">
        <v>0</v>
      </c>
      <c r="C299" s="7">
        <v>2.9163899999999999E-6</v>
      </c>
      <c r="D299" s="7">
        <v>0</v>
      </c>
    </row>
    <row r="300" spans="1:4" x14ac:dyDescent="0.25">
      <c r="A300" s="2">
        <v>297</v>
      </c>
      <c r="B300" s="7">
        <v>0</v>
      </c>
      <c r="C300" s="7">
        <v>2.7997399999999999E-6</v>
      </c>
      <c r="D300" s="7">
        <v>0</v>
      </c>
    </row>
    <row r="301" spans="1:4" x14ac:dyDescent="0.25">
      <c r="A301" s="2">
        <v>298</v>
      </c>
      <c r="B301" s="7">
        <v>0</v>
      </c>
      <c r="C301" s="7">
        <v>2.6877499999999998E-6</v>
      </c>
      <c r="D301" s="7">
        <v>0</v>
      </c>
    </row>
    <row r="302" spans="1:4" x14ac:dyDescent="0.25">
      <c r="A302" s="2">
        <v>299</v>
      </c>
      <c r="B302" s="7">
        <v>0</v>
      </c>
      <c r="C302" s="7">
        <v>2.5802400000000001E-6</v>
      </c>
      <c r="D302" s="7">
        <v>0</v>
      </c>
    </row>
    <row r="303" spans="1:4" x14ac:dyDescent="0.25">
      <c r="A303" s="2">
        <v>300</v>
      </c>
      <c r="B303" s="7">
        <v>0</v>
      </c>
      <c r="C303" s="7">
        <v>2.4770300000000002E-6</v>
      </c>
      <c r="D303" s="7">
        <v>0</v>
      </c>
    </row>
    <row r="304" spans="1:4" x14ac:dyDescent="0.25">
      <c r="A304" s="2">
        <v>301</v>
      </c>
      <c r="B304" s="7">
        <v>0</v>
      </c>
      <c r="C304" s="7">
        <v>2.3779499999999998E-6</v>
      </c>
      <c r="D304" s="7">
        <v>0</v>
      </c>
    </row>
    <row r="305" spans="1:4" x14ac:dyDescent="0.25">
      <c r="A305" s="2">
        <v>302</v>
      </c>
      <c r="B305" s="7">
        <v>0</v>
      </c>
      <c r="C305" s="7">
        <v>2.28283E-6</v>
      </c>
      <c r="D305" s="7">
        <v>0</v>
      </c>
    </row>
    <row r="306" spans="1:4" x14ac:dyDescent="0.25">
      <c r="A306" s="2">
        <v>303</v>
      </c>
      <c r="B306" s="7">
        <v>0</v>
      </c>
      <c r="C306" s="7">
        <v>2.1915199999999998E-6</v>
      </c>
      <c r="D306" s="7">
        <v>0</v>
      </c>
    </row>
    <row r="307" spans="1:4" x14ac:dyDescent="0.25">
      <c r="A307" s="2">
        <v>304</v>
      </c>
      <c r="B307" s="7">
        <v>0</v>
      </c>
      <c r="C307" s="7">
        <v>2.10386E-6</v>
      </c>
      <c r="D307" s="7">
        <v>0</v>
      </c>
    </row>
    <row r="308" spans="1:4" x14ac:dyDescent="0.25">
      <c r="A308" s="2">
        <v>305</v>
      </c>
      <c r="B308" s="7">
        <v>0</v>
      </c>
      <c r="C308" s="7">
        <v>2.0196999999999999E-6</v>
      </c>
      <c r="D308" s="7">
        <v>0</v>
      </c>
    </row>
    <row r="309" spans="1:4" x14ac:dyDescent="0.25">
      <c r="A309" s="2">
        <v>306</v>
      </c>
      <c r="B309" s="7">
        <v>0</v>
      </c>
      <c r="C309" s="7">
        <v>1.93891E-6</v>
      </c>
      <c r="D309" s="7">
        <v>0</v>
      </c>
    </row>
    <row r="310" spans="1:4" x14ac:dyDescent="0.25">
      <c r="A310" s="2">
        <v>307</v>
      </c>
      <c r="B310" s="7">
        <v>0</v>
      </c>
      <c r="C310" s="7">
        <v>1.86136E-6</v>
      </c>
      <c r="D310" s="7">
        <v>0</v>
      </c>
    </row>
    <row r="311" spans="1:4" x14ac:dyDescent="0.25">
      <c r="A311" s="2">
        <v>308</v>
      </c>
      <c r="B311" s="7">
        <v>0</v>
      </c>
      <c r="C311" s="7">
        <v>1.7869E-6</v>
      </c>
      <c r="D311" s="7">
        <v>0</v>
      </c>
    </row>
    <row r="312" spans="1:4" x14ac:dyDescent="0.25">
      <c r="A312" s="2">
        <v>309</v>
      </c>
      <c r="B312" s="7">
        <v>0</v>
      </c>
      <c r="C312" s="7">
        <v>1.7154299999999999E-6</v>
      </c>
      <c r="D312" s="7">
        <v>0</v>
      </c>
    </row>
    <row r="313" spans="1:4" x14ac:dyDescent="0.25">
      <c r="A313" s="2">
        <v>310</v>
      </c>
      <c r="B313" s="7">
        <v>0</v>
      </c>
      <c r="C313" s="7">
        <v>1.6468099999999999E-6</v>
      </c>
      <c r="D313" s="7">
        <v>0</v>
      </c>
    </row>
    <row r="314" spans="1:4" x14ac:dyDescent="0.25">
      <c r="A314" s="2">
        <v>311</v>
      </c>
      <c r="B314" s="7">
        <v>0</v>
      </c>
      <c r="C314" s="7">
        <v>1.58094E-6</v>
      </c>
      <c r="D314" s="7">
        <v>0</v>
      </c>
    </row>
    <row r="315" spans="1:4" x14ac:dyDescent="0.25">
      <c r="A315" s="2">
        <v>312</v>
      </c>
      <c r="B315" s="7">
        <v>0</v>
      </c>
      <c r="C315" s="7">
        <v>1.5177000000000001E-6</v>
      </c>
      <c r="D315" s="7">
        <v>0</v>
      </c>
    </row>
    <row r="316" spans="1:4" x14ac:dyDescent="0.25">
      <c r="A316" s="2">
        <v>313</v>
      </c>
      <c r="B316" s="7">
        <v>0</v>
      </c>
      <c r="C316" s="7">
        <v>1.4569899999999999E-6</v>
      </c>
      <c r="D316" s="7">
        <v>0</v>
      </c>
    </row>
    <row r="317" spans="1:4" x14ac:dyDescent="0.25">
      <c r="A317" s="2">
        <v>314</v>
      </c>
      <c r="B317" s="7">
        <v>0</v>
      </c>
      <c r="C317" s="7">
        <v>1.3987099999999999E-6</v>
      </c>
      <c r="D317" s="7">
        <v>0</v>
      </c>
    </row>
    <row r="318" spans="1:4" x14ac:dyDescent="0.25">
      <c r="A318" s="2">
        <v>315</v>
      </c>
      <c r="B318" s="7">
        <v>0</v>
      </c>
      <c r="C318" s="7">
        <v>1.34276E-6</v>
      </c>
      <c r="D318" s="7">
        <v>0</v>
      </c>
    </row>
    <row r="319" spans="1:4" x14ac:dyDescent="0.25">
      <c r="A319" s="2">
        <v>316</v>
      </c>
      <c r="B319" s="7">
        <v>0</v>
      </c>
      <c r="C319" s="7">
        <v>1.28905E-6</v>
      </c>
      <c r="D319" s="7">
        <v>0</v>
      </c>
    </row>
    <row r="320" spans="1:4" x14ac:dyDescent="0.25">
      <c r="A320" s="2">
        <v>317</v>
      </c>
      <c r="B320" s="7">
        <v>0</v>
      </c>
      <c r="C320" s="7">
        <v>1.2374899999999999E-6</v>
      </c>
      <c r="D320" s="7">
        <v>0</v>
      </c>
    </row>
    <row r="321" spans="1:4" x14ac:dyDescent="0.25">
      <c r="A321" s="2">
        <v>318</v>
      </c>
      <c r="B321" s="7">
        <v>0</v>
      </c>
      <c r="C321" s="7">
        <v>1.18799E-6</v>
      </c>
      <c r="D321" s="7">
        <v>0</v>
      </c>
    </row>
    <row r="322" spans="1:4" x14ac:dyDescent="0.25">
      <c r="A322" s="2">
        <v>319</v>
      </c>
      <c r="B322" s="7">
        <v>0</v>
      </c>
      <c r="C322" s="7">
        <v>1.1404699999999999E-6</v>
      </c>
      <c r="D322" s="7">
        <v>0</v>
      </c>
    </row>
    <row r="323" spans="1:4" x14ac:dyDescent="0.25">
      <c r="A323" s="2">
        <v>320</v>
      </c>
      <c r="B323" s="7">
        <v>0</v>
      </c>
      <c r="C323" s="7">
        <v>1.09485E-6</v>
      </c>
      <c r="D323" s="7">
        <v>0</v>
      </c>
    </row>
    <row r="324" spans="1:4" x14ac:dyDescent="0.25">
      <c r="A324" s="2">
        <v>321</v>
      </c>
      <c r="B324" s="7">
        <v>0</v>
      </c>
      <c r="C324" s="7">
        <v>1.0510599999999999E-6</v>
      </c>
      <c r="D324" s="7">
        <v>0</v>
      </c>
    </row>
    <row r="325" spans="1:4" x14ac:dyDescent="0.25">
      <c r="A325" s="2">
        <v>322</v>
      </c>
      <c r="B325" s="7">
        <v>0</v>
      </c>
      <c r="C325" s="7">
        <v>1.0090199999999999E-6</v>
      </c>
      <c r="D325" s="7">
        <v>0</v>
      </c>
    </row>
    <row r="326" spans="1:4" x14ac:dyDescent="0.25">
      <c r="A326" s="2">
        <v>323</v>
      </c>
      <c r="B326" s="7">
        <v>0</v>
      </c>
      <c r="C326" s="7">
        <v>9.6865599999999999E-7</v>
      </c>
      <c r="D326" s="7">
        <v>0</v>
      </c>
    </row>
    <row r="327" spans="1:4" x14ac:dyDescent="0.25">
      <c r="A327" s="2">
        <v>324</v>
      </c>
      <c r="B327" s="7">
        <v>0</v>
      </c>
      <c r="C327" s="7">
        <v>9.2991000000000005E-7</v>
      </c>
      <c r="D327" s="7">
        <v>0</v>
      </c>
    </row>
    <row r="328" spans="1:4" x14ac:dyDescent="0.25">
      <c r="A328" s="2">
        <v>325</v>
      </c>
      <c r="B328" s="7">
        <v>0</v>
      </c>
      <c r="C328" s="7">
        <v>8.9271299999999998E-7</v>
      </c>
      <c r="D328" s="7">
        <v>0</v>
      </c>
    </row>
    <row r="329" spans="1:4" x14ac:dyDescent="0.25">
      <c r="A329" s="2">
        <v>326</v>
      </c>
      <c r="B329" s="7">
        <v>0</v>
      </c>
      <c r="C329" s="7">
        <v>8.5700500000000004E-7</v>
      </c>
      <c r="D329" s="7">
        <v>0</v>
      </c>
    </row>
    <row r="330" spans="1:4" x14ac:dyDescent="0.25">
      <c r="A330" s="2">
        <v>327</v>
      </c>
      <c r="B330" s="7">
        <v>0</v>
      </c>
      <c r="C330" s="7">
        <v>8.2272500000000003E-7</v>
      </c>
      <c r="D330" s="7">
        <v>0</v>
      </c>
    </row>
    <row r="331" spans="1:4" x14ac:dyDescent="0.25">
      <c r="A331" s="2">
        <v>328</v>
      </c>
      <c r="B331" s="7">
        <v>0</v>
      </c>
      <c r="C331" s="7">
        <v>7.8981599999999996E-7</v>
      </c>
      <c r="D331" s="7">
        <v>0</v>
      </c>
    </row>
    <row r="332" spans="1:4" x14ac:dyDescent="0.25">
      <c r="A332" s="2">
        <v>329</v>
      </c>
      <c r="B332" s="7">
        <v>0</v>
      </c>
      <c r="C332" s="7">
        <v>7.58223E-7</v>
      </c>
      <c r="D332" s="7">
        <v>0</v>
      </c>
    </row>
    <row r="333" spans="1:4" x14ac:dyDescent="0.25">
      <c r="A333" s="2">
        <v>330</v>
      </c>
      <c r="B333" s="7">
        <v>0</v>
      </c>
      <c r="C333" s="7">
        <v>7.2789399999999999E-7</v>
      </c>
      <c r="D333" s="7">
        <v>0</v>
      </c>
    </row>
    <row r="334" spans="1:4" x14ac:dyDescent="0.25">
      <c r="A334" s="2">
        <v>331</v>
      </c>
      <c r="B334" s="7">
        <v>0</v>
      </c>
      <c r="C334" s="7">
        <v>6.9877800000000001E-7</v>
      </c>
      <c r="D334" s="7">
        <v>0</v>
      </c>
    </row>
    <row r="335" spans="1:4" x14ac:dyDescent="0.25">
      <c r="A335" s="2">
        <v>332</v>
      </c>
      <c r="B335" s="7">
        <v>0</v>
      </c>
      <c r="C335" s="7">
        <v>6.70827E-7</v>
      </c>
      <c r="D335" s="7">
        <v>0</v>
      </c>
    </row>
    <row r="336" spans="1:4" x14ac:dyDescent="0.25">
      <c r="A336" s="2">
        <v>333</v>
      </c>
      <c r="B336" s="7">
        <v>0</v>
      </c>
      <c r="C336" s="7">
        <v>6.4399400000000004E-7</v>
      </c>
      <c r="D336" s="7">
        <v>0</v>
      </c>
    </row>
    <row r="337" spans="1:4" x14ac:dyDescent="0.25">
      <c r="A337" s="2">
        <v>334</v>
      </c>
      <c r="B337" s="7">
        <v>0</v>
      </c>
      <c r="C337" s="7">
        <v>6.1823399999999995E-7</v>
      </c>
      <c r="D337" s="7">
        <v>0</v>
      </c>
    </row>
    <row r="338" spans="1:4" x14ac:dyDescent="0.25">
      <c r="A338" s="2">
        <v>335</v>
      </c>
      <c r="B338" s="7">
        <v>0</v>
      </c>
      <c r="C338" s="7">
        <v>5.9350500000000005E-7</v>
      </c>
      <c r="D338" s="7">
        <v>0</v>
      </c>
    </row>
    <row r="339" spans="1:4" x14ac:dyDescent="0.25">
      <c r="A339" s="2">
        <v>336</v>
      </c>
      <c r="B339" s="7">
        <v>0</v>
      </c>
      <c r="C339" s="7">
        <v>5.6976500000000002E-7</v>
      </c>
      <c r="D339" s="7">
        <v>0</v>
      </c>
    </row>
    <row r="340" spans="1:4" x14ac:dyDescent="0.25">
      <c r="A340" s="2">
        <v>337</v>
      </c>
      <c r="B340" s="7">
        <v>0</v>
      </c>
      <c r="C340" s="7">
        <v>5.4697400000000004E-7</v>
      </c>
      <c r="D340" s="7">
        <v>0</v>
      </c>
    </row>
    <row r="341" spans="1:4" x14ac:dyDescent="0.25">
      <c r="A341" s="2">
        <v>338</v>
      </c>
      <c r="B341" s="7">
        <v>0</v>
      </c>
      <c r="C341" s="7">
        <v>5.2509500000000003E-7</v>
      </c>
      <c r="D341" s="7">
        <v>0</v>
      </c>
    </row>
    <row r="342" spans="1:4" x14ac:dyDescent="0.25">
      <c r="A342" s="2">
        <v>339</v>
      </c>
      <c r="B342" s="7">
        <v>0</v>
      </c>
      <c r="C342" s="7">
        <v>5.0409100000000004E-7</v>
      </c>
      <c r="D342" s="7">
        <v>0</v>
      </c>
    </row>
    <row r="343" spans="1:4" x14ac:dyDescent="0.25">
      <c r="A343" s="2">
        <v>340</v>
      </c>
      <c r="B343" s="7">
        <v>0</v>
      </c>
      <c r="C343" s="7">
        <v>4.8392799999999996E-7</v>
      </c>
      <c r="D343" s="7">
        <v>0</v>
      </c>
    </row>
    <row r="344" spans="1:4" x14ac:dyDescent="0.25">
      <c r="A344" s="2">
        <v>341</v>
      </c>
      <c r="B344" s="7">
        <v>0</v>
      </c>
      <c r="C344" s="7">
        <v>4.6457100000000001E-7</v>
      </c>
      <c r="D344" s="7">
        <v>0</v>
      </c>
    </row>
    <row r="345" spans="1:4" x14ac:dyDescent="0.25">
      <c r="A345" s="2">
        <v>342</v>
      </c>
      <c r="B345" s="7">
        <v>0</v>
      </c>
      <c r="C345" s="7">
        <v>4.4598799999999998E-7</v>
      </c>
      <c r="D345" s="7">
        <v>0</v>
      </c>
    </row>
    <row r="346" spans="1:4" x14ac:dyDescent="0.25">
      <c r="A346" s="2">
        <v>343</v>
      </c>
      <c r="B346" s="7">
        <v>0</v>
      </c>
      <c r="C346" s="7">
        <v>4.2814799999999998E-7</v>
      </c>
      <c r="D346" s="7">
        <v>0</v>
      </c>
    </row>
    <row r="347" spans="1:4" x14ac:dyDescent="0.25">
      <c r="A347" s="2">
        <v>344</v>
      </c>
      <c r="B347" s="7">
        <v>0</v>
      </c>
      <c r="C347" s="7">
        <v>4.1102199999999999E-7</v>
      </c>
      <c r="D347" s="7">
        <v>0</v>
      </c>
    </row>
    <row r="348" spans="1:4" x14ac:dyDescent="0.25">
      <c r="A348" s="2">
        <v>345</v>
      </c>
      <c r="B348" s="7">
        <v>0</v>
      </c>
      <c r="C348" s="7">
        <v>3.9458199999999998E-7</v>
      </c>
      <c r="D348" s="7">
        <v>0</v>
      </c>
    </row>
    <row r="349" spans="1:4" x14ac:dyDescent="0.25">
      <c r="A349" s="2">
        <v>346</v>
      </c>
      <c r="B349" s="7">
        <v>0</v>
      </c>
      <c r="C349" s="7">
        <v>3.7879799999999998E-7</v>
      </c>
      <c r="D349" s="7">
        <v>0</v>
      </c>
    </row>
    <row r="350" spans="1:4" x14ac:dyDescent="0.25">
      <c r="A350" s="2">
        <v>347</v>
      </c>
      <c r="B350" s="7">
        <v>0</v>
      </c>
      <c r="C350" s="7">
        <v>3.63646E-7</v>
      </c>
      <c r="D350" s="7">
        <v>0</v>
      </c>
    </row>
    <row r="351" spans="1:4" x14ac:dyDescent="0.25">
      <c r="A351" s="2">
        <v>348</v>
      </c>
      <c r="B351" s="7">
        <v>0</v>
      </c>
      <c r="C351" s="7">
        <v>3.4910000000000002E-7</v>
      </c>
      <c r="D351" s="7">
        <v>0</v>
      </c>
    </row>
    <row r="352" spans="1:4" x14ac:dyDescent="0.25">
      <c r="A352" s="2">
        <v>349</v>
      </c>
      <c r="B352" s="7">
        <v>0</v>
      </c>
      <c r="C352" s="7">
        <v>3.3513600000000002E-7</v>
      </c>
      <c r="D352" s="7">
        <v>0</v>
      </c>
    </row>
    <row r="353" spans="1:4" x14ac:dyDescent="0.25">
      <c r="A353" s="2">
        <v>350</v>
      </c>
      <c r="B353" s="7">
        <v>0</v>
      </c>
      <c r="C353" s="7">
        <v>3.2173099999999998E-7</v>
      </c>
      <c r="D353" s="7">
        <v>0</v>
      </c>
    </row>
    <row r="354" spans="1:4" x14ac:dyDescent="0.25">
      <c r="A354" s="2">
        <v>351</v>
      </c>
      <c r="B354" s="7">
        <v>0</v>
      </c>
      <c r="C354" s="7">
        <v>3.0886199999999998E-7</v>
      </c>
      <c r="D354" s="7">
        <v>0</v>
      </c>
    </row>
    <row r="355" spans="1:4" x14ac:dyDescent="0.25">
      <c r="A355" s="2">
        <v>352</v>
      </c>
      <c r="B355" s="7">
        <v>0</v>
      </c>
      <c r="C355" s="7">
        <v>2.9650700000000002E-7</v>
      </c>
      <c r="D355" s="7">
        <v>0</v>
      </c>
    </row>
    <row r="356" spans="1:4" x14ac:dyDescent="0.25">
      <c r="A356" s="2">
        <v>353</v>
      </c>
      <c r="B356" s="7">
        <v>0</v>
      </c>
      <c r="C356" s="7">
        <v>2.8464700000000002E-7</v>
      </c>
      <c r="D356" s="7">
        <v>0</v>
      </c>
    </row>
    <row r="357" spans="1:4" x14ac:dyDescent="0.25">
      <c r="A357" s="2">
        <v>354</v>
      </c>
      <c r="B357" s="7">
        <v>0</v>
      </c>
      <c r="C357" s="7">
        <v>2.7326099999999997E-7</v>
      </c>
      <c r="D357" s="7">
        <v>0</v>
      </c>
    </row>
    <row r="358" spans="1:4" x14ac:dyDescent="0.25">
      <c r="A358" s="2">
        <v>355</v>
      </c>
      <c r="B358" s="7">
        <v>0</v>
      </c>
      <c r="C358" s="7">
        <v>2.6233100000000002E-7</v>
      </c>
      <c r="D358" s="7">
        <v>0</v>
      </c>
    </row>
    <row r="359" spans="1:4" x14ac:dyDescent="0.25">
      <c r="A359" s="2">
        <v>356</v>
      </c>
      <c r="B359" s="7">
        <v>0</v>
      </c>
      <c r="C359" s="7">
        <v>2.5183699999999998E-7</v>
      </c>
      <c r="D359" s="7">
        <v>0</v>
      </c>
    </row>
    <row r="360" spans="1:4" x14ac:dyDescent="0.25">
      <c r="A360" s="2">
        <v>357</v>
      </c>
      <c r="B360" s="7">
        <v>0</v>
      </c>
      <c r="C360" s="7">
        <v>2.4176400000000002E-7</v>
      </c>
      <c r="D360" s="7">
        <v>0</v>
      </c>
    </row>
    <row r="361" spans="1:4" x14ac:dyDescent="0.25">
      <c r="A361" s="2">
        <v>358</v>
      </c>
      <c r="B361" s="7">
        <v>0</v>
      </c>
      <c r="C361" s="7">
        <v>2.3209300000000001E-7</v>
      </c>
      <c r="D361" s="7">
        <v>0</v>
      </c>
    </row>
    <row r="362" spans="1:4" x14ac:dyDescent="0.25">
      <c r="A362" s="2">
        <v>359</v>
      </c>
      <c r="B362" s="7">
        <v>0</v>
      </c>
      <c r="C362" s="7">
        <v>2.2280999999999999E-7</v>
      </c>
      <c r="D362" s="7">
        <v>0</v>
      </c>
    </row>
    <row r="363" spans="1:4" x14ac:dyDescent="0.25">
      <c r="A363" s="2">
        <v>360</v>
      </c>
      <c r="B363" s="7">
        <v>0</v>
      </c>
      <c r="C363" s="7">
        <v>2.13897E-7</v>
      </c>
      <c r="D363" s="7">
        <v>0</v>
      </c>
    </row>
    <row r="364" spans="1:4" x14ac:dyDescent="0.25">
      <c r="A364" s="2">
        <v>361</v>
      </c>
      <c r="B364" s="7">
        <v>0</v>
      </c>
      <c r="C364" s="7">
        <v>2.0534100000000001E-7</v>
      </c>
      <c r="D364" s="7">
        <v>0</v>
      </c>
    </row>
    <row r="365" spans="1:4" x14ac:dyDescent="0.25">
      <c r="A365" s="2">
        <v>362</v>
      </c>
      <c r="B365" s="7">
        <v>0</v>
      </c>
      <c r="C365" s="7">
        <v>1.9712799999999999E-7</v>
      </c>
      <c r="D365" s="7">
        <v>0</v>
      </c>
    </row>
    <row r="366" spans="1:4" x14ac:dyDescent="0.25">
      <c r="A366" s="2">
        <v>363</v>
      </c>
      <c r="B366" s="7">
        <v>0</v>
      </c>
      <c r="C366" s="7">
        <v>1.89243E-7</v>
      </c>
      <c r="D366" s="7">
        <v>0</v>
      </c>
    </row>
    <row r="367" spans="1:4" x14ac:dyDescent="0.25">
      <c r="A367" s="2">
        <v>364</v>
      </c>
      <c r="B367" s="7">
        <v>0</v>
      </c>
      <c r="C367" s="7">
        <v>1.8167299999999999E-7</v>
      </c>
      <c r="D367" s="7">
        <v>0</v>
      </c>
    </row>
    <row r="368" spans="1:4" x14ac:dyDescent="0.25">
      <c r="A368" s="2">
        <v>365</v>
      </c>
      <c r="B368" s="7">
        <v>0</v>
      </c>
      <c r="C368" s="7">
        <v>1.7440600000000001E-7</v>
      </c>
      <c r="D368" s="7">
        <v>0</v>
      </c>
    </row>
    <row r="369" spans="1:4" x14ac:dyDescent="0.25">
      <c r="A369" s="2">
        <v>366</v>
      </c>
      <c r="B369" s="7">
        <v>0</v>
      </c>
      <c r="C369" s="7">
        <v>1.6743000000000001E-7</v>
      </c>
      <c r="D369" s="7">
        <v>0</v>
      </c>
    </row>
    <row r="370" spans="1:4" x14ac:dyDescent="0.25">
      <c r="A370" s="2">
        <v>367</v>
      </c>
      <c r="B370" s="7">
        <v>0</v>
      </c>
      <c r="C370" s="7">
        <v>1.6073299999999999E-7</v>
      </c>
      <c r="D370" s="7">
        <v>0</v>
      </c>
    </row>
    <row r="371" spans="1:4" x14ac:dyDescent="0.25">
      <c r="A371" s="2">
        <v>368</v>
      </c>
      <c r="B371" s="7">
        <v>0</v>
      </c>
      <c r="C371" s="7">
        <v>1.54303E-7</v>
      </c>
      <c r="D371" s="7">
        <v>0</v>
      </c>
    </row>
    <row r="372" spans="1:4" x14ac:dyDescent="0.25">
      <c r="A372" s="2">
        <v>369</v>
      </c>
      <c r="B372" s="7">
        <v>0</v>
      </c>
      <c r="C372" s="7">
        <v>1.4813099999999999E-7</v>
      </c>
      <c r="D372" s="7">
        <v>0</v>
      </c>
    </row>
    <row r="373" spans="1:4" x14ac:dyDescent="0.25">
      <c r="A373" s="2">
        <v>370</v>
      </c>
      <c r="B373" s="7">
        <v>0</v>
      </c>
      <c r="C373" s="7">
        <v>1.42206E-7</v>
      </c>
      <c r="D373" s="7">
        <v>0</v>
      </c>
    </row>
    <row r="374" spans="1:4" x14ac:dyDescent="0.25">
      <c r="A374" s="2">
        <v>371</v>
      </c>
      <c r="B374" s="7">
        <v>0</v>
      </c>
      <c r="C374" s="7">
        <v>1.3651800000000001E-7</v>
      </c>
      <c r="D374" s="7">
        <v>0</v>
      </c>
    </row>
    <row r="375" spans="1:4" x14ac:dyDescent="0.25">
      <c r="A375" s="2">
        <v>372</v>
      </c>
      <c r="B375" s="7">
        <v>0</v>
      </c>
      <c r="C375" s="7">
        <v>1.3105700000000001E-7</v>
      </c>
      <c r="D375" s="7">
        <v>0</v>
      </c>
    </row>
    <row r="376" spans="1:4" x14ac:dyDescent="0.25">
      <c r="A376" s="2">
        <v>373</v>
      </c>
      <c r="B376" s="7">
        <v>0</v>
      </c>
      <c r="C376" s="7">
        <v>1.2581499999999999E-7</v>
      </c>
      <c r="D376" s="7">
        <v>0</v>
      </c>
    </row>
    <row r="377" spans="1:4" x14ac:dyDescent="0.25">
      <c r="A377" s="2">
        <v>374</v>
      </c>
      <c r="B377" s="7">
        <v>0</v>
      </c>
      <c r="C377" s="7">
        <v>1.20782E-7</v>
      </c>
      <c r="D377" s="7">
        <v>0</v>
      </c>
    </row>
    <row r="378" spans="1:4" x14ac:dyDescent="0.25">
      <c r="A378" s="2">
        <v>375</v>
      </c>
      <c r="B378" s="7">
        <v>0</v>
      </c>
      <c r="C378" s="7">
        <v>1.15951E-7</v>
      </c>
      <c r="D378" s="7">
        <v>0</v>
      </c>
    </row>
    <row r="379" spans="1:4" x14ac:dyDescent="0.25">
      <c r="A379" s="2">
        <v>376</v>
      </c>
      <c r="B379" s="7">
        <v>0</v>
      </c>
      <c r="C379" s="7">
        <v>1.11313E-7</v>
      </c>
      <c r="D379" s="7">
        <v>0</v>
      </c>
    </row>
    <row r="380" spans="1:4" x14ac:dyDescent="0.25">
      <c r="A380" s="2">
        <v>377</v>
      </c>
      <c r="B380" s="7">
        <v>0</v>
      </c>
      <c r="C380" s="7">
        <v>1.0686000000000001E-7</v>
      </c>
      <c r="D380" s="7">
        <v>0</v>
      </c>
    </row>
    <row r="381" spans="1:4" x14ac:dyDescent="0.25">
      <c r="A381" s="2">
        <v>378</v>
      </c>
      <c r="B381" s="7">
        <v>0</v>
      </c>
      <c r="C381" s="7">
        <v>1.02586E-7</v>
      </c>
      <c r="D381" s="7">
        <v>0</v>
      </c>
    </row>
    <row r="382" spans="1:4" x14ac:dyDescent="0.25">
      <c r="A382" s="2">
        <v>379</v>
      </c>
      <c r="B382" s="7">
        <v>0</v>
      </c>
      <c r="C382" s="7">
        <v>9.8482400000000003E-8</v>
      </c>
      <c r="D382" s="7">
        <v>0</v>
      </c>
    </row>
    <row r="383" spans="1:4" x14ac:dyDescent="0.25">
      <c r="A383" s="2">
        <v>380</v>
      </c>
      <c r="B383" s="7">
        <v>0</v>
      </c>
      <c r="C383" s="7">
        <v>9.4543099999999994E-8</v>
      </c>
      <c r="D383" s="7">
        <v>0</v>
      </c>
    </row>
    <row r="384" spans="1:4" x14ac:dyDescent="0.25">
      <c r="A384" s="2">
        <v>381</v>
      </c>
      <c r="B384" s="7">
        <v>0</v>
      </c>
      <c r="C384" s="7">
        <v>9.0761399999999996E-8</v>
      </c>
      <c r="D384" s="7">
        <v>0</v>
      </c>
    </row>
    <row r="385" spans="1:4" x14ac:dyDescent="0.25">
      <c r="A385" s="2">
        <v>382</v>
      </c>
      <c r="B385" s="7">
        <v>0</v>
      </c>
      <c r="C385" s="7">
        <v>8.7130899999999996E-8</v>
      </c>
      <c r="D385" s="7">
        <v>0</v>
      </c>
    </row>
    <row r="386" spans="1:4" x14ac:dyDescent="0.25">
      <c r="A386" s="2">
        <v>383</v>
      </c>
      <c r="B386" s="7">
        <v>0</v>
      </c>
      <c r="C386" s="7">
        <v>8.3645700000000004E-8</v>
      </c>
      <c r="D386" s="7">
        <v>0</v>
      </c>
    </row>
    <row r="387" spans="1:4" x14ac:dyDescent="0.25">
      <c r="A387" s="2">
        <v>384</v>
      </c>
      <c r="B387" s="7">
        <v>0</v>
      </c>
      <c r="C387" s="7">
        <v>8.0299900000000006E-8</v>
      </c>
      <c r="D387" s="7">
        <v>0</v>
      </c>
    </row>
    <row r="388" spans="1:4" x14ac:dyDescent="0.25">
      <c r="A388" s="2">
        <v>385</v>
      </c>
      <c r="B388" s="7">
        <v>0</v>
      </c>
      <c r="C388" s="7">
        <v>7.7087900000000003E-8</v>
      </c>
      <c r="D388" s="7">
        <v>0</v>
      </c>
    </row>
    <row r="389" spans="1:4" x14ac:dyDescent="0.25">
      <c r="A389" s="2">
        <v>386</v>
      </c>
      <c r="B389" s="7">
        <v>0</v>
      </c>
      <c r="C389" s="7">
        <v>7.4004400000000001E-8</v>
      </c>
      <c r="D389" s="7">
        <v>0</v>
      </c>
    </row>
    <row r="390" spans="1:4" x14ac:dyDescent="0.25">
      <c r="A390" s="2">
        <v>387</v>
      </c>
      <c r="B390" s="7">
        <v>0</v>
      </c>
      <c r="C390" s="7">
        <v>7.1044199999999995E-8</v>
      </c>
      <c r="D390" s="7">
        <v>0</v>
      </c>
    </row>
    <row r="391" spans="1:4" x14ac:dyDescent="0.25">
      <c r="A391" s="2">
        <v>388</v>
      </c>
      <c r="B391" s="7">
        <v>0</v>
      </c>
      <c r="C391" s="7">
        <v>6.8202399999999999E-8</v>
      </c>
      <c r="D391" s="7">
        <v>0</v>
      </c>
    </row>
    <row r="392" spans="1:4" x14ac:dyDescent="0.25">
      <c r="A392" s="2">
        <v>389</v>
      </c>
      <c r="B392" s="7">
        <v>0</v>
      </c>
      <c r="C392" s="7">
        <v>6.5474299999999998E-8</v>
      </c>
      <c r="D392" s="7">
        <v>0</v>
      </c>
    </row>
    <row r="393" spans="1:4" x14ac:dyDescent="0.25">
      <c r="A393" s="2">
        <v>390</v>
      </c>
      <c r="B393" s="7">
        <v>0</v>
      </c>
      <c r="C393" s="7">
        <v>6.2855300000000006E-8</v>
      </c>
      <c r="D393" s="7">
        <v>0</v>
      </c>
    </row>
    <row r="394" spans="1:4" x14ac:dyDescent="0.25">
      <c r="A394" s="2">
        <v>391</v>
      </c>
      <c r="B394" s="7">
        <v>0</v>
      </c>
      <c r="C394" s="7">
        <v>6.0341100000000003E-8</v>
      </c>
      <c r="D394" s="7">
        <v>0</v>
      </c>
    </row>
    <row r="395" spans="1:4" x14ac:dyDescent="0.25">
      <c r="A395" s="2">
        <v>392</v>
      </c>
      <c r="B395" s="7">
        <v>0</v>
      </c>
      <c r="C395" s="7">
        <v>5.79275E-8</v>
      </c>
      <c r="D395" s="7">
        <v>0</v>
      </c>
    </row>
    <row r="396" spans="1:4" x14ac:dyDescent="0.25">
      <c r="A396" s="2">
        <v>393</v>
      </c>
      <c r="B396" s="7">
        <v>0</v>
      </c>
      <c r="C396" s="7">
        <v>5.5610400000000001E-8</v>
      </c>
      <c r="D396" s="7">
        <v>0</v>
      </c>
    </row>
    <row r="397" spans="1:4" x14ac:dyDescent="0.25">
      <c r="A397" s="2">
        <v>394</v>
      </c>
      <c r="B397" s="7">
        <v>0</v>
      </c>
      <c r="C397" s="7">
        <v>5.3385999999999999E-8</v>
      </c>
      <c r="D397" s="7">
        <v>0</v>
      </c>
    </row>
    <row r="398" spans="1:4" x14ac:dyDescent="0.25">
      <c r="A398" s="2">
        <v>395</v>
      </c>
      <c r="B398" s="7">
        <v>0</v>
      </c>
      <c r="C398" s="7">
        <v>5.12505E-8</v>
      </c>
      <c r="D398" s="7">
        <v>0</v>
      </c>
    </row>
    <row r="399" spans="1:4" x14ac:dyDescent="0.25">
      <c r="A399" s="2">
        <v>396</v>
      </c>
      <c r="B399" s="7">
        <v>0</v>
      </c>
      <c r="C399" s="7">
        <v>4.9200499999999998E-8</v>
      </c>
      <c r="D399" s="7">
        <v>0</v>
      </c>
    </row>
    <row r="400" spans="1:4" x14ac:dyDescent="0.25">
      <c r="A400" s="2">
        <v>397</v>
      </c>
      <c r="B400" s="7">
        <v>0</v>
      </c>
      <c r="C400" s="7">
        <v>4.7232500000000003E-8</v>
      </c>
      <c r="D400" s="7">
        <v>0</v>
      </c>
    </row>
    <row r="401" spans="1:4" x14ac:dyDescent="0.25">
      <c r="A401" s="2">
        <v>398</v>
      </c>
      <c r="B401" s="7">
        <v>0</v>
      </c>
      <c r="C401" s="7">
        <v>4.5343200000000002E-8</v>
      </c>
      <c r="D401" s="7">
        <v>0</v>
      </c>
    </row>
    <row r="402" spans="1:4" x14ac:dyDescent="0.25">
      <c r="A402" s="2">
        <v>399</v>
      </c>
      <c r="B402" s="7">
        <v>0</v>
      </c>
      <c r="C402" s="7">
        <v>4.3529499999999999E-8</v>
      </c>
      <c r="D402" s="7">
        <v>0</v>
      </c>
    </row>
    <row r="403" spans="1:4" x14ac:dyDescent="0.25">
      <c r="A403" s="2">
        <v>400</v>
      </c>
      <c r="B403" s="7">
        <v>0</v>
      </c>
      <c r="C403" s="7">
        <v>4.17883E-8</v>
      </c>
      <c r="D403" s="7">
        <v>0</v>
      </c>
    </row>
    <row r="404" spans="1:4" x14ac:dyDescent="0.25">
      <c r="A404" s="2">
        <v>401</v>
      </c>
      <c r="B404" s="7">
        <v>0</v>
      </c>
      <c r="C404" s="7">
        <v>4.0116799999999997E-8</v>
      </c>
      <c r="D404" s="7">
        <v>0</v>
      </c>
    </row>
    <row r="405" spans="1:4" x14ac:dyDescent="0.25">
      <c r="A405" s="2">
        <v>402</v>
      </c>
      <c r="B405" s="7">
        <v>0</v>
      </c>
      <c r="C405" s="7">
        <v>3.85121E-8</v>
      </c>
      <c r="D405" s="7">
        <v>0</v>
      </c>
    </row>
    <row r="406" spans="1:4" x14ac:dyDescent="0.25">
      <c r="A406" s="2">
        <v>403</v>
      </c>
      <c r="B406" s="7">
        <v>0</v>
      </c>
      <c r="C406" s="7">
        <v>3.69716E-8</v>
      </c>
      <c r="D406" s="7">
        <v>0</v>
      </c>
    </row>
    <row r="407" spans="1:4" x14ac:dyDescent="0.25">
      <c r="A407" s="2">
        <v>404</v>
      </c>
      <c r="B407" s="7">
        <v>0</v>
      </c>
      <c r="C407" s="7">
        <v>3.5492700000000003E-8</v>
      </c>
      <c r="D407" s="7">
        <v>0</v>
      </c>
    </row>
    <row r="408" spans="1:4" x14ac:dyDescent="0.25">
      <c r="A408" s="2">
        <v>405</v>
      </c>
      <c r="B408" s="7">
        <v>0</v>
      </c>
      <c r="C408" s="7">
        <v>3.4072999999999997E-8</v>
      </c>
      <c r="D408" s="7">
        <v>0</v>
      </c>
    </row>
    <row r="409" spans="1:4" x14ac:dyDescent="0.25">
      <c r="A409" s="2">
        <v>406</v>
      </c>
      <c r="B409" s="7">
        <v>0</v>
      </c>
      <c r="C409" s="7">
        <v>3.2710099999999999E-8</v>
      </c>
      <c r="D409" s="7">
        <v>0</v>
      </c>
    </row>
    <row r="410" spans="1:4" x14ac:dyDescent="0.25">
      <c r="A410" s="2">
        <v>407</v>
      </c>
      <c r="B410" s="7">
        <v>0</v>
      </c>
      <c r="C410" s="7">
        <v>3.1401700000000003E-8</v>
      </c>
      <c r="D410" s="7">
        <v>0</v>
      </c>
    </row>
    <row r="411" spans="1:4" x14ac:dyDescent="0.25">
      <c r="A411" s="2">
        <v>408</v>
      </c>
      <c r="B411" s="7">
        <v>0</v>
      </c>
      <c r="C411" s="7">
        <v>3.0145600000000002E-8</v>
      </c>
      <c r="D411" s="7">
        <v>0</v>
      </c>
    </row>
    <row r="412" spans="1:4" x14ac:dyDescent="0.25">
      <c r="A412" s="2">
        <v>409</v>
      </c>
      <c r="B412" s="7">
        <v>0</v>
      </c>
      <c r="C412" s="7">
        <v>2.8939799999999999E-8</v>
      </c>
      <c r="D412" s="7">
        <v>0</v>
      </c>
    </row>
    <row r="413" spans="1:4" x14ac:dyDescent="0.25">
      <c r="A413" s="2">
        <v>410</v>
      </c>
      <c r="B413" s="7">
        <v>0</v>
      </c>
      <c r="C413" s="7">
        <v>2.7782200000000001E-8</v>
      </c>
      <c r="D413" s="7">
        <v>0</v>
      </c>
    </row>
    <row r="414" spans="1:4" x14ac:dyDescent="0.25">
      <c r="A414" s="2">
        <v>411</v>
      </c>
      <c r="B414" s="7">
        <v>0</v>
      </c>
      <c r="C414" s="7">
        <v>2.6670899999999999E-8</v>
      </c>
      <c r="D414" s="7">
        <v>0</v>
      </c>
    </row>
    <row r="415" spans="1:4" x14ac:dyDescent="0.25">
      <c r="A415" s="2">
        <v>412</v>
      </c>
      <c r="B415" s="7">
        <v>0</v>
      </c>
      <c r="C415" s="7">
        <v>2.5604100000000001E-8</v>
      </c>
      <c r="D415" s="7">
        <v>0</v>
      </c>
    </row>
    <row r="416" spans="1:4" x14ac:dyDescent="0.25">
      <c r="A416" s="2">
        <v>413</v>
      </c>
      <c r="B416" s="7">
        <v>0</v>
      </c>
      <c r="C416" s="7">
        <v>2.45799E-8</v>
      </c>
      <c r="D416" s="7">
        <v>0</v>
      </c>
    </row>
    <row r="417" spans="1:4" x14ac:dyDescent="0.25">
      <c r="A417" s="2">
        <v>414</v>
      </c>
      <c r="B417" s="7">
        <v>0</v>
      </c>
      <c r="C417" s="7">
        <v>2.35967E-8</v>
      </c>
      <c r="D417" s="7">
        <v>0</v>
      </c>
    </row>
    <row r="418" spans="1:4" x14ac:dyDescent="0.25">
      <c r="A418" s="2">
        <v>415</v>
      </c>
      <c r="B418" s="7">
        <v>0</v>
      </c>
      <c r="C418" s="7">
        <v>2.2652899999999999E-8</v>
      </c>
      <c r="D418" s="7">
        <v>0</v>
      </c>
    </row>
    <row r="419" spans="1:4" x14ac:dyDescent="0.25">
      <c r="A419" s="2">
        <v>416</v>
      </c>
      <c r="B419" s="7">
        <v>0</v>
      </c>
      <c r="C419" s="7">
        <v>2.17467E-8</v>
      </c>
      <c r="D419" s="7">
        <v>0</v>
      </c>
    </row>
    <row r="420" spans="1:4" x14ac:dyDescent="0.25">
      <c r="A420" s="2">
        <v>417</v>
      </c>
      <c r="B420" s="7">
        <v>0</v>
      </c>
      <c r="C420" s="7">
        <v>2.08769E-8</v>
      </c>
      <c r="D420" s="7">
        <v>0</v>
      </c>
    </row>
    <row r="421" spans="1:4" x14ac:dyDescent="0.25">
      <c r="A421" s="2">
        <v>418</v>
      </c>
      <c r="B421" s="7">
        <v>0</v>
      </c>
      <c r="C421" s="7">
        <v>2.0041800000000001E-8</v>
      </c>
      <c r="D421" s="7">
        <v>0</v>
      </c>
    </row>
    <row r="422" spans="1:4" x14ac:dyDescent="0.25">
      <c r="A422" s="2">
        <v>419</v>
      </c>
      <c r="B422" s="7">
        <v>0</v>
      </c>
      <c r="C422" s="7">
        <v>1.9240100000000001E-8</v>
      </c>
      <c r="D422" s="7">
        <v>0</v>
      </c>
    </row>
    <row r="423" spans="1:4" x14ac:dyDescent="0.25">
      <c r="A423" s="2">
        <v>420</v>
      </c>
      <c r="B423" s="7">
        <v>0</v>
      </c>
      <c r="C423" s="7">
        <v>1.84705E-8</v>
      </c>
      <c r="D423" s="7">
        <v>0</v>
      </c>
    </row>
    <row r="424" spans="1:4" x14ac:dyDescent="0.25">
      <c r="A424" s="2">
        <v>421</v>
      </c>
      <c r="B424" s="7">
        <v>0</v>
      </c>
      <c r="C424" s="7">
        <v>1.77317E-8</v>
      </c>
      <c r="D424" s="7">
        <v>0</v>
      </c>
    </row>
    <row r="425" spans="1:4" x14ac:dyDescent="0.25">
      <c r="A425" s="2">
        <v>422</v>
      </c>
      <c r="B425" s="7">
        <v>0</v>
      </c>
      <c r="C425" s="7">
        <v>1.70224E-8</v>
      </c>
      <c r="D425" s="7">
        <v>0</v>
      </c>
    </row>
    <row r="426" spans="1:4" x14ac:dyDescent="0.25">
      <c r="A426" s="2">
        <v>423</v>
      </c>
      <c r="B426" s="7">
        <v>0</v>
      </c>
      <c r="C426" s="7">
        <v>1.6341500000000001E-8</v>
      </c>
      <c r="D426" s="7">
        <v>0</v>
      </c>
    </row>
    <row r="427" spans="1:4" x14ac:dyDescent="0.25">
      <c r="A427" s="2">
        <v>424</v>
      </c>
      <c r="B427" s="7">
        <v>0</v>
      </c>
      <c r="C427" s="7">
        <v>1.5687899999999999E-8</v>
      </c>
      <c r="D427" s="7">
        <v>0</v>
      </c>
    </row>
    <row r="428" spans="1:4" x14ac:dyDescent="0.25">
      <c r="A428" s="2">
        <v>425</v>
      </c>
      <c r="B428" s="7">
        <v>0</v>
      </c>
      <c r="C428" s="7">
        <v>1.5060399999999999E-8</v>
      </c>
      <c r="D428" s="7">
        <v>0</v>
      </c>
    </row>
    <row r="429" spans="1:4" x14ac:dyDescent="0.25">
      <c r="A429" s="2">
        <v>426</v>
      </c>
      <c r="B429" s="7">
        <v>0</v>
      </c>
      <c r="C429" s="7">
        <v>1.4457900000000001E-8</v>
      </c>
      <c r="D429" s="7">
        <v>0</v>
      </c>
    </row>
    <row r="430" spans="1:4" x14ac:dyDescent="0.25">
      <c r="A430" s="2">
        <v>427</v>
      </c>
      <c r="B430" s="7">
        <v>0</v>
      </c>
      <c r="C430" s="7">
        <v>1.3879600000000001E-8</v>
      </c>
      <c r="D430" s="7">
        <v>0</v>
      </c>
    </row>
    <row r="431" spans="1:4" x14ac:dyDescent="0.25">
      <c r="A431" s="2">
        <v>428</v>
      </c>
      <c r="B431" s="7">
        <v>0</v>
      </c>
      <c r="C431" s="7">
        <v>1.3324399999999999E-8</v>
      </c>
      <c r="D431" s="7">
        <v>0</v>
      </c>
    </row>
    <row r="432" spans="1:4" x14ac:dyDescent="0.25">
      <c r="A432" s="2">
        <v>429</v>
      </c>
      <c r="B432" s="7">
        <v>0</v>
      </c>
      <c r="C432" s="7">
        <v>1.2791500000000001E-8</v>
      </c>
      <c r="D432" s="7">
        <v>0</v>
      </c>
    </row>
    <row r="433" spans="1:4" x14ac:dyDescent="0.25">
      <c r="A433" s="2">
        <v>430</v>
      </c>
      <c r="B433" s="7">
        <v>0</v>
      </c>
      <c r="C433" s="7">
        <v>1.2279800000000001E-8</v>
      </c>
      <c r="D433" s="7">
        <v>0</v>
      </c>
    </row>
    <row r="434" spans="1:4" x14ac:dyDescent="0.25">
      <c r="A434" s="2">
        <v>431</v>
      </c>
      <c r="B434" s="7">
        <v>0</v>
      </c>
      <c r="C434" s="7">
        <v>1.17886E-8</v>
      </c>
      <c r="D434" s="7">
        <v>0</v>
      </c>
    </row>
    <row r="435" spans="1:4" x14ac:dyDescent="0.25">
      <c r="A435" s="2">
        <v>432</v>
      </c>
      <c r="B435" s="7">
        <v>0</v>
      </c>
      <c r="C435" s="7">
        <v>1.13171E-8</v>
      </c>
      <c r="D435" s="7">
        <v>0</v>
      </c>
    </row>
    <row r="436" spans="1:4" x14ac:dyDescent="0.25">
      <c r="A436" s="2">
        <v>433</v>
      </c>
      <c r="B436" s="7">
        <v>0</v>
      </c>
      <c r="C436" s="7">
        <v>1.0864400000000001E-8</v>
      </c>
      <c r="D436" s="7">
        <v>0</v>
      </c>
    </row>
    <row r="437" spans="1:4" x14ac:dyDescent="0.25">
      <c r="A437" s="2">
        <v>434</v>
      </c>
      <c r="B437" s="7">
        <v>0</v>
      </c>
      <c r="C437" s="7">
        <v>1.0429800000000001E-8</v>
      </c>
      <c r="D437" s="7">
        <v>0</v>
      </c>
    </row>
    <row r="438" spans="1:4" x14ac:dyDescent="0.25">
      <c r="A438" s="2">
        <v>435</v>
      </c>
      <c r="B438" s="7">
        <v>0</v>
      </c>
      <c r="C438" s="7">
        <v>1.00126E-8</v>
      </c>
      <c r="D438" s="7">
        <v>0</v>
      </c>
    </row>
    <row r="439" spans="1:4" x14ac:dyDescent="0.25">
      <c r="A439" s="2">
        <v>436</v>
      </c>
      <c r="B439" s="7">
        <v>0</v>
      </c>
      <c r="C439" s="7">
        <v>9.6121100000000006E-9</v>
      </c>
      <c r="D439" s="7">
        <v>0</v>
      </c>
    </row>
    <row r="440" spans="1:4" x14ac:dyDescent="0.25">
      <c r="A440" s="2">
        <v>437</v>
      </c>
      <c r="B440" s="7">
        <v>0</v>
      </c>
      <c r="C440" s="7">
        <v>9.2276299999999995E-9</v>
      </c>
      <c r="D440" s="7">
        <v>0</v>
      </c>
    </row>
    <row r="441" spans="1:4" x14ac:dyDescent="0.25">
      <c r="A441" s="2">
        <v>438</v>
      </c>
      <c r="B441" s="7">
        <v>0</v>
      </c>
      <c r="C441" s="7">
        <v>8.8585199999999993E-9</v>
      </c>
      <c r="D441" s="7">
        <v>0</v>
      </c>
    </row>
    <row r="442" spans="1:4" x14ac:dyDescent="0.25">
      <c r="A442" s="2">
        <v>439</v>
      </c>
      <c r="B442" s="7">
        <v>0</v>
      </c>
      <c r="C442" s="7">
        <v>8.5041800000000007E-9</v>
      </c>
      <c r="D442" s="7">
        <v>0</v>
      </c>
    </row>
    <row r="443" spans="1:4" x14ac:dyDescent="0.25">
      <c r="A443" s="2">
        <v>440</v>
      </c>
      <c r="B443" s="7">
        <v>0</v>
      </c>
      <c r="C443" s="7">
        <v>8.1640199999999993E-9</v>
      </c>
      <c r="D443" s="7">
        <v>0</v>
      </c>
    </row>
    <row r="444" spans="1:4" x14ac:dyDescent="0.25">
      <c r="A444" s="2">
        <v>441</v>
      </c>
      <c r="B444" s="7">
        <v>0</v>
      </c>
      <c r="C444" s="7">
        <v>7.8374600000000004E-9</v>
      </c>
      <c r="D444" s="7">
        <v>0</v>
      </c>
    </row>
    <row r="445" spans="1:4" x14ac:dyDescent="0.25">
      <c r="A445" s="2">
        <v>442</v>
      </c>
      <c r="B445" s="7">
        <v>0</v>
      </c>
      <c r="C445" s="7">
        <v>7.5239600000000006E-9</v>
      </c>
      <c r="D445" s="7">
        <v>0</v>
      </c>
    </row>
    <row r="446" spans="1:4" x14ac:dyDescent="0.25">
      <c r="A446" s="2">
        <v>443</v>
      </c>
      <c r="B446" s="7">
        <v>0</v>
      </c>
      <c r="C446" s="7">
        <v>7.2230000000000004E-9</v>
      </c>
      <c r="D446" s="7">
        <v>0</v>
      </c>
    </row>
    <row r="447" spans="1:4" x14ac:dyDescent="0.25">
      <c r="A447" s="2">
        <v>444</v>
      </c>
      <c r="B447" s="7">
        <v>0</v>
      </c>
      <c r="C447" s="7">
        <v>6.9340800000000001E-9</v>
      </c>
      <c r="D447" s="7">
        <v>0</v>
      </c>
    </row>
    <row r="448" spans="1:4" x14ac:dyDescent="0.25">
      <c r="A448" s="2">
        <v>445</v>
      </c>
      <c r="B448" s="7">
        <v>0</v>
      </c>
      <c r="C448" s="7">
        <v>6.6567199999999997E-9</v>
      </c>
      <c r="D448" s="7">
        <v>0</v>
      </c>
    </row>
    <row r="449" spans="1:4" x14ac:dyDescent="0.25">
      <c r="A449" s="2">
        <v>446</v>
      </c>
      <c r="B449" s="7">
        <v>0</v>
      </c>
      <c r="C449" s="7">
        <v>6.39045E-9</v>
      </c>
      <c r="D449" s="7">
        <v>0</v>
      </c>
    </row>
    <row r="450" spans="1:4" x14ac:dyDescent="0.25">
      <c r="A450" s="2">
        <v>447</v>
      </c>
      <c r="B450" s="7">
        <v>0</v>
      </c>
      <c r="C450" s="7">
        <v>6.1348300000000004E-9</v>
      </c>
      <c r="D450" s="7">
        <v>0</v>
      </c>
    </row>
    <row r="451" spans="1:4" x14ac:dyDescent="0.25">
      <c r="A451" s="2">
        <v>448</v>
      </c>
      <c r="B451" s="7">
        <v>0</v>
      </c>
      <c r="C451" s="7">
        <v>5.8894400000000003E-9</v>
      </c>
      <c r="D451" s="7">
        <v>0</v>
      </c>
    </row>
    <row r="452" spans="1:4" x14ac:dyDescent="0.25">
      <c r="A452" s="2">
        <v>449</v>
      </c>
      <c r="B452" s="7">
        <v>0</v>
      </c>
      <c r="C452" s="7">
        <v>5.6538599999999997E-9</v>
      </c>
      <c r="D452" s="7">
        <v>0</v>
      </c>
    </row>
    <row r="453" spans="1:4" x14ac:dyDescent="0.25">
      <c r="A453" s="2">
        <v>450</v>
      </c>
      <c r="B453" s="7">
        <v>0</v>
      </c>
      <c r="C453" s="7">
        <v>5.4277000000000002E-9</v>
      </c>
      <c r="D453" s="7">
        <v>0</v>
      </c>
    </row>
    <row r="454" spans="1:4" x14ac:dyDescent="0.25">
      <c r="A454" s="2">
        <v>451</v>
      </c>
      <c r="B454" s="7">
        <v>0</v>
      </c>
      <c r="C454" s="7">
        <v>5.2106000000000002E-9</v>
      </c>
      <c r="D454" s="7">
        <v>0</v>
      </c>
    </row>
    <row r="455" spans="1:4" x14ac:dyDescent="0.25">
      <c r="A455" s="2">
        <v>452</v>
      </c>
      <c r="B455" s="7">
        <v>0</v>
      </c>
      <c r="C455" s="7">
        <v>5.0021700000000003E-9</v>
      </c>
      <c r="D455" s="7">
        <v>0</v>
      </c>
    </row>
    <row r="456" spans="1:4" x14ac:dyDescent="0.25">
      <c r="A456" s="2">
        <v>453</v>
      </c>
      <c r="B456" s="7">
        <v>0</v>
      </c>
      <c r="C456" s="7">
        <v>4.8020900000000003E-9</v>
      </c>
      <c r="D456" s="7">
        <v>0</v>
      </c>
    </row>
    <row r="457" spans="1:4" x14ac:dyDescent="0.25">
      <c r="A457" s="2">
        <v>454</v>
      </c>
      <c r="B457" s="7">
        <v>0</v>
      </c>
      <c r="C457" s="7">
        <v>4.6099999999999996E-9</v>
      </c>
      <c r="D457" s="7">
        <v>0</v>
      </c>
    </row>
    <row r="458" spans="1:4" x14ac:dyDescent="0.25">
      <c r="A458" s="2">
        <v>455</v>
      </c>
      <c r="B458" s="7">
        <v>0</v>
      </c>
      <c r="C458" s="7">
        <v>4.4256000000000001E-9</v>
      </c>
      <c r="D458" s="7">
        <v>0</v>
      </c>
    </row>
    <row r="459" spans="1:4" x14ac:dyDescent="0.25">
      <c r="A459" s="2">
        <v>456</v>
      </c>
      <c r="B459" s="7">
        <v>0</v>
      </c>
      <c r="C459" s="7">
        <v>4.2485799999999998E-9</v>
      </c>
      <c r="D459" s="7">
        <v>0</v>
      </c>
    </row>
    <row r="460" spans="1:4" x14ac:dyDescent="0.25">
      <c r="A460" s="2">
        <v>457</v>
      </c>
      <c r="B460" s="7">
        <v>0</v>
      </c>
      <c r="C460" s="7">
        <v>4.07863E-9</v>
      </c>
      <c r="D460" s="7">
        <v>0</v>
      </c>
    </row>
    <row r="461" spans="1:4" x14ac:dyDescent="0.25">
      <c r="A461" s="2">
        <v>458</v>
      </c>
      <c r="B461" s="7">
        <v>0</v>
      </c>
      <c r="C461" s="7">
        <v>3.9154899999999997E-9</v>
      </c>
      <c r="D461" s="7">
        <v>0</v>
      </c>
    </row>
    <row r="462" spans="1:4" x14ac:dyDescent="0.25">
      <c r="A462" s="2">
        <v>459</v>
      </c>
      <c r="B462" s="7">
        <v>0</v>
      </c>
      <c r="C462" s="7">
        <v>3.7588699999999999E-9</v>
      </c>
      <c r="D462" s="7">
        <v>0</v>
      </c>
    </row>
    <row r="463" spans="1:4" x14ac:dyDescent="0.25">
      <c r="A463" s="2">
        <v>460</v>
      </c>
      <c r="B463" s="7">
        <v>0</v>
      </c>
      <c r="C463" s="7">
        <v>3.6085199999999999E-9</v>
      </c>
      <c r="D463" s="7">
        <v>0</v>
      </c>
    </row>
    <row r="464" spans="1:4" x14ac:dyDescent="0.25">
      <c r="A464" s="2">
        <v>461</v>
      </c>
      <c r="B464" s="7">
        <v>0</v>
      </c>
      <c r="C464" s="7">
        <v>3.46417E-9</v>
      </c>
      <c r="D464" s="7">
        <v>0</v>
      </c>
    </row>
    <row r="465" spans="1:4" x14ac:dyDescent="0.25">
      <c r="A465" s="2">
        <v>462</v>
      </c>
      <c r="B465" s="7">
        <v>0</v>
      </c>
      <c r="C465" s="7">
        <v>3.3256100000000001E-9</v>
      </c>
      <c r="D465" s="7">
        <v>0</v>
      </c>
    </row>
    <row r="466" spans="1:4" x14ac:dyDescent="0.25">
      <c r="A466" s="2">
        <v>463</v>
      </c>
      <c r="B466" s="7">
        <v>0</v>
      </c>
      <c r="C466" s="7">
        <v>3.1925800000000002E-9</v>
      </c>
      <c r="D466" s="7">
        <v>0</v>
      </c>
    </row>
    <row r="467" spans="1:4" x14ac:dyDescent="0.25">
      <c r="A467" s="2">
        <v>464</v>
      </c>
      <c r="B467" s="7">
        <v>0</v>
      </c>
      <c r="C467" s="7">
        <v>3.0648799999999999E-9</v>
      </c>
      <c r="D467" s="7">
        <v>0</v>
      </c>
    </row>
    <row r="468" spans="1:4" x14ac:dyDescent="0.25">
      <c r="A468" s="2">
        <v>465</v>
      </c>
      <c r="B468" s="7">
        <v>0</v>
      </c>
      <c r="C468" s="7">
        <v>2.9422799999999999E-9</v>
      </c>
      <c r="D468" s="7">
        <v>0</v>
      </c>
    </row>
    <row r="469" spans="1:4" x14ac:dyDescent="0.25">
      <c r="A469" s="2">
        <v>466</v>
      </c>
      <c r="B469" s="7">
        <v>0</v>
      </c>
      <c r="C469" s="7">
        <v>2.8245900000000001E-9</v>
      </c>
      <c r="D469" s="7">
        <v>0</v>
      </c>
    </row>
    <row r="470" spans="1:4" x14ac:dyDescent="0.25">
      <c r="A470" s="2">
        <v>467</v>
      </c>
      <c r="B470" s="7">
        <v>0</v>
      </c>
      <c r="C470" s="7">
        <v>2.7116099999999999E-9</v>
      </c>
      <c r="D470" s="7">
        <v>0</v>
      </c>
    </row>
    <row r="471" spans="1:4" x14ac:dyDescent="0.25">
      <c r="A471" s="2">
        <v>468</v>
      </c>
      <c r="B471" s="7">
        <v>0</v>
      </c>
      <c r="C471" s="7">
        <v>2.6031500000000001E-9</v>
      </c>
      <c r="D471" s="7">
        <v>0</v>
      </c>
    </row>
    <row r="472" spans="1:4" x14ac:dyDescent="0.25">
      <c r="A472" s="2">
        <v>469</v>
      </c>
      <c r="B472" s="7">
        <v>0</v>
      </c>
      <c r="C472" s="7">
        <v>2.4990199999999999E-9</v>
      </c>
      <c r="D472" s="7">
        <v>0</v>
      </c>
    </row>
    <row r="473" spans="1:4" x14ac:dyDescent="0.25">
      <c r="A473" s="2">
        <v>470</v>
      </c>
      <c r="B473" s="7">
        <v>0</v>
      </c>
      <c r="C473" s="7">
        <v>2.3990600000000002E-9</v>
      </c>
      <c r="D473" s="7">
        <v>0</v>
      </c>
    </row>
    <row r="474" spans="1:4" x14ac:dyDescent="0.25">
      <c r="A474" s="2">
        <v>471</v>
      </c>
      <c r="B474" s="7">
        <v>0</v>
      </c>
      <c r="C474" s="7">
        <v>2.3031E-9</v>
      </c>
      <c r="D474" s="7">
        <v>0</v>
      </c>
    </row>
    <row r="475" spans="1:4" x14ac:dyDescent="0.25">
      <c r="A475" s="2">
        <v>472</v>
      </c>
      <c r="B475" s="7">
        <v>0</v>
      </c>
      <c r="C475" s="7">
        <v>2.2109699999999999E-9</v>
      </c>
      <c r="D475" s="7">
        <v>0</v>
      </c>
    </row>
    <row r="476" spans="1:4" x14ac:dyDescent="0.25">
      <c r="A476" s="2">
        <v>473</v>
      </c>
      <c r="B476" s="7">
        <v>0</v>
      </c>
      <c r="C476" s="7">
        <v>2.1225300000000001E-9</v>
      </c>
      <c r="D476" s="7">
        <v>0</v>
      </c>
    </row>
    <row r="477" spans="1:4" x14ac:dyDescent="0.25">
      <c r="A477" s="2">
        <v>474</v>
      </c>
      <c r="B477" s="7">
        <v>0</v>
      </c>
      <c r="C477" s="7">
        <v>2.0376300000000001E-9</v>
      </c>
      <c r="D477" s="7">
        <v>0</v>
      </c>
    </row>
    <row r="478" spans="1:4" x14ac:dyDescent="0.25">
      <c r="A478" s="2">
        <v>475</v>
      </c>
      <c r="B478" s="7">
        <v>0</v>
      </c>
      <c r="C478" s="7">
        <v>1.9561299999999999E-9</v>
      </c>
      <c r="D478" s="7">
        <v>0</v>
      </c>
    </row>
    <row r="479" spans="1:4" x14ac:dyDescent="0.25">
      <c r="A479" s="2">
        <v>476</v>
      </c>
      <c r="B479" s="7">
        <v>0</v>
      </c>
      <c r="C479" s="7">
        <v>1.8778800000000001E-9</v>
      </c>
      <c r="D479" s="7">
        <v>0</v>
      </c>
    </row>
    <row r="480" spans="1:4" x14ac:dyDescent="0.25">
      <c r="A480" s="2">
        <v>477</v>
      </c>
      <c r="B480" s="7">
        <v>0</v>
      </c>
      <c r="C480" s="7">
        <v>1.80277E-9</v>
      </c>
      <c r="D480" s="7">
        <v>0</v>
      </c>
    </row>
    <row r="481" spans="1:4" x14ac:dyDescent="0.25">
      <c r="A481" s="2">
        <v>478</v>
      </c>
      <c r="B481" s="7">
        <v>0</v>
      </c>
      <c r="C481" s="7">
        <v>1.7306600000000001E-9</v>
      </c>
      <c r="D481" s="7">
        <v>0</v>
      </c>
    </row>
    <row r="482" spans="1:4" x14ac:dyDescent="0.25">
      <c r="A482" s="2">
        <v>479</v>
      </c>
      <c r="B482" s="7">
        <v>0</v>
      </c>
      <c r="C482" s="7">
        <v>1.6614299999999999E-9</v>
      </c>
      <c r="D482" s="7">
        <v>0</v>
      </c>
    </row>
    <row r="483" spans="1:4" x14ac:dyDescent="0.25">
      <c r="A483" s="2">
        <v>480</v>
      </c>
      <c r="B483" s="7">
        <v>0</v>
      </c>
      <c r="C483" s="7">
        <v>1.5949699999999999E-9</v>
      </c>
      <c r="D483" s="7">
        <v>0</v>
      </c>
    </row>
    <row r="484" spans="1:4" x14ac:dyDescent="0.25">
      <c r="A484" s="2">
        <v>481</v>
      </c>
      <c r="B484" s="7">
        <v>0</v>
      </c>
      <c r="C484" s="7">
        <v>1.53117E-9</v>
      </c>
      <c r="D484" s="7">
        <v>0</v>
      </c>
    </row>
    <row r="485" spans="1:4" x14ac:dyDescent="0.25">
      <c r="A485" s="2">
        <v>482</v>
      </c>
      <c r="B485" s="7">
        <v>0</v>
      </c>
      <c r="C485" s="7">
        <v>1.4699299999999999E-9</v>
      </c>
      <c r="D485" s="7">
        <v>0</v>
      </c>
    </row>
    <row r="486" spans="1:4" x14ac:dyDescent="0.25">
      <c r="A486" s="2">
        <v>483</v>
      </c>
      <c r="B486" s="7">
        <v>0</v>
      </c>
      <c r="C486" s="7">
        <v>1.4111300000000001E-9</v>
      </c>
      <c r="D486" s="7">
        <v>0</v>
      </c>
    </row>
    <row r="487" spans="1:4" x14ac:dyDescent="0.25">
      <c r="A487" s="2">
        <v>484</v>
      </c>
      <c r="B487" s="7">
        <v>0</v>
      </c>
      <c r="C487" s="7">
        <v>1.3546799999999999E-9</v>
      </c>
      <c r="D487" s="7">
        <v>0</v>
      </c>
    </row>
    <row r="488" spans="1:4" x14ac:dyDescent="0.25">
      <c r="A488" s="2">
        <v>485</v>
      </c>
      <c r="B488" s="7">
        <v>0</v>
      </c>
      <c r="C488" s="7">
        <v>1.3005E-9</v>
      </c>
      <c r="D488" s="7">
        <v>0</v>
      </c>
    </row>
    <row r="489" spans="1:4" x14ac:dyDescent="0.25">
      <c r="A489" s="2">
        <v>486</v>
      </c>
      <c r="B489" s="7">
        <v>0</v>
      </c>
      <c r="C489" s="7">
        <v>1.24848E-9</v>
      </c>
      <c r="D489" s="7">
        <v>0</v>
      </c>
    </row>
    <row r="490" spans="1:4" x14ac:dyDescent="0.25">
      <c r="A490" s="2">
        <v>487</v>
      </c>
      <c r="B490" s="7">
        <v>0</v>
      </c>
      <c r="C490" s="7">
        <v>1.1985400000000001E-9</v>
      </c>
      <c r="D490" s="7">
        <v>0</v>
      </c>
    </row>
    <row r="491" spans="1:4" x14ac:dyDescent="0.25">
      <c r="A491" s="2">
        <v>488</v>
      </c>
      <c r="B491" s="7">
        <v>0</v>
      </c>
      <c r="C491" s="7">
        <v>1.1505999999999999E-9</v>
      </c>
      <c r="D491" s="7">
        <v>0</v>
      </c>
    </row>
    <row r="492" spans="1:4" x14ac:dyDescent="0.25">
      <c r="A492" s="2">
        <v>489</v>
      </c>
      <c r="B492" s="7">
        <v>0</v>
      </c>
      <c r="C492" s="7">
        <v>1.10457E-9</v>
      </c>
      <c r="D492" s="7">
        <v>0</v>
      </c>
    </row>
    <row r="493" spans="1:4" x14ac:dyDescent="0.25">
      <c r="A493" s="2">
        <v>490</v>
      </c>
      <c r="B493" s="7">
        <v>0</v>
      </c>
      <c r="C493" s="7">
        <v>1.0603900000000001E-9</v>
      </c>
      <c r="D493" s="7">
        <v>0</v>
      </c>
    </row>
    <row r="494" spans="1:4" x14ac:dyDescent="0.25">
      <c r="A494" s="2">
        <v>491</v>
      </c>
      <c r="B494" s="7">
        <v>0</v>
      </c>
      <c r="C494" s="7">
        <v>1.0179699999999999E-9</v>
      </c>
      <c r="D494" s="7">
        <v>0</v>
      </c>
    </row>
    <row r="495" spans="1:4" x14ac:dyDescent="0.25">
      <c r="A495" s="2">
        <v>492</v>
      </c>
      <c r="B495" s="7">
        <v>0</v>
      </c>
      <c r="C495" s="7">
        <v>9.7725500000000005E-10</v>
      </c>
      <c r="D495" s="7">
        <v>0</v>
      </c>
    </row>
    <row r="496" spans="1:4" x14ac:dyDescent="0.25">
      <c r="A496" s="2">
        <v>493</v>
      </c>
      <c r="B496" s="7">
        <v>0</v>
      </c>
      <c r="C496" s="7">
        <v>9.3816499999999993E-10</v>
      </c>
      <c r="D496" s="7">
        <v>0</v>
      </c>
    </row>
    <row r="497" spans="1:4" x14ac:dyDescent="0.25">
      <c r="A497" s="2">
        <v>494</v>
      </c>
      <c r="B497" s="7">
        <v>0</v>
      </c>
      <c r="C497" s="7">
        <v>9.0063799999999999E-10</v>
      </c>
      <c r="D497" s="7">
        <v>0</v>
      </c>
    </row>
    <row r="498" spans="1:4" x14ac:dyDescent="0.25">
      <c r="A498" s="2">
        <v>495</v>
      </c>
      <c r="B498" s="7">
        <v>0</v>
      </c>
      <c r="C498" s="7">
        <v>8.64613E-10</v>
      </c>
      <c r="D498" s="7">
        <v>0</v>
      </c>
    </row>
    <row r="499" spans="1:4" x14ac:dyDescent="0.25">
      <c r="A499" s="2">
        <v>496</v>
      </c>
      <c r="B499" s="7">
        <v>0</v>
      </c>
      <c r="C499" s="7">
        <v>8.3002799999999996E-10</v>
      </c>
      <c r="D499" s="7">
        <v>0</v>
      </c>
    </row>
    <row r="500" spans="1:4" x14ac:dyDescent="0.25">
      <c r="A500" s="2">
        <v>497</v>
      </c>
      <c r="B500" s="7">
        <v>0</v>
      </c>
      <c r="C500" s="7">
        <v>7.96827E-10</v>
      </c>
      <c r="D500" s="7">
        <v>0</v>
      </c>
    </row>
    <row r="501" spans="1:4" x14ac:dyDescent="0.25">
      <c r="A501" s="2">
        <v>498</v>
      </c>
      <c r="B501" s="7">
        <v>0</v>
      </c>
      <c r="C501" s="7">
        <v>7.6495399999999996E-10</v>
      </c>
      <c r="D501" s="7">
        <v>0</v>
      </c>
    </row>
    <row r="502" spans="1:4" x14ac:dyDescent="0.25">
      <c r="A502" s="2">
        <v>499</v>
      </c>
      <c r="B502" s="7">
        <v>0</v>
      </c>
      <c r="C502" s="7">
        <v>7.34356E-10</v>
      </c>
      <c r="D502" s="7">
        <v>0</v>
      </c>
    </row>
    <row r="503" spans="1:4" x14ac:dyDescent="0.25">
      <c r="A503" s="2">
        <v>500</v>
      </c>
      <c r="B503" s="7">
        <v>0</v>
      </c>
      <c r="C503" s="7">
        <v>7.04982E-10</v>
      </c>
      <c r="D503" s="7">
        <v>0</v>
      </c>
    </row>
    <row r="504" spans="1:4" x14ac:dyDescent="0.25">
      <c r="A504" s="2">
        <v>501</v>
      </c>
      <c r="B504" s="7">
        <v>0</v>
      </c>
      <c r="C504" s="7">
        <v>6.7678200000000003E-10</v>
      </c>
      <c r="D504" s="7">
        <v>0</v>
      </c>
    </row>
    <row r="505" spans="1:4" x14ac:dyDescent="0.25">
      <c r="A505" s="2">
        <v>502</v>
      </c>
      <c r="B505" s="7">
        <v>0</v>
      </c>
      <c r="C505" s="7">
        <v>6.4971100000000003E-10</v>
      </c>
      <c r="D505" s="7">
        <v>0</v>
      </c>
    </row>
    <row r="506" spans="1:4" x14ac:dyDescent="0.25">
      <c r="A506" s="2">
        <v>503</v>
      </c>
      <c r="B506" s="7">
        <v>0</v>
      </c>
      <c r="C506" s="7">
        <v>6.2372300000000002E-10</v>
      </c>
      <c r="D506" s="7">
        <v>0</v>
      </c>
    </row>
    <row r="507" spans="1:4" x14ac:dyDescent="0.25">
      <c r="A507" s="2">
        <v>504</v>
      </c>
      <c r="B507" s="7">
        <v>0</v>
      </c>
      <c r="C507" s="7">
        <v>5.9877400000000003E-10</v>
      </c>
      <c r="D507" s="7">
        <v>0</v>
      </c>
    </row>
    <row r="508" spans="1:4" x14ac:dyDescent="0.25">
      <c r="A508" s="2">
        <v>505</v>
      </c>
      <c r="B508" s="7">
        <v>0</v>
      </c>
      <c r="C508" s="7">
        <v>5.7482300000000001E-10</v>
      </c>
      <c r="D508" s="7">
        <v>0</v>
      </c>
    </row>
    <row r="509" spans="1:4" x14ac:dyDescent="0.25">
      <c r="A509" s="2">
        <v>506</v>
      </c>
      <c r="B509" s="7">
        <v>0</v>
      </c>
      <c r="C509" s="7">
        <v>5.5183000000000005E-10</v>
      </c>
      <c r="D509" s="7">
        <v>0</v>
      </c>
    </row>
    <row r="510" spans="1:4" x14ac:dyDescent="0.25">
      <c r="A510" s="2">
        <v>507</v>
      </c>
      <c r="B510" s="7">
        <v>0</v>
      </c>
      <c r="C510" s="7">
        <v>5.2975700000000001E-10</v>
      </c>
      <c r="D510" s="7">
        <v>0</v>
      </c>
    </row>
    <row r="511" spans="1:4" x14ac:dyDescent="0.25">
      <c r="A511" s="2">
        <v>508</v>
      </c>
      <c r="B511" s="7">
        <v>0</v>
      </c>
      <c r="C511" s="7">
        <v>5.08566E-10</v>
      </c>
      <c r="D511" s="7">
        <v>0</v>
      </c>
    </row>
    <row r="512" spans="1:4" x14ac:dyDescent="0.25">
      <c r="A512" s="2">
        <v>509</v>
      </c>
      <c r="B512" s="7">
        <v>0</v>
      </c>
      <c r="C512" s="7">
        <v>4.8822400000000003E-10</v>
      </c>
      <c r="D512" s="7">
        <v>0</v>
      </c>
    </row>
    <row r="513" spans="1:4" x14ac:dyDescent="0.25">
      <c r="A513" s="2">
        <v>510</v>
      </c>
      <c r="B513" s="7">
        <v>0</v>
      </c>
      <c r="C513" s="7">
        <v>4.68695E-10</v>
      </c>
      <c r="D513" s="7">
        <v>0</v>
      </c>
    </row>
    <row r="514" spans="1:4" x14ac:dyDescent="0.25">
      <c r="A514" s="2">
        <v>511</v>
      </c>
      <c r="B514" s="7">
        <v>0</v>
      </c>
      <c r="C514" s="7">
        <v>4.4994700000000001E-10</v>
      </c>
      <c r="D514" s="7">
        <v>0</v>
      </c>
    </row>
    <row r="515" spans="1:4" x14ac:dyDescent="0.25">
      <c r="A515" s="2">
        <v>512</v>
      </c>
      <c r="B515" s="7">
        <v>0</v>
      </c>
      <c r="C515" s="7">
        <v>4.3194899999999998E-10</v>
      </c>
      <c r="D515" s="7">
        <v>0</v>
      </c>
    </row>
    <row r="516" spans="1:4" x14ac:dyDescent="0.25">
      <c r="A516" s="2">
        <v>513</v>
      </c>
      <c r="B516" s="7">
        <v>0</v>
      </c>
      <c r="C516" s="7">
        <v>4.1467099999999998E-10</v>
      </c>
      <c r="D516" s="7">
        <v>0</v>
      </c>
    </row>
    <row r="517" spans="1:4" x14ac:dyDescent="0.25">
      <c r="A517" s="2">
        <v>514</v>
      </c>
      <c r="B517" s="7">
        <v>0</v>
      </c>
      <c r="C517" s="7">
        <v>3.9808400000000002E-10</v>
      </c>
      <c r="D517" s="7">
        <v>0</v>
      </c>
    </row>
    <row r="518" spans="1:4" x14ac:dyDescent="0.25">
      <c r="A518" s="2">
        <v>515</v>
      </c>
      <c r="B518" s="7">
        <v>0</v>
      </c>
      <c r="C518" s="7">
        <v>3.8216100000000001E-10</v>
      </c>
      <c r="D518" s="7">
        <v>0</v>
      </c>
    </row>
    <row r="519" spans="1:4" x14ac:dyDescent="0.25">
      <c r="A519" s="2">
        <v>516</v>
      </c>
      <c r="B519" s="7">
        <v>0</v>
      </c>
      <c r="C519" s="7">
        <v>3.6687499999999999E-10</v>
      </c>
      <c r="D519" s="7">
        <v>0</v>
      </c>
    </row>
    <row r="520" spans="1:4" x14ac:dyDescent="0.25">
      <c r="A520" s="2">
        <v>517</v>
      </c>
      <c r="B520" s="7">
        <v>0</v>
      </c>
      <c r="C520" s="7">
        <v>3.5219999999999998E-10</v>
      </c>
      <c r="D520" s="7">
        <v>0</v>
      </c>
    </row>
    <row r="521" spans="1:4" x14ac:dyDescent="0.25">
      <c r="A521" s="2">
        <v>518</v>
      </c>
      <c r="B521" s="7">
        <v>0</v>
      </c>
      <c r="C521" s="7">
        <v>3.38112E-10</v>
      </c>
      <c r="D521" s="7">
        <v>0</v>
      </c>
    </row>
    <row r="522" spans="1:4" x14ac:dyDescent="0.25">
      <c r="A522" s="2">
        <v>519</v>
      </c>
      <c r="B522" s="7">
        <v>0</v>
      </c>
      <c r="C522" s="7">
        <v>3.2458699999999999E-10</v>
      </c>
      <c r="D522" s="7">
        <v>0</v>
      </c>
    </row>
    <row r="523" spans="1:4" x14ac:dyDescent="0.25">
      <c r="A523" s="2">
        <v>520</v>
      </c>
      <c r="B523" s="7">
        <v>0</v>
      </c>
      <c r="C523" s="7">
        <v>3.1160400000000002E-10</v>
      </c>
      <c r="D523" s="7">
        <v>0</v>
      </c>
    </row>
    <row r="524" spans="1:4" x14ac:dyDescent="0.25">
      <c r="A524" s="2">
        <v>521</v>
      </c>
      <c r="B524" s="7">
        <v>0</v>
      </c>
      <c r="C524" s="7">
        <v>2.99139E-10</v>
      </c>
      <c r="D524" s="7">
        <v>0</v>
      </c>
    </row>
    <row r="525" spans="1:4" x14ac:dyDescent="0.25">
      <c r="A525" s="2">
        <v>522</v>
      </c>
      <c r="B525" s="7">
        <v>0</v>
      </c>
      <c r="C525" s="7">
        <v>2.8717399999999998E-10</v>
      </c>
      <c r="D525" s="7">
        <v>0</v>
      </c>
    </row>
    <row r="526" spans="1:4" x14ac:dyDescent="0.25">
      <c r="A526" s="2">
        <v>523</v>
      </c>
      <c r="B526" s="7">
        <v>0</v>
      </c>
      <c r="C526" s="7">
        <v>2.7568699999999998E-10</v>
      </c>
      <c r="D526" s="7">
        <v>0</v>
      </c>
    </row>
    <row r="527" spans="1:4" x14ac:dyDescent="0.25">
      <c r="A527" s="2">
        <v>524</v>
      </c>
      <c r="B527" s="7">
        <v>0</v>
      </c>
      <c r="C527" s="7">
        <v>2.6465899999999999E-10</v>
      </c>
      <c r="D527" s="7">
        <v>0</v>
      </c>
    </row>
    <row r="528" spans="1:4" x14ac:dyDescent="0.25">
      <c r="A528" s="2">
        <v>525</v>
      </c>
      <c r="B528" s="7">
        <v>0</v>
      </c>
      <c r="C528" s="7">
        <v>2.5407300000000001E-10</v>
      </c>
      <c r="D528" s="7">
        <v>0</v>
      </c>
    </row>
    <row r="529" spans="1:4" x14ac:dyDescent="0.25">
      <c r="A529" s="2">
        <v>526</v>
      </c>
      <c r="B529" s="7">
        <v>0</v>
      </c>
      <c r="C529" s="7">
        <v>2.4390999999999999E-10</v>
      </c>
      <c r="D529" s="7">
        <v>0</v>
      </c>
    </row>
    <row r="530" spans="1:4" x14ac:dyDescent="0.25">
      <c r="A530" s="2">
        <v>527</v>
      </c>
      <c r="B530" s="7">
        <v>0</v>
      </c>
      <c r="C530" s="7">
        <v>2.34154E-10</v>
      </c>
      <c r="D530" s="7">
        <v>0</v>
      </c>
    </row>
    <row r="531" spans="1:4" x14ac:dyDescent="0.25">
      <c r="A531" s="2">
        <v>528</v>
      </c>
      <c r="B531" s="7">
        <v>0</v>
      </c>
      <c r="C531" s="7">
        <v>2.2478799999999999E-10</v>
      </c>
      <c r="D531" s="7">
        <v>0</v>
      </c>
    </row>
    <row r="532" spans="1:4" x14ac:dyDescent="0.25">
      <c r="A532" s="2">
        <v>529</v>
      </c>
      <c r="B532" s="7">
        <v>0</v>
      </c>
      <c r="C532" s="7">
        <v>2.1579600000000001E-10</v>
      </c>
      <c r="D532" s="7">
        <v>0</v>
      </c>
    </row>
    <row r="533" spans="1:4" x14ac:dyDescent="0.25">
      <c r="A533" s="2">
        <v>530</v>
      </c>
      <c r="B533" s="7">
        <v>0</v>
      </c>
      <c r="C533" s="7">
        <v>2.0716399999999999E-10</v>
      </c>
      <c r="D533" s="7">
        <v>0</v>
      </c>
    </row>
    <row r="534" spans="1:4" x14ac:dyDescent="0.25">
      <c r="A534" s="2">
        <v>531</v>
      </c>
      <c r="B534" s="7">
        <v>0</v>
      </c>
      <c r="C534" s="7">
        <v>1.98878E-10</v>
      </c>
      <c r="D534" s="7">
        <v>0</v>
      </c>
    </row>
    <row r="535" spans="1:4" x14ac:dyDescent="0.25">
      <c r="A535" s="2">
        <v>532</v>
      </c>
      <c r="B535" s="7">
        <v>0</v>
      </c>
      <c r="C535" s="7">
        <v>1.90923E-10</v>
      </c>
      <c r="D535" s="7">
        <v>0</v>
      </c>
    </row>
    <row r="536" spans="1:4" x14ac:dyDescent="0.25">
      <c r="A536" s="2">
        <v>533</v>
      </c>
      <c r="B536" s="7">
        <v>0</v>
      </c>
      <c r="C536" s="7">
        <v>1.8328600000000001E-10</v>
      </c>
      <c r="D536" s="7">
        <v>0</v>
      </c>
    </row>
    <row r="537" spans="1:4" x14ac:dyDescent="0.25">
      <c r="A537" s="2">
        <v>534</v>
      </c>
      <c r="B537" s="7">
        <v>0</v>
      </c>
      <c r="C537" s="7">
        <v>1.7595400000000001E-10</v>
      </c>
      <c r="D537" s="7">
        <v>0</v>
      </c>
    </row>
    <row r="538" spans="1:4" x14ac:dyDescent="0.25">
      <c r="A538" s="2">
        <v>535</v>
      </c>
      <c r="B538" s="7">
        <v>0</v>
      </c>
      <c r="C538" s="7">
        <v>1.6891599999999999E-10</v>
      </c>
      <c r="D538" s="7">
        <v>0</v>
      </c>
    </row>
    <row r="539" spans="1:4" x14ac:dyDescent="0.25">
      <c r="A539" s="2">
        <v>536</v>
      </c>
      <c r="B539" s="7">
        <v>0</v>
      </c>
      <c r="C539" s="7">
        <v>1.62159E-10</v>
      </c>
      <c r="D539" s="7">
        <v>0</v>
      </c>
    </row>
    <row r="540" spans="1:4" x14ac:dyDescent="0.25">
      <c r="A540" s="2">
        <v>537</v>
      </c>
      <c r="B540" s="7">
        <v>0</v>
      </c>
      <c r="C540" s="7">
        <v>1.5567299999999999E-10</v>
      </c>
      <c r="D540" s="7">
        <v>0</v>
      </c>
    </row>
    <row r="541" spans="1:4" x14ac:dyDescent="0.25">
      <c r="A541" s="2">
        <v>538</v>
      </c>
      <c r="B541" s="7">
        <v>0</v>
      </c>
      <c r="C541" s="7">
        <v>1.49446E-10</v>
      </c>
      <c r="D541" s="7">
        <v>0</v>
      </c>
    </row>
    <row r="542" spans="1:4" x14ac:dyDescent="0.25">
      <c r="A542" s="2">
        <v>539</v>
      </c>
      <c r="B542" s="7">
        <v>0</v>
      </c>
      <c r="C542" s="7">
        <v>1.4346800000000001E-10</v>
      </c>
      <c r="D542" s="7">
        <v>0</v>
      </c>
    </row>
    <row r="543" spans="1:4" x14ac:dyDescent="0.25">
      <c r="A543" s="2">
        <v>540</v>
      </c>
      <c r="B543" s="7">
        <v>0</v>
      </c>
      <c r="C543" s="7">
        <v>1.3773E-10</v>
      </c>
      <c r="D543" s="7">
        <v>0</v>
      </c>
    </row>
    <row r="544" spans="1:4" x14ac:dyDescent="0.25">
      <c r="A544" s="2">
        <v>541</v>
      </c>
      <c r="B544" s="7">
        <v>0</v>
      </c>
      <c r="C544" s="7">
        <v>1.3222000000000001E-10</v>
      </c>
      <c r="D544" s="7">
        <v>0</v>
      </c>
    </row>
    <row r="545" spans="1:4" x14ac:dyDescent="0.25">
      <c r="A545" s="2">
        <v>542</v>
      </c>
      <c r="B545" s="7">
        <v>0</v>
      </c>
      <c r="C545" s="7">
        <v>1.2693200000000001E-10</v>
      </c>
      <c r="D545" s="7">
        <v>0</v>
      </c>
    </row>
    <row r="546" spans="1:4" x14ac:dyDescent="0.25">
      <c r="A546" s="2">
        <v>543</v>
      </c>
      <c r="B546" s="7">
        <v>0</v>
      </c>
      <c r="C546" s="7">
        <v>1.2185400000000001E-10</v>
      </c>
      <c r="D546" s="7">
        <v>0</v>
      </c>
    </row>
    <row r="547" spans="1:4" x14ac:dyDescent="0.25">
      <c r="A547" s="2">
        <v>544</v>
      </c>
      <c r="B547" s="7">
        <v>0</v>
      </c>
      <c r="C547" s="7">
        <v>1.1697999999999999E-10</v>
      </c>
      <c r="D547" s="7">
        <v>0</v>
      </c>
    </row>
    <row r="548" spans="1:4" x14ac:dyDescent="0.25">
      <c r="A548" s="2">
        <v>545</v>
      </c>
      <c r="B548" s="7">
        <v>0</v>
      </c>
      <c r="C548" s="7">
        <v>1.12301E-10</v>
      </c>
      <c r="D548" s="7">
        <v>0</v>
      </c>
    </row>
    <row r="549" spans="1:4" x14ac:dyDescent="0.25">
      <c r="A549" s="2">
        <v>546</v>
      </c>
      <c r="B549" s="7">
        <v>0</v>
      </c>
      <c r="C549" s="7">
        <v>1.07809E-10</v>
      </c>
      <c r="D549" s="7">
        <v>0</v>
      </c>
    </row>
    <row r="550" spans="1:4" x14ac:dyDescent="0.25">
      <c r="A550" s="2">
        <v>547</v>
      </c>
      <c r="B550" s="7">
        <v>0</v>
      </c>
      <c r="C550" s="7">
        <v>1.03497E-10</v>
      </c>
      <c r="D550" s="7">
        <v>0</v>
      </c>
    </row>
    <row r="551" spans="1:4" x14ac:dyDescent="0.25">
      <c r="A551" s="2">
        <v>548</v>
      </c>
      <c r="B551" s="7">
        <v>0</v>
      </c>
      <c r="C551" s="7">
        <v>9.9356700000000001E-11</v>
      </c>
      <c r="D551" s="7">
        <v>0</v>
      </c>
    </row>
    <row r="552" spans="1:4" x14ac:dyDescent="0.25">
      <c r="A552" s="2">
        <v>549</v>
      </c>
      <c r="B552" s="7">
        <v>0</v>
      </c>
      <c r="C552" s="7">
        <v>9.53824E-11</v>
      </c>
      <c r="D552" s="7">
        <v>0</v>
      </c>
    </row>
    <row r="553" spans="1:4" x14ac:dyDescent="0.25">
      <c r="A553" s="2">
        <v>550</v>
      </c>
      <c r="B553" s="7">
        <v>0</v>
      </c>
      <c r="C553" s="7">
        <v>9.1567100000000006E-11</v>
      </c>
      <c r="D553" s="7">
        <v>0</v>
      </c>
    </row>
    <row r="554" spans="1:4" x14ac:dyDescent="0.25">
      <c r="A554" s="2">
        <v>551</v>
      </c>
      <c r="B554" s="7">
        <v>0</v>
      </c>
      <c r="C554" s="7">
        <v>8.7904399999999995E-11</v>
      </c>
      <c r="D554" s="7">
        <v>0</v>
      </c>
    </row>
    <row r="555" spans="1:4" x14ac:dyDescent="0.25">
      <c r="A555" s="2">
        <v>552</v>
      </c>
      <c r="B555" s="7">
        <v>0</v>
      </c>
      <c r="C555" s="7">
        <v>8.43882E-11</v>
      </c>
      <c r="D555" s="7">
        <v>0</v>
      </c>
    </row>
    <row r="556" spans="1:4" x14ac:dyDescent="0.25">
      <c r="A556" s="2">
        <v>553</v>
      </c>
      <c r="B556" s="7">
        <v>0</v>
      </c>
      <c r="C556" s="7">
        <v>8.1012699999999995E-11</v>
      </c>
      <c r="D556" s="7">
        <v>0</v>
      </c>
    </row>
    <row r="557" spans="1:4" x14ac:dyDescent="0.25">
      <c r="A557" s="2">
        <v>554</v>
      </c>
      <c r="B557" s="7">
        <v>0</v>
      </c>
      <c r="C557" s="7">
        <v>7.7772199999999997E-11</v>
      </c>
      <c r="D557" s="7">
        <v>0</v>
      </c>
    </row>
    <row r="558" spans="1:4" x14ac:dyDescent="0.25">
      <c r="A558" s="2">
        <v>555</v>
      </c>
      <c r="B558" s="7">
        <v>0</v>
      </c>
      <c r="C558" s="7">
        <v>7.4661300000000005E-11</v>
      </c>
      <c r="D558" s="7">
        <v>0</v>
      </c>
    </row>
    <row r="559" spans="1:4" x14ac:dyDescent="0.25">
      <c r="A559" s="2">
        <v>556</v>
      </c>
      <c r="B559" s="7">
        <v>0</v>
      </c>
      <c r="C559" s="7">
        <v>7.1674899999999995E-11</v>
      </c>
      <c r="D559" s="7">
        <v>0</v>
      </c>
    </row>
    <row r="560" spans="1:4" x14ac:dyDescent="0.25">
      <c r="A560" s="2">
        <v>557</v>
      </c>
      <c r="B560" s="7">
        <v>0</v>
      </c>
      <c r="C560" s="7">
        <v>6.8807899999999996E-11</v>
      </c>
      <c r="D560" s="7">
        <v>0</v>
      </c>
    </row>
    <row r="561" spans="1:4" x14ac:dyDescent="0.25">
      <c r="A561" s="2">
        <v>558</v>
      </c>
      <c r="B561" s="7">
        <v>0</v>
      </c>
      <c r="C561" s="7">
        <v>6.6055599999999996E-11</v>
      </c>
      <c r="D561" s="7">
        <v>0</v>
      </c>
    </row>
    <row r="562" spans="1:4" x14ac:dyDescent="0.25">
      <c r="A562" s="2">
        <v>559</v>
      </c>
      <c r="B562" s="7">
        <v>0</v>
      </c>
      <c r="C562" s="7">
        <v>6.3413299999999996E-11</v>
      </c>
      <c r="D562" s="7">
        <v>0</v>
      </c>
    </row>
    <row r="563" spans="1:4" x14ac:dyDescent="0.25">
      <c r="A563" s="2">
        <v>560</v>
      </c>
      <c r="B563" s="7">
        <v>0</v>
      </c>
      <c r="C563" s="7">
        <v>6.0876800000000002E-11</v>
      </c>
      <c r="D563" s="7">
        <v>0</v>
      </c>
    </row>
    <row r="564" spans="1:4" x14ac:dyDescent="0.25">
      <c r="A564" s="2">
        <v>561</v>
      </c>
      <c r="B564" s="7">
        <v>0</v>
      </c>
      <c r="C564" s="7">
        <v>5.8441700000000006E-11</v>
      </c>
      <c r="D564" s="7">
        <v>0</v>
      </c>
    </row>
    <row r="565" spans="1:4" x14ac:dyDescent="0.25">
      <c r="A565" s="2">
        <v>562</v>
      </c>
      <c r="B565" s="7">
        <v>0</v>
      </c>
      <c r="C565" s="7">
        <v>5.61041E-11</v>
      </c>
      <c r="D565" s="7">
        <v>0</v>
      </c>
    </row>
    <row r="566" spans="1:4" x14ac:dyDescent="0.25">
      <c r="A566" s="2">
        <v>563</v>
      </c>
      <c r="B566" s="7">
        <v>0</v>
      </c>
      <c r="C566" s="7">
        <v>5.3859900000000002E-11</v>
      </c>
      <c r="D566" s="7">
        <v>0</v>
      </c>
    </row>
    <row r="567" spans="1:4" x14ac:dyDescent="0.25">
      <c r="A567" s="2">
        <v>564</v>
      </c>
      <c r="B567" s="7">
        <v>0</v>
      </c>
      <c r="C567" s="7">
        <v>5.1705500000000002E-11</v>
      </c>
      <c r="D567" s="7">
        <v>0</v>
      </c>
    </row>
    <row r="568" spans="1:4" x14ac:dyDescent="0.25">
      <c r="A568" s="2">
        <v>565</v>
      </c>
      <c r="B568" s="7">
        <v>0</v>
      </c>
      <c r="C568" s="7">
        <v>4.9637300000000001E-11</v>
      </c>
      <c r="D568" s="7">
        <v>0</v>
      </c>
    </row>
    <row r="569" spans="1:4" x14ac:dyDescent="0.25">
      <c r="A569" s="2">
        <v>566</v>
      </c>
      <c r="B569" s="7">
        <v>0</v>
      </c>
      <c r="C569" s="7">
        <v>4.7651799999999997E-11</v>
      </c>
      <c r="D569" s="7">
        <v>0</v>
      </c>
    </row>
    <row r="570" spans="1:4" x14ac:dyDescent="0.25">
      <c r="A570" s="2">
        <v>567</v>
      </c>
      <c r="B570" s="7">
        <v>0</v>
      </c>
      <c r="C570" s="7">
        <v>4.5745700000000003E-11</v>
      </c>
      <c r="D570" s="7">
        <v>0</v>
      </c>
    </row>
    <row r="571" spans="1:4" x14ac:dyDescent="0.25">
      <c r="A571" s="2">
        <v>568</v>
      </c>
      <c r="B571" s="7">
        <v>0</v>
      </c>
      <c r="C571" s="7">
        <v>4.39159E-11</v>
      </c>
      <c r="D571" s="7">
        <v>0</v>
      </c>
    </row>
    <row r="572" spans="1:4" x14ac:dyDescent="0.25">
      <c r="A572" s="2">
        <v>569</v>
      </c>
      <c r="B572" s="7">
        <v>0</v>
      </c>
      <c r="C572" s="7">
        <v>4.2159300000000003E-11</v>
      </c>
      <c r="D572" s="7">
        <v>0</v>
      </c>
    </row>
    <row r="573" spans="1:4" x14ac:dyDescent="0.25">
      <c r="A573" s="2">
        <v>570</v>
      </c>
      <c r="B573" s="7">
        <v>0</v>
      </c>
      <c r="C573" s="7">
        <v>4.0472899999999997E-11</v>
      </c>
      <c r="D573" s="7">
        <v>0</v>
      </c>
    </row>
    <row r="574" spans="1:4" x14ac:dyDescent="0.25">
      <c r="A574" s="2">
        <v>571</v>
      </c>
      <c r="B574" s="7">
        <v>0</v>
      </c>
      <c r="C574" s="7">
        <v>3.8854000000000002E-11</v>
      </c>
      <c r="D574" s="7">
        <v>0</v>
      </c>
    </row>
    <row r="575" spans="1:4" x14ac:dyDescent="0.25">
      <c r="A575" s="2">
        <v>572</v>
      </c>
      <c r="B575" s="7">
        <v>0</v>
      </c>
      <c r="C575" s="7">
        <v>3.7299799999999997E-11</v>
      </c>
      <c r="D575" s="7">
        <v>0</v>
      </c>
    </row>
    <row r="576" spans="1:4" x14ac:dyDescent="0.25">
      <c r="A576" s="2">
        <v>573</v>
      </c>
      <c r="B576" s="7">
        <v>0</v>
      </c>
      <c r="C576" s="7">
        <v>3.58078E-11</v>
      </c>
      <c r="D576" s="7">
        <v>0</v>
      </c>
    </row>
    <row r="577" spans="1:4" x14ac:dyDescent="0.25">
      <c r="A577" s="2">
        <v>574</v>
      </c>
      <c r="B577" s="7">
        <v>0</v>
      </c>
      <c r="C577" s="7">
        <v>3.4375500000000002E-11</v>
      </c>
      <c r="D577" s="7">
        <v>0</v>
      </c>
    </row>
    <row r="578" spans="1:4" x14ac:dyDescent="0.25">
      <c r="A578" s="2">
        <v>575</v>
      </c>
      <c r="B578" s="7">
        <v>0</v>
      </c>
      <c r="C578" s="7">
        <v>3.30005E-11</v>
      </c>
      <c r="D578" s="7">
        <v>0</v>
      </c>
    </row>
    <row r="579" spans="1:4" x14ac:dyDescent="0.25">
      <c r="A579" s="2">
        <v>576</v>
      </c>
      <c r="B579" s="7">
        <v>0</v>
      </c>
      <c r="C579" s="7">
        <v>3.1680499999999999E-11</v>
      </c>
      <c r="D579" s="7">
        <v>0</v>
      </c>
    </row>
    <row r="580" spans="1:4" x14ac:dyDescent="0.25">
      <c r="A580" s="2">
        <v>577</v>
      </c>
      <c r="B580" s="7">
        <v>0</v>
      </c>
      <c r="C580" s="7">
        <v>3.0413200000000001E-11</v>
      </c>
      <c r="D580" s="7">
        <v>0</v>
      </c>
    </row>
    <row r="581" spans="1:4" x14ac:dyDescent="0.25">
      <c r="A581" s="2">
        <v>578</v>
      </c>
      <c r="B581" s="7">
        <v>0</v>
      </c>
      <c r="C581" s="7">
        <v>2.9196700000000001E-11</v>
      </c>
      <c r="D581" s="7">
        <v>0</v>
      </c>
    </row>
    <row r="582" spans="1:4" x14ac:dyDescent="0.25">
      <c r="A582" s="2">
        <v>579</v>
      </c>
      <c r="B582" s="7">
        <v>0</v>
      </c>
      <c r="C582" s="7">
        <v>2.8028800000000001E-11</v>
      </c>
      <c r="D582" s="7">
        <v>0</v>
      </c>
    </row>
    <row r="583" spans="1:4" x14ac:dyDescent="0.25">
      <c r="A583" s="2">
        <v>580</v>
      </c>
      <c r="B583" s="7">
        <v>0</v>
      </c>
      <c r="C583" s="7">
        <v>2.6907700000000001E-11</v>
      </c>
      <c r="D583" s="7">
        <v>0</v>
      </c>
    </row>
    <row r="584" spans="1:4" x14ac:dyDescent="0.25">
      <c r="A584" s="2">
        <v>581</v>
      </c>
      <c r="B584" s="7">
        <v>0</v>
      </c>
      <c r="C584" s="7">
        <v>2.58314E-11</v>
      </c>
      <c r="D584" s="7">
        <v>0</v>
      </c>
    </row>
    <row r="585" spans="1:4" x14ac:dyDescent="0.25">
      <c r="A585" s="2">
        <v>582</v>
      </c>
      <c r="B585" s="7">
        <v>0</v>
      </c>
      <c r="C585" s="7">
        <v>2.47981E-11</v>
      </c>
      <c r="D585" s="7">
        <v>0</v>
      </c>
    </row>
    <row r="586" spans="1:4" x14ac:dyDescent="0.25">
      <c r="A586" s="2">
        <v>583</v>
      </c>
      <c r="B586" s="7">
        <v>0</v>
      </c>
      <c r="C586" s="7">
        <v>2.38062E-11</v>
      </c>
      <c r="D586" s="7">
        <v>0</v>
      </c>
    </row>
    <row r="587" spans="1:4" x14ac:dyDescent="0.25">
      <c r="A587" s="2">
        <v>584</v>
      </c>
      <c r="B587" s="7">
        <v>0</v>
      </c>
      <c r="C587" s="7">
        <v>2.2853999999999999E-11</v>
      </c>
      <c r="D587" s="7">
        <v>0</v>
      </c>
    </row>
    <row r="588" spans="1:4" x14ac:dyDescent="0.25">
      <c r="A588" s="2">
        <v>585</v>
      </c>
      <c r="B588" s="7">
        <v>0</v>
      </c>
      <c r="C588" s="7">
        <v>2.1939800000000001E-11</v>
      </c>
      <c r="D588" s="7">
        <v>0</v>
      </c>
    </row>
    <row r="589" spans="1:4" x14ac:dyDescent="0.25">
      <c r="A589" s="2">
        <v>586</v>
      </c>
      <c r="B589" s="7">
        <v>0</v>
      </c>
      <c r="C589" s="7">
        <v>2.10622E-11</v>
      </c>
      <c r="D589" s="7">
        <v>0</v>
      </c>
    </row>
    <row r="590" spans="1:4" x14ac:dyDescent="0.25">
      <c r="A590" s="2">
        <v>587</v>
      </c>
      <c r="B590" s="7">
        <v>0</v>
      </c>
      <c r="C590" s="7">
        <v>2.02197E-11</v>
      </c>
      <c r="D590" s="7">
        <v>0</v>
      </c>
    </row>
    <row r="591" spans="1:4" x14ac:dyDescent="0.25">
      <c r="A591" s="2">
        <v>588</v>
      </c>
      <c r="B591" s="7">
        <v>0</v>
      </c>
      <c r="C591" s="7">
        <v>1.94109E-11</v>
      </c>
      <c r="D591" s="7">
        <v>0</v>
      </c>
    </row>
    <row r="592" spans="1:4" x14ac:dyDescent="0.25">
      <c r="A592" s="2">
        <v>589</v>
      </c>
      <c r="B592" s="7">
        <v>0</v>
      </c>
      <c r="C592" s="7">
        <v>1.8634500000000001E-11</v>
      </c>
      <c r="D592" s="7">
        <v>0</v>
      </c>
    </row>
    <row r="593" spans="1:4" x14ac:dyDescent="0.25">
      <c r="A593" s="2">
        <v>590</v>
      </c>
      <c r="B593" s="7">
        <v>0</v>
      </c>
      <c r="C593" s="7">
        <v>1.78891E-11</v>
      </c>
      <c r="D593" s="7">
        <v>0</v>
      </c>
    </row>
    <row r="594" spans="1:4" x14ac:dyDescent="0.25">
      <c r="A594" s="2">
        <v>591</v>
      </c>
      <c r="B594" s="7">
        <v>0</v>
      </c>
      <c r="C594" s="7">
        <v>1.7173500000000001E-11</v>
      </c>
      <c r="D594" s="7">
        <v>0</v>
      </c>
    </row>
    <row r="595" spans="1:4" x14ac:dyDescent="0.25">
      <c r="A595" s="2">
        <v>592</v>
      </c>
      <c r="B595" s="7">
        <v>0</v>
      </c>
      <c r="C595" s="7">
        <v>1.6486600000000001E-11</v>
      </c>
      <c r="D595" s="7">
        <v>0</v>
      </c>
    </row>
    <row r="596" spans="1:4" x14ac:dyDescent="0.25">
      <c r="A596" s="2">
        <v>593</v>
      </c>
      <c r="B596" s="7">
        <v>0</v>
      </c>
      <c r="C596" s="7">
        <v>1.5827100000000001E-11</v>
      </c>
      <c r="D596" s="7">
        <v>0</v>
      </c>
    </row>
    <row r="597" spans="1:4" x14ac:dyDescent="0.25">
      <c r="A597" s="2">
        <v>594</v>
      </c>
      <c r="B597" s="7">
        <v>0</v>
      </c>
      <c r="C597" s="7">
        <v>1.51941E-11</v>
      </c>
      <c r="D597" s="7">
        <v>0</v>
      </c>
    </row>
    <row r="598" spans="1:4" x14ac:dyDescent="0.25">
      <c r="A598" s="2">
        <v>595</v>
      </c>
      <c r="B598" s="7">
        <v>0</v>
      </c>
      <c r="C598" s="7">
        <v>1.4586300000000001E-11</v>
      </c>
      <c r="D598" s="7">
        <v>0</v>
      </c>
    </row>
    <row r="599" spans="1:4" x14ac:dyDescent="0.25">
      <c r="A599" s="2">
        <v>596</v>
      </c>
      <c r="B599" s="7">
        <v>0</v>
      </c>
      <c r="C599" s="7">
        <v>1.4002799999999999E-11</v>
      </c>
      <c r="D599" s="7">
        <v>0</v>
      </c>
    </row>
    <row r="600" spans="1:4" x14ac:dyDescent="0.25">
      <c r="A600" s="2">
        <v>597</v>
      </c>
      <c r="B600" s="7">
        <v>0</v>
      </c>
      <c r="C600" s="7">
        <v>1.34427E-11</v>
      </c>
      <c r="D600" s="7">
        <v>0</v>
      </c>
    </row>
    <row r="601" spans="1:4" x14ac:dyDescent="0.25">
      <c r="A601" s="2">
        <v>598</v>
      </c>
      <c r="B601" s="7">
        <v>0</v>
      </c>
      <c r="C601" s="7">
        <v>1.2905E-11</v>
      </c>
      <c r="D601" s="7">
        <v>0</v>
      </c>
    </row>
    <row r="602" spans="1:4" x14ac:dyDescent="0.25">
      <c r="A602" s="2">
        <v>599</v>
      </c>
      <c r="B602" s="7">
        <v>0</v>
      </c>
      <c r="C602" s="7">
        <v>1.2388800000000001E-11</v>
      </c>
      <c r="D602" s="7">
        <v>0</v>
      </c>
    </row>
    <row r="603" spans="1:4" x14ac:dyDescent="0.25">
      <c r="A603" s="2">
        <v>600</v>
      </c>
      <c r="B603" s="7">
        <v>0</v>
      </c>
      <c r="C603" s="7">
        <v>1.1893300000000001E-11</v>
      </c>
      <c r="D603" s="7">
        <v>0</v>
      </c>
    </row>
    <row r="604" spans="1:4" x14ac:dyDescent="0.25">
      <c r="A604" s="2" t="s">
        <v>29</v>
      </c>
      <c r="B604" s="7">
        <v>5.7899002100000008</v>
      </c>
      <c r="C604" s="7">
        <v>4.4553449626745261</v>
      </c>
      <c r="D604" s="7">
        <v>5.2332446150000003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20D88-E71C-4B8B-BE96-91DF14C6707D}">
  <dimension ref="A3:E604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3" width="12" bestFit="1" customWidth="1"/>
    <col min="4" max="4" width="12.7109375" bestFit="1" customWidth="1"/>
    <col min="5" max="5" width="13.42578125" bestFit="1" customWidth="1"/>
    <col min="6" max="6" width="12.7109375" bestFit="1" customWidth="1"/>
    <col min="7" max="7" width="12" bestFit="1" customWidth="1"/>
  </cols>
  <sheetData>
    <row r="3" spans="1:5" x14ac:dyDescent="0.25">
      <c r="A3" s="1" t="s">
        <v>30</v>
      </c>
      <c r="B3" t="s">
        <v>62</v>
      </c>
      <c r="C3" t="s">
        <v>61</v>
      </c>
      <c r="D3" t="s">
        <v>59</v>
      </c>
      <c r="E3" t="s">
        <v>71</v>
      </c>
    </row>
    <row r="4" spans="1:5" x14ac:dyDescent="0.25">
      <c r="A4" s="2">
        <v>1</v>
      </c>
      <c r="B4" s="7">
        <v>11999.999905824661</v>
      </c>
      <c r="C4" s="7">
        <v>6899.9999105930328</v>
      </c>
      <c r="D4" s="7">
        <v>1285.1770181655884</v>
      </c>
      <c r="E4" s="7">
        <v>3000</v>
      </c>
    </row>
    <row r="5" spans="1:5" x14ac:dyDescent="0.25">
      <c r="A5" s="2">
        <v>2</v>
      </c>
      <c r="B5" s="7">
        <v>11999.999831438065</v>
      </c>
      <c r="C5" s="7">
        <v>7016.7886658906937</v>
      </c>
      <c r="D5" s="7">
        <v>1213.8044500350952</v>
      </c>
      <c r="E5" s="7">
        <v>3000</v>
      </c>
    </row>
    <row r="6" spans="1:5" x14ac:dyDescent="0.25">
      <c r="A6" s="2">
        <v>3</v>
      </c>
      <c r="B6" s="7">
        <v>12000.000033259392</v>
      </c>
      <c r="C6" s="7">
        <v>7024.775673866272</v>
      </c>
      <c r="D6" s="7">
        <v>1228.6140277385712</v>
      </c>
      <c r="E6" s="7">
        <v>3000</v>
      </c>
    </row>
    <row r="7" spans="1:5" x14ac:dyDescent="0.25">
      <c r="A7" s="2">
        <v>4</v>
      </c>
      <c r="B7" s="7">
        <v>12000.003466267586</v>
      </c>
      <c r="C7" s="7">
        <v>7009.1999026536942</v>
      </c>
      <c r="D7" s="7">
        <v>1262.7751463651657</v>
      </c>
      <c r="E7" s="7">
        <v>3000.02</v>
      </c>
    </row>
    <row r="8" spans="1:5" x14ac:dyDescent="0.25">
      <c r="A8" s="2">
        <v>5</v>
      </c>
      <c r="B8" s="7">
        <v>11999.999674115181</v>
      </c>
      <c r="C8" s="7">
        <v>6986.5023907423019</v>
      </c>
      <c r="D8" s="7">
        <v>1301.5748249292374</v>
      </c>
      <c r="E8" s="7">
        <v>3000.91</v>
      </c>
    </row>
    <row r="9" spans="1:5" x14ac:dyDescent="0.25">
      <c r="A9" s="2">
        <v>6</v>
      </c>
      <c r="B9" s="7">
        <v>11999.996114415266</v>
      </c>
      <c r="C9" s="7">
        <v>6965.1534367799759</v>
      </c>
      <c r="D9" s="7">
        <v>1344.4074430465698</v>
      </c>
      <c r="E9" s="7">
        <v>3001.37</v>
      </c>
    </row>
    <row r="10" spans="1:5" x14ac:dyDescent="0.25">
      <c r="A10" s="2">
        <v>7</v>
      </c>
      <c r="B10" s="7">
        <v>11999.997491399412</v>
      </c>
      <c r="C10" s="7">
        <v>6947.1158450841904</v>
      </c>
      <c r="D10" s="7">
        <v>1381.3598763942719</v>
      </c>
      <c r="E10" s="7">
        <v>3001.84</v>
      </c>
    </row>
    <row r="11" spans="1:5" x14ac:dyDescent="0.25">
      <c r="A11" s="2">
        <v>8</v>
      </c>
      <c r="B11" s="7">
        <v>11999.999293049063</v>
      </c>
      <c r="C11" s="7">
        <v>6914.7690137624741</v>
      </c>
      <c r="D11" s="7">
        <v>1433.6391454935074</v>
      </c>
      <c r="E11" s="7">
        <v>3002.32</v>
      </c>
    </row>
    <row r="12" spans="1:5" x14ac:dyDescent="0.25">
      <c r="A12" s="2">
        <v>9</v>
      </c>
      <c r="B12" s="7">
        <v>12000.003521084091</v>
      </c>
      <c r="C12" s="7">
        <v>6889.5401911735535</v>
      </c>
      <c r="D12" s="7">
        <v>1460.4985972642899</v>
      </c>
      <c r="E12" s="7">
        <v>3003.37</v>
      </c>
    </row>
    <row r="13" spans="1:5" x14ac:dyDescent="0.25">
      <c r="A13" s="2">
        <v>10</v>
      </c>
      <c r="B13" s="7">
        <v>11999.997706869653</v>
      </c>
      <c r="C13" s="7">
        <v>6861.3680480718613</v>
      </c>
      <c r="D13" s="7">
        <v>1494.5785433650017</v>
      </c>
      <c r="E13" s="7">
        <v>3004.46</v>
      </c>
    </row>
    <row r="14" spans="1:5" x14ac:dyDescent="0.25">
      <c r="A14" s="2">
        <v>11</v>
      </c>
      <c r="B14" s="7">
        <v>12000.003920538518</v>
      </c>
      <c r="C14" s="7">
        <v>6837.4890151023865</v>
      </c>
      <c r="D14" s="7">
        <v>1530.5266126990318</v>
      </c>
      <c r="E14" s="7">
        <v>3004.71</v>
      </c>
    </row>
    <row r="15" spans="1:5" x14ac:dyDescent="0.25">
      <c r="A15" s="2">
        <v>12</v>
      </c>
      <c r="B15" s="7">
        <v>12000.001715042268</v>
      </c>
      <c r="C15" s="7">
        <v>6817.0416485071182</v>
      </c>
      <c r="D15" s="7">
        <v>1562.7173365950584</v>
      </c>
      <c r="E15" s="7">
        <v>3004.95</v>
      </c>
    </row>
    <row r="16" spans="1:5" x14ac:dyDescent="0.25">
      <c r="A16" s="2">
        <v>13</v>
      </c>
      <c r="B16" s="7">
        <v>12000.00027993963</v>
      </c>
      <c r="C16" s="7">
        <v>6793.6131302118301</v>
      </c>
      <c r="D16" s="7">
        <v>1600.3789388537407</v>
      </c>
      <c r="E16" s="7">
        <v>3005.19</v>
      </c>
    </row>
    <row r="17" spans="1:5" x14ac:dyDescent="0.25">
      <c r="A17" s="2">
        <v>14</v>
      </c>
      <c r="B17" s="7">
        <v>11999.999747812057</v>
      </c>
      <c r="C17" s="7">
        <v>6773.6757474541664</v>
      </c>
      <c r="D17" s="7">
        <v>1634.2360042929649</v>
      </c>
      <c r="E17" s="7">
        <v>3005.43</v>
      </c>
    </row>
    <row r="18" spans="1:5" x14ac:dyDescent="0.25">
      <c r="A18" s="2">
        <v>15</v>
      </c>
      <c r="B18" s="7">
        <v>12000.000015269778</v>
      </c>
      <c r="C18" s="7">
        <v>6747.6452456116676</v>
      </c>
      <c r="D18" s="7">
        <v>1674.2434684634209</v>
      </c>
      <c r="E18" s="7">
        <v>3005.67</v>
      </c>
    </row>
    <row r="19" spans="1:5" x14ac:dyDescent="0.25">
      <c r="A19" s="2">
        <v>16</v>
      </c>
      <c r="B19" s="7">
        <v>12000.001000329194</v>
      </c>
      <c r="C19" s="7">
        <v>6726.5303151905537</v>
      </c>
      <c r="D19" s="7">
        <v>1701.5554160475731</v>
      </c>
      <c r="E19" s="7">
        <v>3005.91</v>
      </c>
    </row>
    <row r="20" spans="1:5" x14ac:dyDescent="0.25">
      <c r="A20" s="2">
        <v>17</v>
      </c>
      <c r="B20" s="7">
        <v>12000.002740654241</v>
      </c>
      <c r="C20" s="7">
        <v>6703.3547393381596</v>
      </c>
      <c r="D20" s="7">
        <v>1735.3616101145744</v>
      </c>
      <c r="E20" s="7">
        <v>3006.15</v>
      </c>
    </row>
    <row r="21" spans="1:5" x14ac:dyDescent="0.25">
      <c r="A21" s="2">
        <v>18</v>
      </c>
      <c r="B21" s="7">
        <v>11999.995142036521</v>
      </c>
      <c r="C21" s="7">
        <v>6695.8079672157764</v>
      </c>
      <c r="D21" s="7">
        <v>1751.0364906191826</v>
      </c>
      <c r="E21" s="7">
        <v>3006.38</v>
      </c>
    </row>
    <row r="22" spans="1:5" x14ac:dyDescent="0.25">
      <c r="A22" s="2">
        <v>19</v>
      </c>
      <c r="B22" s="7">
        <v>12000.003933209497</v>
      </c>
      <c r="C22" s="7">
        <v>6676.4890544712543</v>
      </c>
      <c r="D22" s="7">
        <v>1775.1304731965065</v>
      </c>
      <c r="E22" s="7">
        <v>3007.46</v>
      </c>
    </row>
    <row r="23" spans="1:5" x14ac:dyDescent="0.25">
      <c r="A23" s="2">
        <v>20</v>
      </c>
      <c r="B23" s="7">
        <v>11999.998500985559</v>
      </c>
      <c r="C23" s="7">
        <v>6654.0505447089672</v>
      </c>
      <c r="D23" s="7">
        <v>1806.4176056981087</v>
      </c>
      <c r="E23" s="7">
        <v>3009</v>
      </c>
    </row>
    <row r="24" spans="1:5" x14ac:dyDescent="0.25">
      <c r="A24" s="2">
        <v>21</v>
      </c>
      <c r="B24" s="7">
        <v>11999.995782504604</v>
      </c>
      <c r="C24" s="7">
        <v>6636.8723548352718</v>
      </c>
      <c r="D24" s="7">
        <v>1828.314237177372</v>
      </c>
      <c r="E24" s="7">
        <v>3009.7</v>
      </c>
    </row>
    <row r="25" spans="1:5" x14ac:dyDescent="0.25">
      <c r="A25" s="2">
        <v>22</v>
      </c>
      <c r="B25" s="7">
        <v>11999.996156907933</v>
      </c>
      <c r="C25" s="7">
        <v>6623.2221272289753</v>
      </c>
      <c r="D25" s="7">
        <v>1843.9057025313377</v>
      </c>
      <c r="E25" s="7">
        <v>3010.06</v>
      </c>
    </row>
    <row r="26" spans="1:5" x14ac:dyDescent="0.25">
      <c r="A26" s="2">
        <v>23</v>
      </c>
      <c r="B26" s="7">
        <v>11999.996234642538</v>
      </c>
      <c r="C26" s="7">
        <v>6615.6553995609283</v>
      </c>
      <c r="D26" s="7">
        <v>1858.4853078126907</v>
      </c>
      <c r="E26" s="7">
        <v>3010.79</v>
      </c>
    </row>
    <row r="27" spans="1:5" x14ac:dyDescent="0.25">
      <c r="A27" s="2">
        <v>24</v>
      </c>
      <c r="B27" s="7">
        <v>11999.998305357751</v>
      </c>
      <c r="C27" s="7">
        <v>6616.6942499876022</v>
      </c>
      <c r="D27" s="7">
        <v>1871.9915829896927</v>
      </c>
      <c r="E27" s="7">
        <v>3012.01</v>
      </c>
    </row>
    <row r="28" spans="1:5" x14ac:dyDescent="0.25">
      <c r="A28" s="2">
        <v>25</v>
      </c>
      <c r="B28" s="7">
        <v>11999.997964886516</v>
      </c>
      <c r="C28" s="7">
        <v>6606.5111029967666</v>
      </c>
      <c r="D28" s="7">
        <v>1883.234699010849</v>
      </c>
      <c r="E28" s="7">
        <v>3012.84</v>
      </c>
    </row>
    <row r="29" spans="1:5" x14ac:dyDescent="0.25">
      <c r="A29" s="2">
        <v>26</v>
      </c>
      <c r="B29" s="7">
        <v>11999.999496930297</v>
      </c>
      <c r="C29" s="7">
        <v>6598.1516550332308</v>
      </c>
      <c r="D29" s="7">
        <v>1899.5077110528946</v>
      </c>
      <c r="E29" s="7">
        <v>3015.23</v>
      </c>
    </row>
    <row r="30" spans="1:5" x14ac:dyDescent="0.25">
      <c r="A30" s="2">
        <v>27</v>
      </c>
      <c r="B30" s="7">
        <v>11999.995240558423</v>
      </c>
      <c r="C30" s="7">
        <v>6602.3144537331536</v>
      </c>
      <c r="D30" s="7">
        <v>1901.5135093927383</v>
      </c>
      <c r="E30" s="7">
        <v>3012.73</v>
      </c>
    </row>
    <row r="31" spans="1:5" x14ac:dyDescent="0.25">
      <c r="A31" s="2">
        <v>28</v>
      </c>
      <c r="B31" s="7">
        <v>12000.00001405185</v>
      </c>
      <c r="C31" s="7">
        <v>6615.6514472635827</v>
      </c>
      <c r="D31" s="7">
        <v>1899.8429896831512</v>
      </c>
      <c r="E31" s="7">
        <v>3014.98</v>
      </c>
    </row>
    <row r="32" spans="1:5" x14ac:dyDescent="0.25">
      <c r="A32" s="2">
        <v>29</v>
      </c>
      <c r="B32" s="7">
        <v>12000.000496236731</v>
      </c>
      <c r="C32" s="7">
        <v>6618.9058876170893</v>
      </c>
      <c r="D32" s="7">
        <v>1902.2878074645996</v>
      </c>
      <c r="E32" s="7">
        <v>3014.93</v>
      </c>
    </row>
    <row r="33" spans="1:5" x14ac:dyDescent="0.25">
      <c r="A33" s="2">
        <v>30</v>
      </c>
      <c r="B33" s="7">
        <v>12000.000248530831</v>
      </c>
      <c r="C33" s="7">
        <v>6624.158469455826</v>
      </c>
      <c r="D33" s="7">
        <v>1908.2727323770523</v>
      </c>
      <c r="E33" s="7">
        <v>3016.1</v>
      </c>
    </row>
    <row r="34" spans="1:5" x14ac:dyDescent="0.25">
      <c r="A34" s="2">
        <v>31</v>
      </c>
      <c r="B34" s="7">
        <v>11999.997342339451</v>
      </c>
      <c r="C34" s="7">
        <v>6635.3964113596594</v>
      </c>
      <c r="D34" s="7">
        <v>1901.831261664629</v>
      </c>
      <c r="E34" s="7">
        <v>3019.16</v>
      </c>
    </row>
    <row r="35" spans="1:5" x14ac:dyDescent="0.25">
      <c r="A35" s="2">
        <v>32</v>
      </c>
      <c r="B35" s="7">
        <v>12000.000805421045</v>
      </c>
      <c r="C35" s="7">
        <v>6634.6283907072811</v>
      </c>
      <c r="D35" s="7">
        <v>1899.169969022274</v>
      </c>
      <c r="E35" s="7">
        <v>3017.46</v>
      </c>
    </row>
    <row r="36" spans="1:5" x14ac:dyDescent="0.25">
      <c r="A36" s="2">
        <v>33</v>
      </c>
      <c r="B36" s="7">
        <v>12000.003436231031</v>
      </c>
      <c r="C36" s="7">
        <v>6645.5115776761668</v>
      </c>
      <c r="D36" s="7">
        <v>1899.2758375257254</v>
      </c>
      <c r="E36" s="7">
        <v>3016.9</v>
      </c>
    </row>
    <row r="37" spans="1:5" x14ac:dyDescent="0.25">
      <c r="A37" s="2">
        <v>34</v>
      </c>
      <c r="B37" s="7">
        <v>12000.003760463591</v>
      </c>
      <c r="C37" s="7">
        <v>6665.7992444401025</v>
      </c>
      <c r="D37" s="7">
        <v>1882.6838530302048</v>
      </c>
      <c r="E37" s="7">
        <v>3017.84</v>
      </c>
    </row>
    <row r="38" spans="1:5" x14ac:dyDescent="0.25">
      <c r="A38" s="2">
        <v>35</v>
      </c>
      <c r="B38" s="7">
        <v>12000.002525101545</v>
      </c>
      <c r="C38" s="7">
        <v>6696.1749403706417</v>
      </c>
      <c r="D38" s="7">
        <v>1859.894561111927</v>
      </c>
      <c r="E38" s="7">
        <v>3022.4</v>
      </c>
    </row>
    <row r="39" spans="1:5" x14ac:dyDescent="0.25">
      <c r="A39" s="2">
        <v>36</v>
      </c>
      <c r="B39" s="7">
        <v>11999.997590819379</v>
      </c>
      <c r="C39" s="7">
        <v>6728.0263086624545</v>
      </c>
      <c r="D39" s="7">
        <v>1836.7008276879787</v>
      </c>
      <c r="E39" s="7">
        <v>3018.33</v>
      </c>
    </row>
    <row r="40" spans="1:5" x14ac:dyDescent="0.25">
      <c r="A40" s="2">
        <v>37</v>
      </c>
      <c r="B40" s="7">
        <v>12000.000962258611</v>
      </c>
      <c r="C40" s="7">
        <v>6745.812207792962</v>
      </c>
      <c r="D40" s="7">
        <v>1816.5946450233459</v>
      </c>
      <c r="E40" s="7">
        <v>3016.89</v>
      </c>
    </row>
    <row r="41" spans="1:5" x14ac:dyDescent="0.25">
      <c r="A41" s="2">
        <v>38</v>
      </c>
      <c r="B41" s="7">
        <v>11999.997603963231</v>
      </c>
      <c r="C41" s="7">
        <v>6766.1148615981729</v>
      </c>
      <c r="D41" s="7">
        <v>1802.8483949005604</v>
      </c>
      <c r="E41" s="7">
        <v>3018.82</v>
      </c>
    </row>
    <row r="42" spans="1:5" x14ac:dyDescent="0.25">
      <c r="A42" s="2">
        <v>39</v>
      </c>
      <c r="B42" s="7">
        <v>11999.998062145849</v>
      </c>
      <c r="C42" s="7">
        <v>6786.6570964280327</v>
      </c>
      <c r="D42" s="7">
        <v>1792.3305926322937</v>
      </c>
      <c r="E42" s="7">
        <v>3027.23</v>
      </c>
    </row>
    <row r="43" spans="1:5" x14ac:dyDescent="0.25">
      <c r="A43" s="2">
        <v>40</v>
      </c>
      <c r="B43" s="7">
        <v>12000.00453266401</v>
      </c>
      <c r="C43" s="7">
        <v>6817.5262924396447</v>
      </c>
      <c r="D43" s="7">
        <v>1756.362708568573</v>
      </c>
      <c r="E43" s="7">
        <v>3026.21</v>
      </c>
    </row>
    <row r="44" spans="1:5" x14ac:dyDescent="0.25">
      <c r="A44" s="2">
        <v>41</v>
      </c>
      <c r="B44" s="7">
        <v>12000.00092006408</v>
      </c>
      <c r="C44" s="7">
        <v>6827.0667691058516</v>
      </c>
      <c r="D44" s="7">
        <v>1741.0178732722998</v>
      </c>
      <c r="E44" s="7">
        <v>3030.47</v>
      </c>
    </row>
    <row r="45" spans="1:5" x14ac:dyDescent="0.25">
      <c r="A45" s="2">
        <v>42</v>
      </c>
      <c r="B45" s="7">
        <v>12000.000374297893</v>
      </c>
      <c r="C45" s="7">
        <v>6851.0683440223365</v>
      </c>
      <c r="D45" s="7">
        <v>1725.7022097967565</v>
      </c>
      <c r="E45" s="7">
        <v>3036.4</v>
      </c>
    </row>
    <row r="46" spans="1:5" x14ac:dyDescent="0.25">
      <c r="A46" s="2">
        <v>43</v>
      </c>
      <c r="B46" s="7">
        <v>11999.995340894426</v>
      </c>
      <c r="C46" s="7">
        <v>6894.3920790107804</v>
      </c>
      <c r="D46" s="7">
        <v>1664.7084471583366</v>
      </c>
      <c r="E46" s="7">
        <v>3041.58</v>
      </c>
    </row>
    <row r="47" spans="1:5" x14ac:dyDescent="0.25">
      <c r="A47" s="2">
        <v>44</v>
      </c>
      <c r="B47" s="7">
        <v>11999.998174877717</v>
      </c>
      <c r="C47" s="7">
        <v>6936.049474619329</v>
      </c>
      <c r="D47" s="7">
        <v>1642.3922264873981</v>
      </c>
      <c r="E47" s="7">
        <v>3046.13</v>
      </c>
    </row>
    <row r="48" spans="1:5" x14ac:dyDescent="0.25">
      <c r="A48" s="2">
        <v>45</v>
      </c>
      <c r="B48" s="7">
        <v>12000.002443924903</v>
      </c>
      <c r="C48" s="7">
        <v>6962.1395750883385</v>
      </c>
      <c r="D48" s="7">
        <v>1605.7870101332664</v>
      </c>
      <c r="E48" s="7">
        <v>3057.93</v>
      </c>
    </row>
    <row r="49" spans="1:5" x14ac:dyDescent="0.25">
      <c r="A49" s="2">
        <v>46</v>
      </c>
      <c r="B49" s="7">
        <v>11999.996295469175</v>
      </c>
      <c r="C49" s="7">
        <v>6999.6769206114113</v>
      </c>
      <c r="D49" s="7">
        <v>1562.5204330384731</v>
      </c>
      <c r="E49" s="7">
        <v>3067.56</v>
      </c>
    </row>
    <row r="50" spans="1:5" x14ac:dyDescent="0.25">
      <c r="A50" s="2">
        <v>47</v>
      </c>
      <c r="B50" s="7">
        <v>11999.99822681904</v>
      </c>
      <c r="C50" s="7">
        <v>7033.337627197543</v>
      </c>
      <c r="D50" s="7">
        <v>1545.1749567985535</v>
      </c>
      <c r="E50" s="7">
        <v>3064.2</v>
      </c>
    </row>
    <row r="51" spans="1:5" x14ac:dyDescent="0.25">
      <c r="A51" s="2">
        <v>48</v>
      </c>
      <c r="B51" s="7">
        <v>11999.997502361284</v>
      </c>
      <c r="C51" s="7">
        <v>7077.0117456060834</v>
      </c>
      <c r="D51" s="7">
        <v>1485.5517951278016</v>
      </c>
      <c r="E51" s="7">
        <v>3068.15</v>
      </c>
    </row>
    <row r="52" spans="1:5" x14ac:dyDescent="0.25">
      <c r="A52" s="2">
        <v>49</v>
      </c>
      <c r="B52" s="7">
        <v>12000.000239265739</v>
      </c>
      <c r="C52" s="7">
        <v>7113.8521399057499</v>
      </c>
      <c r="D52" s="7">
        <v>1454.0687228925526</v>
      </c>
      <c r="E52" s="7">
        <v>3065.51</v>
      </c>
    </row>
    <row r="53" spans="1:5" x14ac:dyDescent="0.25">
      <c r="A53" s="2">
        <v>50</v>
      </c>
      <c r="B53" s="7">
        <v>12000.003586150391</v>
      </c>
      <c r="C53" s="7">
        <v>7155.0901337177493</v>
      </c>
      <c r="D53" s="7">
        <v>1405.139826618135</v>
      </c>
      <c r="E53" s="7">
        <v>3061.15</v>
      </c>
    </row>
    <row r="54" spans="1:5" x14ac:dyDescent="0.25">
      <c r="A54" s="2">
        <v>51</v>
      </c>
      <c r="B54" s="7">
        <v>12000.001283783673</v>
      </c>
      <c r="C54" s="7">
        <v>7193.812762206886</v>
      </c>
      <c r="D54" s="7">
        <v>1369.4607888162136</v>
      </c>
      <c r="E54" s="7">
        <v>3070.59</v>
      </c>
    </row>
    <row r="55" spans="1:5" x14ac:dyDescent="0.25">
      <c r="A55" s="2">
        <v>52</v>
      </c>
      <c r="B55" s="7">
        <v>11999.995350937788</v>
      </c>
      <c r="C55" s="7">
        <v>7241.5443326673703</v>
      </c>
      <c r="D55" s="7">
        <v>1334.1880795415491</v>
      </c>
      <c r="E55" s="7">
        <v>3072.79</v>
      </c>
    </row>
    <row r="56" spans="1:5" x14ac:dyDescent="0.25">
      <c r="A56" s="2">
        <v>53</v>
      </c>
      <c r="B56" s="7">
        <v>12000.003104429108</v>
      </c>
      <c r="C56" s="7">
        <v>7276.3298060033703</v>
      </c>
      <c r="D56" s="7">
        <v>1296.5137572735548</v>
      </c>
      <c r="E56" s="7">
        <v>3081.44</v>
      </c>
    </row>
    <row r="57" spans="1:5" x14ac:dyDescent="0.25">
      <c r="A57" s="2">
        <v>54</v>
      </c>
      <c r="B57" s="7">
        <v>11999.996738194532</v>
      </c>
      <c r="C57" s="7">
        <v>7314.0161205593031</v>
      </c>
      <c r="D57" s="7">
        <v>1245.9271321743727</v>
      </c>
      <c r="E57" s="7">
        <v>3088.89</v>
      </c>
    </row>
    <row r="58" spans="1:5" x14ac:dyDescent="0.25">
      <c r="A58" s="2">
        <v>55</v>
      </c>
      <c r="B58" s="7">
        <v>12000.000775561435</v>
      </c>
      <c r="C58" s="7">
        <v>7355.4923241465585</v>
      </c>
      <c r="D58" s="7">
        <v>1210.0264827683568</v>
      </c>
      <c r="E58" s="7">
        <v>3084.86</v>
      </c>
    </row>
    <row r="59" spans="1:5" x14ac:dyDescent="0.25">
      <c r="A59" s="2">
        <v>56</v>
      </c>
      <c r="B59" s="7">
        <v>11999.995874274715</v>
      </c>
      <c r="C59" s="7">
        <v>7395.9531155679724</v>
      </c>
      <c r="D59" s="7">
        <v>1194.8827713998035</v>
      </c>
      <c r="E59" s="7">
        <v>3079.73</v>
      </c>
    </row>
    <row r="60" spans="1:5" x14ac:dyDescent="0.25">
      <c r="A60" s="2">
        <v>57</v>
      </c>
      <c r="B60" s="7">
        <v>12000.002331598269</v>
      </c>
      <c r="C60" s="7">
        <v>7440.4439082657336</v>
      </c>
      <c r="D60" s="7">
        <v>1148.6461002156138</v>
      </c>
      <c r="E60" s="7">
        <v>3075.11</v>
      </c>
    </row>
    <row r="61" spans="1:5" x14ac:dyDescent="0.25">
      <c r="A61" s="2">
        <v>58</v>
      </c>
      <c r="B61" s="7">
        <v>12000.001519920883</v>
      </c>
      <c r="C61" s="7">
        <v>7485.1285941801616</v>
      </c>
      <c r="D61" s="7">
        <v>1115.7460367623717</v>
      </c>
      <c r="E61" s="7">
        <v>3063.38</v>
      </c>
    </row>
    <row r="62" spans="1:5" x14ac:dyDescent="0.25">
      <c r="A62" s="2">
        <v>59</v>
      </c>
      <c r="B62" s="7">
        <v>11999.999996827706</v>
      </c>
      <c r="C62" s="7">
        <v>7521.9611498808372</v>
      </c>
      <c r="D62" s="7">
        <v>1085.1515364416409</v>
      </c>
      <c r="E62" s="7">
        <v>3052.1</v>
      </c>
    </row>
    <row r="63" spans="1:5" x14ac:dyDescent="0.25">
      <c r="A63" s="2">
        <v>60</v>
      </c>
      <c r="B63" s="7">
        <v>11999.998513850824</v>
      </c>
      <c r="C63" s="7">
        <v>7553.7414218243212</v>
      </c>
      <c r="D63" s="7">
        <v>1053.0503804534674</v>
      </c>
      <c r="E63" s="7">
        <v>3059.34</v>
      </c>
    </row>
    <row r="64" spans="1:5" x14ac:dyDescent="0.25">
      <c r="A64" s="2">
        <v>61</v>
      </c>
      <c r="B64" s="7">
        <v>11999.99919359964</v>
      </c>
      <c r="C64" s="7">
        <v>7592.794429782778</v>
      </c>
      <c r="D64" s="7">
        <v>1022.3924783747643</v>
      </c>
      <c r="E64" s="7">
        <v>3039.48</v>
      </c>
    </row>
    <row r="65" spans="1:5" x14ac:dyDescent="0.25">
      <c r="A65" s="2">
        <v>62</v>
      </c>
      <c r="B65" s="7">
        <v>11999.996468095047</v>
      </c>
      <c r="C65" s="7">
        <v>7630.7203644607216</v>
      </c>
      <c r="D65" s="7">
        <v>990.47264432907104</v>
      </c>
      <c r="E65" s="7">
        <v>3035.88</v>
      </c>
    </row>
    <row r="66" spans="1:5" x14ac:dyDescent="0.25">
      <c r="A66" s="2">
        <v>63</v>
      </c>
      <c r="B66" s="7">
        <v>11999.998142147837</v>
      </c>
      <c r="C66" s="7">
        <v>7664.9804850034416</v>
      </c>
      <c r="D66" s="7">
        <v>972.80125038325787</v>
      </c>
      <c r="E66" s="7">
        <v>3014.57</v>
      </c>
    </row>
    <row r="67" spans="1:5" x14ac:dyDescent="0.25">
      <c r="A67" s="2">
        <v>64</v>
      </c>
      <c r="B67" s="7">
        <v>12000.004904123276</v>
      </c>
      <c r="C67" s="7">
        <v>7702.419966426678</v>
      </c>
      <c r="D67" s="7">
        <v>931.22305569797754</v>
      </c>
      <c r="E67" s="7">
        <v>3023.01</v>
      </c>
    </row>
    <row r="68" spans="1:5" x14ac:dyDescent="0.25">
      <c r="A68" s="2">
        <v>65</v>
      </c>
      <c r="B68" s="7">
        <v>11999.996603621701</v>
      </c>
      <c r="C68" s="7">
        <v>7735.9019035203382</v>
      </c>
      <c r="D68" s="7">
        <v>906.361332366243</v>
      </c>
      <c r="E68" s="7">
        <v>3018.18</v>
      </c>
    </row>
    <row r="69" spans="1:5" x14ac:dyDescent="0.25">
      <c r="A69" s="2">
        <v>66</v>
      </c>
      <c r="B69" s="7">
        <v>11999.995517583853</v>
      </c>
      <c r="C69" s="7">
        <v>7770.819939785637</v>
      </c>
      <c r="D69" s="7">
        <v>866.54973319172859</v>
      </c>
      <c r="E69" s="7">
        <v>3018.72</v>
      </c>
    </row>
    <row r="70" spans="1:5" x14ac:dyDescent="0.25">
      <c r="A70" s="2">
        <v>67</v>
      </c>
      <c r="B70" s="7">
        <v>11999.999338181762</v>
      </c>
      <c r="C70" s="7">
        <v>7813.8824275084771</v>
      </c>
      <c r="D70" s="7">
        <v>853.13412274420261</v>
      </c>
      <c r="E70" s="7">
        <v>2985.14</v>
      </c>
    </row>
    <row r="71" spans="1:5" x14ac:dyDescent="0.25">
      <c r="A71" s="2">
        <v>68</v>
      </c>
      <c r="B71" s="7">
        <v>12000.004021305023</v>
      </c>
      <c r="C71" s="7">
        <v>7852.2229446461424</v>
      </c>
      <c r="D71" s="7">
        <v>816.96760702878237</v>
      </c>
      <c r="E71" s="7">
        <v>2974.86</v>
      </c>
    </row>
    <row r="72" spans="1:5" x14ac:dyDescent="0.25">
      <c r="A72" s="2">
        <v>69</v>
      </c>
      <c r="B72" s="7">
        <v>12000.000692733896</v>
      </c>
      <c r="C72" s="7">
        <v>7884.2568388214568</v>
      </c>
      <c r="D72" s="7">
        <v>791.02364938240498</v>
      </c>
      <c r="E72" s="7">
        <v>2952.08</v>
      </c>
    </row>
    <row r="73" spans="1:5" x14ac:dyDescent="0.25">
      <c r="A73" s="2">
        <v>70</v>
      </c>
      <c r="B73" s="7">
        <v>11999.998014042962</v>
      </c>
      <c r="C73" s="7">
        <v>7917.3178906170651</v>
      </c>
      <c r="D73" s="7">
        <v>767.74245544476435</v>
      </c>
      <c r="E73" s="7">
        <v>2951.79</v>
      </c>
    </row>
    <row r="74" spans="1:5" x14ac:dyDescent="0.25">
      <c r="A74" s="2">
        <v>71</v>
      </c>
      <c r="B74" s="7">
        <v>12000.005003109496</v>
      </c>
      <c r="C74" s="7">
        <v>7950.4954891074449</v>
      </c>
      <c r="D74" s="7">
        <v>740.23879193887115</v>
      </c>
      <c r="E74" s="7">
        <v>2952.24</v>
      </c>
    </row>
    <row r="75" spans="1:5" x14ac:dyDescent="0.25">
      <c r="A75" s="2">
        <v>72</v>
      </c>
      <c r="B75" s="7">
        <v>12000.003465214108</v>
      </c>
      <c r="C75" s="7">
        <v>7983.2874257588992</v>
      </c>
      <c r="D75" s="7">
        <v>733.12465660460293</v>
      </c>
      <c r="E75" s="7">
        <v>2913.09</v>
      </c>
    </row>
    <row r="76" spans="1:5" x14ac:dyDescent="0.25">
      <c r="A76" s="2">
        <v>73</v>
      </c>
      <c r="B76" s="7">
        <v>12000.003671247276</v>
      </c>
      <c r="C76" s="7">
        <v>8019.3706793222809</v>
      </c>
      <c r="D76" s="7">
        <v>703.40405479073524</v>
      </c>
      <c r="E76" s="7">
        <v>2889.66</v>
      </c>
    </row>
    <row r="77" spans="1:5" x14ac:dyDescent="0.25">
      <c r="A77" s="2">
        <v>74</v>
      </c>
      <c r="B77" s="7">
        <v>12000.003038817395</v>
      </c>
      <c r="C77" s="7">
        <v>8056.3908720283071</v>
      </c>
      <c r="D77" s="7">
        <v>674.83557377569377</v>
      </c>
      <c r="E77" s="7">
        <v>2896.2</v>
      </c>
    </row>
    <row r="78" spans="1:5" x14ac:dyDescent="0.25">
      <c r="A78" s="2">
        <v>75</v>
      </c>
      <c r="B78" s="7">
        <v>11999.998122211942</v>
      </c>
      <c r="C78" s="7">
        <v>8098.305115303956</v>
      </c>
      <c r="D78" s="7">
        <v>665.35790664236993</v>
      </c>
      <c r="E78" s="7">
        <v>2849.45</v>
      </c>
    </row>
    <row r="79" spans="1:5" x14ac:dyDescent="0.25">
      <c r="A79" s="2">
        <v>76</v>
      </c>
      <c r="B79" s="7">
        <v>12000.002365834527</v>
      </c>
      <c r="C79" s="7">
        <v>8128.2766032963991</v>
      </c>
      <c r="D79" s="7">
        <v>648.79939818009734</v>
      </c>
      <c r="E79" s="7">
        <v>2830.41</v>
      </c>
    </row>
    <row r="80" spans="1:5" x14ac:dyDescent="0.25">
      <c r="A80" s="2">
        <v>77</v>
      </c>
      <c r="B80" s="7">
        <v>12000.000124938562</v>
      </c>
      <c r="C80" s="7">
        <v>8157.1627329038456</v>
      </c>
      <c r="D80" s="7">
        <v>632.16734841000289</v>
      </c>
      <c r="E80" s="7">
        <v>2810.99</v>
      </c>
    </row>
    <row r="81" spans="1:5" x14ac:dyDescent="0.25">
      <c r="A81" s="2">
        <v>78</v>
      </c>
      <c r="B81" s="7">
        <v>12000.002963848021</v>
      </c>
      <c r="C81" s="7">
        <v>8188.1096295118332</v>
      </c>
      <c r="D81" s="7">
        <v>612.94904610933736</v>
      </c>
      <c r="E81" s="7">
        <v>2781.92</v>
      </c>
    </row>
    <row r="82" spans="1:5" x14ac:dyDescent="0.25">
      <c r="A82" s="2">
        <v>79</v>
      </c>
      <c r="B82" s="7">
        <v>12000.004600562648</v>
      </c>
      <c r="C82" s="7">
        <v>8217.8847390946466</v>
      </c>
      <c r="D82" s="7">
        <v>590.9095849795267</v>
      </c>
      <c r="E82" s="7">
        <v>2773.72</v>
      </c>
    </row>
    <row r="83" spans="1:5" x14ac:dyDescent="0.25">
      <c r="A83" s="2">
        <v>80</v>
      </c>
      <c r="B83" s="7">
        <v>12000.002449789612</v>
      </c>
      <c r="C83" s="7">
        <v>8247.1044620009488</v>
      </c>
      <c r="D83" s="7">
        <v>579.21330887475051</v>
      </c>
      <c r="E83" s="7">
        <v>2750.12</v>
      </c>
    </row>
    <row r="84" spans="1:5" x14ac:dyDescent="0.25">
      <c r="A84" s="2">
        <v>81</v>
      </c>
      <c r="B84" s="7">
        <v>12000.002978219949</v>
      </c>
      <c r="C84" s="7">
        <v>8292.300321681425</v>
      </c>
      <c r="D84" s="7">
        <v>555.12142834812403</v>
      </c>
      <c r="E84" s="7">
        <v>2733.93</v>
      </c>
    </row>
    <row r="85" spans="1:5" x14ac:dyDescent="0.25">
      <c r="A85" s="2">
        <v>82</v>
      </c>
      <c r="B85" s="7">
        <v>11999.998717460874</v>
      </c>
      <c r="C85" s="7">
        <v>8333.4843537644483</v>
      </c>
      <c r="D85" s="7">
        <v>537.36478723492473</v>
      </c>
      <c r="E85" s="7">
        <v>2672.4</v>
      </c>
    </row>
    <row r="86" spans="1:5" x14ac:dyDescent="0.25">
      <c r="A86" s="2">
        <v>83</v>
      </c>
      <c r="B86" s="7">
        <v>11999.998324002569</v>
      </c>
      <c r="C86" s="7">
        <v>8373.5036913645454</v>
      </c>
      <c r="D86" s="7">
        <v>523.66972711961716</v>
      </c>
      <c r="E86" s="7">
        <v>2620.54</v>
      </c>
    </row>
    <row r="87" spans="1:5" x14ac:dyDescent="0.25">
      <c r="A87" s="2">
        <v>84</v>
      </c>
      <c r="B87" s="7">
        <v>12000.000991963079</v>
      </c>
      <c r="C87" s="7">
        <v>8399.5467456648184</v>
      </c>
      <c r="D87" s="7">
        <v>481.35938964784145</v>
      </c>
      <c r="E87" s="7">
        <v>2635.66</v>
      </c>
    </row>
    <row r="88" spans="1:5" x14ac:dyDescent="0.25">
      <c r="A88" s="2">
        <v>85</v>
      </c>
      <c r="B88" s="7">
        <v>11999.996299005543</v>
      </c>
      <c r="C88" s="7">
        <v>8431.3618361135013</v>
      </c>
      <c r="D88" s="7">
        <v>482.42066370509565</v>
      </c>
      <c r="E88" s="7">
        <v>2597.29</v>
      </c>
    </row>
    <row r="89" spans="1:5" x14ac:dyDescent="0.25">
      <c r="A89" s="2">
        <v>86</v>
      </c>
      <c r="B89" s="7">
        <v>12000.002707074993</v>
      </c>
      <c r="C89" s="7">
        <v>8469.1727439798415</v>
      </c>
      <c r="D89" s="7">
        <v>469.56374263949692</v>
      </c>
      <c r="E89" s="7">
        <v>2552.86</v>
      </c>
    </row>
    <row r="90" spans="1:5" x14ac:dyDescent="0.25">
      <c r="A90" s="2">
        <v>87</v>
      </c>
      <c r="B90" s="7">
        <v>12000.00129359154</v>
      </c>
      <c r="C90" s="7">
        <v>8503.1425633278122</v>
      </c>
      <c r="D90" s="7">
        <v>443.42721582576632</v>
      </c>
      <c r="E90" s="7">
        <v>2533.0500000000002</v>
      </c>
    </row>
    <row r="91" spans="1:5" x14ac:dyDescent="0.25">
      <c r="A91" s="2">
        <v>88</v>
      </c>
      <c r="B91" s="7">
        <v>12000.004655106222</v>
      </c>
      <c r="C91" s="7">
        <v>8533.5704259794584</v>
      </c>
      <c r="D91" s="7">
        <v>421.79386636987329</v>
      </c>
      <c r="E91" s="7">
        <v>2505.52</v>
      </c>
    </row>
    <row r="92" spans="1:5" x14ac:dyDescent="0.25">
      <c r="A92" s="2">
        <v>89</v>
      </c>
      <c r="B92" s="7">
        <v>11999.998948602708</v>
      </c>
      <c r="C92" s="7">
        <v>8563.1449912738753</v>
      </c>
      <c r="D92" s="7">
        <v>421.58374739345163</v>
      </c>
      <c r="E92" s="7">
        <v>2471.12</v>
      </c>
    </row>
    <row r="93" spans="1:5" x14ac:dyDescent="0.25">
      <c r="A93" s="2">
        <v>90</v>
      </c>
      <c r="B93" s="7">
        <v>12000.00419035541</v>
      </c>
      <c r="C93" s="7">
        <v>8592.1872999497427</v>
      </c>
      <c r="D93" s="7">
        <v>411.28562948014593</v>
      </c>
      <c r="E93" s="7">
        <v>2432.56</v>
      </c>
    </row>
    <row r="94" spans="1:5" x14ac:dyDescent="0.25">
      <c r="A94" s="2">
        <v>91</v>
      </c>
      <c r="B94" s="7">
        <v>12000.000887080601</v>
      </c>
      <c r="C94" s="7">
        <v>8617.6989429073146</v>
      </c>
      <c r="D94" s="7">
        <v>407.57181244250387</v>
      </c>
      <c r="E94" s="7">
        <v>2386.38</v>
      </c>
    </row>
    <row r="95" spans="1:5" x14ac:dyDescent="0.25">
      <c r="A95" s="2">
        <v>92</v>
      </c>
      <c r="B95" s="7">
        <v>11999.996977853891</v>
      </c>
      <c r="C95" s="7">
        <v>8643.6224035384366</v>
      </c>
      <c r="D95" s="7">
        <v>384.19252863852307</v>
      </c>
      <c r="E95" s="7">
        <v>2366.5500000000002</v>
      </c>
    </row>
    <row r="96" spans="1:5" x14ac:dyDescent="0.25">
      <c r="A96" s="2">
        <v>93</v>
      </c>
      <c r="B96" s="7">
        <v>11999.995591821755</v>
      </c>
      <c r="C96" s="7">
        <v>8673.8331166622229</v>
      </c>
      <c r="D96" s="7">
        <v>375.48616308346391</v>
      </c>
      <c r="E96" s="7">
        <v>2333.35</v>
      </c>
    </row>
    <row r="97" spans="1:5" x14ac:dyDescent="0.25">
      <c r="A97" s="2">
        <v>94</v>
      </c>
      <c r="B97" s="7">
        <v>11999.997773278645</v>
      </c>
      <c r="C97" s="7">
        <v>8700.3083902020007</v>
      </c>
      <c r="D97" s="7">
        <v>359.87131772562861</v>
      </c>
      <c r="E97" s="7">
        <v>2307.6</v>
      </c>
    </row>
    <row r="98" spans="1:5" x14ac:dyDescent="0.25">
      <c r="A98" s="2">
        <v>95</v>
      </c>
      <c r="B98" s="7">
        <v>11999.998150213478</v>
      </c>
      <c r="C98" s="7">
        <v>8729.4184480644763</v>
      </c>
      <c r="D98" s="7">
        <v>359.09416621550918</v>
      </c>
      <c r="E98" s="7">
        <v>2252.0300000000002</v>
      </c>
    </row>
    <row r="99" spans="1:5" x14ac:dyDescent="0.25">
      <c r="A99" s="2">
        <v>96</v>
      </c>
      <c r="B99" s="7">
        <v>11999.999192371961</v>
      </c>
      <c r="C99" s="7">
        <v>8763.8071359316818</v>
      </c>
      <c r="D99" s="7">
        <v>362.88662836782169</v>
      </c>
      <c r="E99" s="7">
        <v>2212.88</v>
      </c>
    </row>
    <row r="100" spans="1:5" x14ac:dyDescent="0.25">
      <c r="A100" s="2">
        <v>97</v>
      </c>
      <c r="B100" s="7">
        <v>12000.004834883754</v>
      </c>
      <c r="C100" s="7">
        <v>8793.9865647112019</v>
      </c>
      <c r="D100" s="7">
        <v>341.50922934152186</v>
      </c>
      <c r="E100" s="7">
        <v>2192.85</v>
      </c>
    </row>
    <row r="101" spans="1:5" x14ac:dyDescent="0.25">
      <c r="A101" s="2">
        <v>98</v>
      </c>
      <c r="B101" s="7">
        <v>12000.002479086481</v>
      </c>
      <c r="C101" s="7">
        <v>8819.9754545725882</v>
      </c>
      <c r="D101" s="7">
        <v>338.73705175146461</v>
      </c>
      <c r="E101" s="7">
        <v>2140.66</v>
      </c>
    </row>
    <row r="102" spans="1:5" x14ac:dyDescent="0.25">
      <c r="A102" s="2">
        <v>99</v>
      </c>
      <c r="B102" s="7">
        <v>12000.004160832996</v>
      </c>
      <c r="C102" s="7">
        <v>8849.7863763296045</v>
      </c>
      <c r="D102" s="7">
        <v>314.95217994600534</v>
      </c>
      <c r="E102" s="7">
        <v>2098.59</v>
      </c>
    </row>
    <row r="103" spans="1:5" x14ac:dyDescent="0.25">
      <c r="A103" s="2">
        <v>100</v>
      </c>
      <c r="B103" s="7">
        <v>11999.999145433841</v>
      </c>
      <c r="C103" s="7">
        <v>8875.857058784808</v>
      </c>
      <c r="D103" s="7">
        <v>320.61546626593918</v>
      </c>
      <c r="E103" s="7">
        <v>2047.05</v>
      </c>
    </row>
    <row r="104" spans="1:5" x14ac:dyDescent="0.25">
      <c r="A104" s="2">
        <v>101</v>
      </c>
      <c r="B104" s="7">
        <v>12000.001554037444</v>
      </c>
      <c r="C104" s="7">
        <v>8898.7674738508649</v>
      </c>
      <c r="D104" s="7">
        <v>308.98486104793847</v>
      </c>
      <c r="E104" s="7">
        <v>2027.25</v>
      </c>
    </row>
    <row r="105" spans="1:5" x14ac:dyDescent="0.25">
      <c r="A105" s="2">
        <v>102</v>
      </c>
      <c r="B105" s="7">
        <v>11999.996828646352</v>
      </c>
      <c r="C105" s="7">
        <v>8927.7991126412526</v>
      </c>
      <c r="D105" s="7">
        <v>282.93090268597007</v>
      </c>
      <c r="E105" s="7">
        <v>1987.55</v>
      </c>
    </row>
    <row r="106" spans="1:5" x14ac:dyDescent="0.25">
      <c r="A106" s="2">
        <v>103</v>
      </c>
      <c r="B106" s="7">
        <v>11999.996630336</v>
      </c>
      <c r="C106" s="7">
        <v>8955.7229273482226</v>
      </c>
      <c r="D106" s="7">
        <v>277.45323771610856</v>
      </c>
      <c r="E106" s="7">
        <v>1938.92</v>
      </c>
    </row>
    <row r="107" spans="1:5" x14ac:dyDescent="0.25">
      <c r="A107" s="2">
        <v>104</v>
      </c>
      <c r="B107" s="7">
        <v>12000.000512709197</v>
      </c>
      <c r="C107" s="7">
        <v>8981.7503128410317</v>
      </c>
      <c r="D107" s="7">
        <v>274.73312396131223</v>
      </c>
      <c r="E107" s="7">
        <v>1883.13</v>
      </c>
    </row>
    <row r="108" spans="1:5" x14ac:dyDescent="0.25">
      <c r="A108" s="2">
        <v>105</v>
      </c>
      <c r="B108" s="7">
        <v>12000.004322136872</v>
      </c>
      <c r="C108" s="7">
        <v>9006.5126782786101</v>
      </c>
      <c r="D108" s="7">
        <v>261.77780409343541</v>
      </c>
      <c r="E108" s="7">
        <v>1844.62</v>
      </c>
    </row>
    <row r="109" spans="1:5" x14ac:dyDescent="0.25">
      <c r="A109" s="2">
        <v>106</v>
      </c>
      <c r="B109" s="7">
        <v>11999.997842223431</v>
      </c>
      <c r="C109" s="7">
        <v>9034.3454472329468</v>
      </c>
      <c r="D109" s="7">
        <v>249.17229586839676</v>
      </c>
      <c r="E109" s="7">
        <v>1797.2</v>
      </c>
    </row>
    <row r="110" spans="1:5" x14ac:dyDescent="0.25">
      <c r="A110" s="2">
        <v>107</v>
      </c>
      <c r="B110" s="7">
        <v>11999.995602691388</v>
      </c>
      <c r="C110" s="7">
        <v>9055.2054620268755</v>
      </c>
      <c r="D110" s="7">
        <v>235.87635863409378</v>
      </c>
      <c r="E110" s="7">
        <v>1757.42</v>
      </c>
    </row>
    <row r="111" spans="1:5" x14ac:dyDescent="0.25">
      <c r="A111" s="2">
        <v>108</v>
      </c>
      <c r="B111" s="7">
        <v>11999.99994682489</v>
      </c>
      <c r="C111" s="7">
        <v>9070.6542933941819</v>
      </c>
      <c r="D111" s="7">
        <v>250.83292029588483</v>
      </c>
      <c r="E111" s="7">
        <v>1692.09</v>
      </c>
    </row>
    <row r="112" spans="1:5" x14ac:dyDescent="0.25">
      <c r="A112" s="2">
        <v>109</v>
      </c>
      <c r="B112" s="7">
        <v>11999.995521687464</v>
      </c>
      <c r="C112" s="7">
        <v>9089.6645412826911</v>
      </c>
      <c r="D112" s="7">
        <v>235.11182569339871</v>
      </c>
      <c r="E112" s="7">
        <v>1666.72</v>
      </c>
    </row>
    <row r="113" spans="1:5" x14ac:dyDescent="0.25">
      <c r="A113" s="2">
        <v>110</v>
      </c>
      <c r="B113" s="7">
        <v>11999.998962400405</v>
      </c>
      <c r="C113" s="7">
        <v>9112.1107767769718</v>
      </c>
      <c r="D113" s="7">
        <v>211.17530222318601</v>
      </c>
      <c r="E113" s="7">
        <v>1638.77</v>
      </c>
    </row>
    <row r="114" spans="1:5" x14ac:dyDescent="0.25">
      <c r="A114" s="2">
        <v>111</v>
      </c>
      <c r="B114" s="7">
        <v>12000.002125813997</v>
      </c>
      <c r="C114" s="7">
        <v>9133.3119839690989</v>
      </c>
      <c r="D114" s="7">
        <v>222.30270216241479</v>
      </c>
      <c r="E114" s="7">
        <v>1581.39</v>
      </c>
    </row>
    <row r="115" spans="1:5" x14ac:dyDescent="0.25">
      <c r="A115" s="2">
        <v>112</v>
      </c>
      <c r="B115" s="7">
        <v>11999.996582170887</v>
      </c>
      <c r="C115" s="7">
        <v>9156.5893654258398</v>
      </c>
      <c r="D115" s="7">
        <v>185.37959212157875</v>
      </c>
      <c r="E115" s="7">
        <v>1550.66</v>
      </c>
    </row>
    <row r="116" spans="1:5" x14ac:dyDescent="0.25">
      <c r="A116" s="2">
        <v>113</v>
      </c>
      <c r="B116" s="7">
        <v>11999.998463730448</v>
      </c>
      <c r="C116" s="7">
        <v>9186.5971498057188</v>
      </c>
      <c r="D116" s="7">
        <v>188.80210805591196</v>
      </c>
      <c r="E116" s="7">
        <v>1485.59</v>
      </c>
    </row>
    <row r="117" spans="1:5" x14ac:dyDescent="0.25">
      <c r="A117" s="2">
        <v>114</v>
      </c>
      <c r="B117" s="7">
        <v>11999.999382375283</v>
      </c>
      <c r="C117" s="7">
        <v>9213.3330149932299</v>
      </c>
      <c r="D117" s="7">
        <v>177.40086899977177</v>
      </c>
      <c r="E117" s="7">
        <v>1430.24</v>
      </c>
    </row>
    <row r="118" spans="1:5" x14ac:dyDescent="0.25">
      <c r="A118" s="2">
        <v>115</v>
      </c>
      <c r="B118" s="7">
        <v>12000.000866099264</v>
      </c>
      <c r="C118" s="7">
        <v>9239.333935506409</v>
      </c>
      <c r="D118" s="7">
        <v>154.08035690209363</v>
      </c>
      <c r="E118" s="7">
        <v>1370.62</v>
      </c>
    </row>
    <row r="119" spans="1:5" x14ac:dyDescent="0.25">
      <c r="A119" s="2">
        <v>116</v>
      </c>
      <c r="B119" s="7">
        <v>12000.004727946758</v>
      </c>
      <c r="C119" s="7">
        <v>9267.3248417610303</v>
      </c>
      <c r="D119" s="7">
        <v>159.01455100812018</v>
      </c>
      <c r="E119" s="7">
        <v>1298.7</v>
      </c>
    </row>
    <row r="120" spans="1:5" x14ac:dyDescent="0.25">
      <c r="A120" s="2">
        <v>117</v>
      </c>
      <c r="B120" s="7">
        <v>11999.995966719278</v>
      </c>
      <c r="C120" s="7">
        <v>9295.6778199481778</v>
      </c>
      <c r="D120" s="7">
        <v>169.37502374034375</v>
      </c>
      <c r="E120" s="7">
        <v>1232.7</v>
      </c>
    </row>
    <row r="121" spans="1:5" x14ac:dyDescent="0.25">
      <c r="A121" s="2">
        <v>118</v>
      </c>
      <c r="B121" s="7">
        <v>11999.998825448305</v>
      </c>
      <c r="C121" s="7">
        <v>9328.9118105424568</v>
      </c>
      <c r="D121" s="7">
        <v>117.71499191783369</v>
      </c>
      <c r="E121" s="7">
        <v>1186.53</v>
      </c>
    </row>
    <row r="122" spans="1:5" x14ac:dyDescent="0.25">
      <c r="A122" s="2">
        <v>119</v>
      </c>
      <c r="B122" s="7">
        <v>12000.00124695615</v>
      </c>
      <c r="C122" s="7">
        <v>9358.342387507204</v>
      </c>
      <c r="D122" s="7">
        <v>128.90513433143497</v>
      </c>
      <c r="E122" s="7">
        <v>1089.53</v>
      </c>
    </row>
    <row r="123" spans="1:5" x14ac:dyDescent="0.25">
      <c r="A123" s="2">
        <v>120</v>
      </c>
      <c r="B123" s="7">
        <v>11999.999540423138</v>
      </c>
      <c r="C123" s="7">
        <v>9387.8483237384644</v>
      </c>
      <c r="D123" s="7">
        <v>110.82190977409482</v>
      </c>
      <c r="E123" s="7">
        <v>1018.43</v>
      </c>
    </row>
    <row r="124" spans="1:5" x14ac:dyDescent="0.25">
      <c r="A124" s="2">
        <v>121</v>
      </c>
      <c r="B124" s="7">
        <v>11999.99999565759</v>
      </c>
      <c r="C124" s="7">
        <v>9411.2277027235832</v>
      </c>
      <c r="D124" s="7">
        <v>102.08022071048617</v>
      </c>
      <c r="E124" s="7">
        <v>949.90200000000004</v>
      </c>
    </row>
    <row r="125" spans="1:5" x14ac:dyDescent="0.25">
      <c r="A125" s="2">
        <v>122</v>
      </c>
      <c r="B125" s="7">
        <v>11999.999670948697</v>
      </c>
      <c r="C125" s="7">
        <v>9426.9504790073261</v>
      </c>
      <c r="D125" s="7">
        <v>100.7246631286107</v>
      </c>
      <c r="E125" s="7">
        <v>882.846</v>
      </c>
    </row>
    <row r="126" spans="1:5" x14ac:dyDescent="0.25">
      <c r="A126" s="2">
        <v>123</v>
      </c>
      <c r="B126" s="7">
        <v>11999.999749582563</v>
      </c>
      <c r="C126" s="7">
        <v>9441.6188235430745</v>
      </c>
      <c r="D126" s="7">
        <v>89.469241127371788</v>
      </c>
      <c r="E126" s="7">
        <v>821.00099999999998</v>
      </c>
    </row>
    <row r="127" spans="1:5" x14ac:dyDescent="0.25">
      <c r="A127" s="2">
        <v>124</v>
      </c>
      <c r="B127" s="7">
        <v>11999.999602377246</v>
      </c>
      <c r="C127" s="7">
        <v>9448.245103037334</v>
      </c>
      <c r="D127" s="7">
        <v>89.677827946841717</v>
      </c>
      <c r="E127" s="7">
        <v>757.00599999999997</v>
      </c>
    </row>
    <row r="128" spans="1:5" x14ac:dyDescent="0.25">
      <c r="A128" s="2">
        <v>125</v>
      </c>
      <c r="B128" s="7">
        <v>11999.999716458835</v>
      </c>
      <c r="C128" s="7">
        <v>9461.9636755269021</v>
      </c>
      <c r="D128" s="7">
        <v>96.334978820756078</v>
      </c>
      <c r="E128" s="7">
        <v>694.60799999999995</v>
      </c>
    </row>
    <row r="129" spans="1:5" x14ac:dyDescent="0.25">
      <c r="A129" s="2">
        <v>126</v>
      </c>
      <c r="B129" s="7">
        <v>12000.0003369229</v>
      </c>
      <c r="C129" s="7">
        <v>9474.7088146671304</v>
      </c>
      <c r="D129" s="7">
        <v>82.015072371810675</v>
      </c>
      <c r="E129" s="7">
        <v>649.779</v>
      </c>
    </row>
    <row r="130" spans="1:5" x14ac:dyDescent="0.25">
      <c r="A130" s="2">
        <v>127</v>
      </c>
      <c r="B130" s="7">
        <v>11999.999668896931</v>
      </c>
      <c r="C130" s="7">
        <v>9486.4522985676886</v>
      </c>
      <c r="D130" s="7">
        <v>94.351194830611348</v>
      </c>
      <c r="E130" s="7">
        <v>593.36199999999997</v>
      </c>
    </row>
    <row r="131" spans="1:5" x14ac:dyDescent="0.25">
      <c r="A131" s="2">
        <v>128</v>
      </c>
      <c r="B131" s="7">
        <v>12000.000509315432</v>
      </c>
      <c r="C131" s="7">
        <v>9495.6962133189663</v>
      </c>
      <c r="D131" s="7">
        <v>48.056911056861281</v>
      </c>
      <c r="E131" s="7">
        <v>558.56799999999998</v>
      </c>
    </row>
    <row r="132" spans="1:5" x14ac:dyDescent="0.25">
      <c r="A132" s="2">
        <v>129</v>
      </c>
      <c r="B132" s="7">
        <v>11999.999800905864</v>
      </c>
      <c r="C132" s="7">
        <v>9504.0980824367143</v>
      </c>
      <c r="D132" s="7">
        <v>65.585404954850674</v>
      </c>
      <c r="E132" s="7">
        <v>478.90100000000001</v>
      </c>
    </row>
    <row r="133" spans="1:5" x14ac:dyDescent="0.25">
      <c r="A133" s="2">
        <v>130</v>
      </c>
      <c r="B133" s="7">
        <v>11999.999689391401</v>
      </c>
      <c r="C133" s="7">
        <v>9507.9540325729176</v>
      </c>
      <c r="D133" s="7">
        <v>46.400497806956992</v>
      </c>
      <c r="E133" s="7">
        <v>428.79300000000001</v>
      </c>
    </row>
    <row r="134" spans="1:5" x14ac:dyDescent="0.25">
      <c r="A134" s="2">
        <v>131</v>
      </c>
      <c r="B134" s="7">
        <v>12000.000313415907</v>
      </c>
      <c r="C134" s="7">
        <v>9523.7881932663731</v>
      </c>
      <c r="D134" s="7">
        <v>51.471027694642544</v>
      </c>
      <c r="E134" s="7">
        <v>360.46899999999999</v>
      </c>
    </row>
    <row r="135" spans="1:5" x14ac:dyDescent="0.25">
      <c r="A135" s="2">
        <v>132</v>
      </c>
      <c r="B135" s="7">
        <v>12000.000098417562</v>
      </c>
      <c r="C135" s="7">
        <v>9537.8120914513711</v>
      </c>
      <c r="D135" s="7">
        <v>56.046415386430454</v>
      </c>
      <c r="E135" s="7">
        <v>299.01</v>
      </c>
    </row>
    <row r="136" spans="1:5" x14ac:dyDescent="0.25">
      <c r="A136" s="2">
        <v>133</v>
      </c>
      <c r="B136" s="7">
        <v>11999.999519774607</v>
      </c>
      <c r="C136" s="7">
        <v>9542.5672071543522</v>
      </c>
      <c r="D136" s="7">
        <v>59.258456352516077</v>
      </c>
      <c r="E136" s="7">
        <v>240.215</v>
      </c>
    </row>
    <row r="137" spans="1:5" x14ac:dyDescent="0.25">
      <c r="A137" s="2">
        <v>134</v>
      </c>
      <c r="B137" s="7">
        <v>12000.000295558179</v>
      </c>
      <c r="C137" s="7">
        <v>9548.1672351190355</v>
      </c>
      <c r="D137" s="7">
        <v>56.952181198634207</v>
      </c>
      <c r="E137" s="7">
        <v>176.76</v>
      </c>
    </row>
    <row r="138" spans="1:5" x14ac:dyDescent="0.25">
      <c r="A138" s="2">
        <v>135</v>
      </c>
      <c r="B138" s="7">
        <v>11999.999528110176</v>
      </c>
      <c r="C138" s="7">
        <v>9554.268966644071</v>
      </c>
      <c r="D138" s="7">
        <v>80.386204842478037</v>
      </c>
      <c r="E138" s="7">
        <v>103.17700000000001</v>
      </c>
    </row>
    <row r="139" spans="1:5" x14ac:dyDescent="0.25">
      <c r="A139" s="2">
        <v>136</v>
      </c>
      <c r="B139" s="7">
        <v>11999.999983974039</v>
      </c>
      <c r="C139" s="7">
        <v>9560.3087538047694</v>
      </c>
      <c r="D139" s="7">
        <v>73.126986389688682</v>
      </c>
      <c r="E139" s="7">
        <v>48.381</v>
      </c>
    </row>
    <row r="140" spans="1:5" x14ac:dyDescent="0.25">
      <c r="A140" s="2">
        <v>137</v>
      </c>
      <c r="B140" s="7">
        <v>11999.999996338727</v>
      </c>
      <c r="C140" s="7">
        <v>9570.3365909428103</v>
      </c>
      <c r="D140" s="7">
        <v>59.971198369166814</v>
      </c>
      <c r="E140" s="7">
        <v>-17.910299999999999</v>
      </c>
    </row>
    <row r="141" spans="1:5" x14ac:dyDescent="0.25">
      <c r="A141" s="2">
        <v>138</v>
      </c>
      <c r="B141" s="7">
        <v>12000.000017158394</v>
      </c>
      <c r="C141" s="7">
        <v>9583.1212125886232</v>
      </c>
      <c r="D141" s="7">
        <v>111.37964295456186</v>
      </c>
      <c r="E141" s="7">
        <v>-106.79900000000001</v>
      </c>
    </row>
    <row r="142" spans="1:5" x14ac:dyDescent="0.25">
      <c r="A142" s="2">
        <v>139</v>
      </c>
      <c r="B142" s="7">
        <v>12000.000121895326</v>
      </c>
      <c r="C142" s="7">
        <v>9588.4286032163072</v>
      </c>
      <c r="D142" s="7">
        <v>86.370082087814808</v>
      </c>
      <c r="E142" s="7">
        <v>-154.86000000000001</v>
      </c>
    </row>
    <row r="143" spans="1:5" x14ac:dyDescent="0.25">
      <c r="A143" s="2">
        <v>140</v>
      </c>
      <c r="B143" s="7">
        <v>11999.999776268991</v>
      </c>
      <c r="C143" s="7">
        <v>9597.483512729872</v>
      </c>
      <c r="D143" s="7">
        <v>124.18324614828452</v>
      </c>
      <c r="E143" s="7">
        <v>-237.97</v>
      </c>
    </row>
    <row r="144" spans="1:5" x14ac:dyDescent="0.25">
      <c r="A144" s="2">
        <v>141</v>
      </c>
      <c r="B144" s="7">
        <v>12000.000392295809</v>
      </c>
      <c r="C144" s="7">
        <v>9608.2361069186591</v>
      </c>
      <c r="D144" s="7">
        <v>124.58327295887284</v>
      </c>
      <c r="E144" s="7">
        <v>-285.23</v>
      </c>
    </row>
    <row r="145" spans="1:5" x14ac:dyDescent="0.25">
      <c r="A145" s="2">
        <v>142</v>
      </c>
      <c r="B145" s="7">
        <v>12000.000389303688</v>
      </c>
      <c r="C145" s="7">
        <v>9610.6873601830303</v>
      </c>
      <c r="D145" s="7">
        <v>119.74561281688511</v>
      </c>
      <c r="E145" s="7">
        <v>-344.19200000000001</v>
      </c>
    </row>
    <row r="146" spans="1:5" x14ac:dyDescent="0.25">
      <c r="A146" s="2">
        <v>143</v>
      </c>
      <c r="B146" s="7">
        <v>12000.000351389199</v>
      </c>
      <c r="C146" s="7">
        <v>9613.729388301188</v>
      </c>
      <c r="D146" s="7">
        <v>142.74279804783873</v>
      </c>
      <c r="E146" s="7">
        <v>-411.71899999999999</v>
      </c>
    </row>
    <row r="147" spans="1:5" x14ac:dyDescent="0.25">
      <c r="A147" s="2">
        <v>144</v>
      </c>
      <c r="B147" s="7">
        <v>12000.000096229676</v>
      </c>
      <c r="C147" s="7">
        <v>9618.1925897385081</v>
      </c>
      <c r="D147" s="7">
        <v>148.8420506878756</v>
      </c>
      <c r="E147" s="7">
        <v>-470.67399999999998</v>
      </c>
    </row>
    <row r="148" spans="1:5" x14ac:dyDescent="0.25">
      <c r="A148" s="2">
        <v>145</v>
      </c>
      <c r="B148" s="7">
        <v>11999.999624136823</v>
      </c>
      <c r="C148" s="7">
        <v>9625.3733883147215</v>
      </c>
      <c r="D148" s="7">
        <v>161.38147487863898</v>
      </c>
      <c r="E148" s="7">
        <v>-530.29600000000005</v>
      </c>
    </row>
    <row r="149" spans="1:5" x14ac:dyDescent="0.25">
      <c r="A149" s="2">
        <v>146</v>
      </c>
      <c r="B149" s="7">
        <v>12000.000299820082</v>
      </c>
      <c r="C149" s="7">
        <v>9628.5465486381436</v>
      </c>
      <c r="D149" s="7">
        <v>164.92716904403642</v>
      </c>
      <c r="E149" s="7">
        <v>-599.08000000000004</v>
      </c>
    </row>
    <row r="150" spans="1:5" x14ac:dyDescent="0.25">
      <c r="A150" s="2">
        <v>147</v>
      </c>
      <c r="B150" s="7">
        <v>11999.999669251496</v>
      </c>
      <c r="C150" s="7">
        <v>9629.2359222802334</v>
      </c>
      <c r="D150" s="7">
        <v>168.64239821955562</v>
      </c>
      <c r="E150" s="7">
        <v>-660.26099999999997</v>
      </c>
    </row>
    <row r="151" spans="1:5" x14ac:dyDescent="0.25">
      <c r="A151" s="2">
        <v>148</v>
      </c>
      <c r="B151" s="7">
        <v>12000.00044159682</v>
      </c>
      <c r="C151" s="7">
        <v>9631.8650727692002</v>
      </c>
      <c r="D151" s="7">
        <v>164.44071236718446</v>
      </c>
      <c r="E151" s="7">
        <v>-714.56200000000001</v>
      </c>
    </row>
    <row r="152" spans="1:5" x14ac:dyDescent="0.25">
      <c r="A152" s="2">
        <v>149</v>
      </c>
      <c r="B152" s="7">
        <v>11999.999938718443</v>
      </c>
      <c r="C152" s="7">
        <v>9636.2886016806588</v>
      </c>
      <c r="D152" s="7">
        <v>200.8399037886411</v>
      </c>
      <c r="E152" s="7">
        <v>-782.34299999999996</v>
      </c>
    </row>
    <row r="153" spans="1:5" x14ac:dyDescent="0.25">
      <c r="A153" s="2">
        <v>150</v>
      </c>
      <c r="B153" s="7">
        <v>11999.99958257031</v>
      </c>
      <c r="C153" s="7">
        <v>9640.469957733294</v>
      </c>
      <c r="D153" s="7">
        <v>216.95093119889498</v>
      </c>
      <c r="E153" s="7">
        <v>-837.92100000000005</v>
      </c>
    </row>
    <row r="154" spans="1:5" x14ac:dyDescent="0.25">
      <c r="A154" s="2">
        <v>151</v>
      </c>
      <c r="B154" s="7">
        <v>12000.000382253644</v>
      </c>
      <c r="C154" s="7">
        <v>9641.0994636677206</v>
      </c>
      <c r="D154" s="7">
        <v>201.84363230038434</v>
      </c>
      <c r="E154" s="7">
        <v>-893.18700000000001</v>
      </c>
    </row>
    <row r="155" spans="1:5" x14ac:dyDescent="0.25">
      <c r="A155" s="2">
        <v>152</v>
      </c>
      <c r="B155" s="7">
        <v>11999.999753024036</v>
      </c>
      <c r="C155" s="7">
        <v>9640.529627131531</v>
      </c>
      <c r="D155" s="7">
        <v>200.72618568316102</v>
      </c>
      <c r="E155" s="7">
        <v>-953.78399999999999</v>
      </c>
    </row>
    <row r="156" spans="1:5" x14ac:dyDescent="0.25">
      <c r="A156" s="2">
        <v>153</v>
      </c>
      <c r="B156" s="7">
        <v>11999.9989308398</v>
      </c>
      <c r="C156" s="7">
        <v>9644.3208940781187</v>
      </c>
      <c r="D156" s="7">
        <v>193.68494543246925</v>
      </c>
      <c r="E156" s="7">
        <v>-1011.82</v>
      </c>
    </row>
    <row r="157" spans="1:5" x14ac:dyDescent="0.25">
      <c r="A157" s="2">
        <v>154</v>
      </c>
      <c r="B157" s="7">
        <v>12000.000737552489</v>
      </c>
      <c r="C157" s="7">
        <v>9648.5344111056766</v>
      </c>
      <c r="D157" s="7">
        <v>213.65337519627064</v>
      </c>
      <c r="E157" s="7">
        <v>-1075.19</v>
      </c>
    </row>
    <row r="158" spans="1:5" x14ac:dyDescent="0.25">
      <c r="A158" s="2">
        <v>155</v>
      </c>
      <c r="B158" s="7">
        <v>11999.997025885061</v>
      </c>
      <c r="C158" s="7">
        <v>9651.8188499165117</v>
      </c>
      <c r="D158" s="7">
        <v>213.67830308154225</v>
      </c>
      <c r="E158" s="7">
        <v>-1133.51</v>
      </c>
    </row>
    <row r="159" spans="1:5" x14ac:dyDescent="0.25">
      <c r="A159" s="2">
        <v>156</v>
      </c>
      <c r="B159" s="7">
        <v>12000.003688614845</v>
      </c>
      <c r="C159" s="7">
        <v>9652.2717216623132</v>
      </c>
      <c r="D159" s="7">
        <v>237.69737672246993</v>
      </c>
      <c r="E159" s="7">
        <v>-1201.3900000000001</v>
      </c>
    </row>
    <row r="160" spans="1:5" x14ac:dyDescent="0.25">
      <c r="A160" s="2">
        <v>157</v>
      </c>
      <c r="B160" s="7">
        <v>11999.997546589679</v>
      </c>
      <c r="C160" s="7">
        <v>9658.3051779864472</v>
      </c>
      <c r="D160" s="7">
        <v>212.04505126085132</v>
      </c>
      <c r="E160" s="7">
        <v>-1238.82</v>
      </c>
    </row>
    <row r="161" spans="1:5" x14ac:dyDescent="0.25">
      <c r="A161" s="2">
        <v>158</v>
      </c>
      <c r="B161" s="7">
        <v>12000.001890710151</v>
      </c>
      <c r="C161" s="7">
        <v>9659.4885106292204</v>
      </c>
      <c r="D161" s="7">
        <v>212.22295949608088</v>
      </c>
      <c r="E161" s="7">
        <v>-1304.77</v>
      </c>
    </row>
    <row r="162" spans="1:5" x14ac:dyDescent="0.25">
      <c r="A162" s="2">
        <v>159</v>
      </c>
      <c r="B162" s="7">
        <v>12000.003849561641</v>
      </c>
      <c r="C162" s="7">
        <v>9659.5416553504765</v>
      </c>
      <c r="D162" s="7">
        <v>237.83421974908561</v>
      </c>
      <c r="E162" s="7">
        <v>-1364.01</v>
      </c>
    </row>
    <row r="163" spans="1:5" x14ac:dyDescent="0.25">
      <c r="A163" s="2">
        <v>160</v>
      </c>
      <c r="B163" s="7">
        <v>11999.998466538067</v>
      </c>
      <c r="C163" s="7">
        <v>9654.535728989169</v>
      </c>
      <c r="D163" s="7">
        <v>238.61347416949866</v>
      </c>
      <c r="E163" s="7">
        <v>-1409.99</v>
      </c>
    </row>
    <row r="164" spans="1:5" x14ac:dyDescent="0.25">
      <c r="A164" s="2">
        <v>161</v>
      </c>
      <c r="B164" s="7">
        <v>11999.998243108412</v>
      </c>
      <c r="C164" s="7">
        <v>9650.9372139924672</v>
      </c>
      <c r="D164" s="7">
        <v>218.77612155489624</v>
      </c>
      <c r="E164" s="7">
        <v>-1454.49</v>
      </c>
    </row>
    <row r="165" spans="1:5" x14ac:dyDescent="0.25">
      <c r="A165" s="2">
        <v>162</v>
      </c>
      <c r="B165" s="7">
        <v>12000.002748656372</v>
      </c>
      <c r="C165" s="7">
        <v>9646.0446899924427</v>
      </c>
      <c r="D165" s="7">
        <v>229.3787464145571</v>
      </c>
      <c r="E165" s="7">
        <v>-1533.4</v>
      </c>
    </row>
    <row r="166" spans="1:5" x14ac:dyDescent="0.25">
      <c r="A166" s="2">
        <v>163</v>
      </c>
      <c r="B166" s="7">
        <v>12000.004769437219</v>
      </c>
      <c r="C166" s="7">
        <v>9646.9478663904592</v>
      </c>
      <c r="D166" s="7">
        <v>240.26918532047421</v>
      </c>
      <c r="E166" s="7">
        <v>-1596.14</v>
      </c>
    </row>
    <row r="167" spans="1:5" x14ac:dyDescent="0.25">
      <c r="A167" s="2">
        <v>164</v>
      </c>
      <c r="B167" s="7">
        <v>11999.99689307287</v>
      </c>
      <c r="C167" s="7">
        <v>9650.1100626583211</v>
      </c>
      <c r="D167" s="7">
        <v>262.02366142906249</v>
      </c>
      <c r="E167" s="7">
        <v>-1655.85</v>
      </c>
    </row>
    <row r="168" spans="1:5" x14ac:dyDescent="0.25">
      <c r="A168" s="2">
        <v>165</v>
      </c>
      <c r="B168" s="7">
        <v>12000.003849298409</v>
      </c>
      <c r="C168" s="7">
        <v>9645.6524706417695</v>
      </c>
      <c r="D168" s="7">
        <v>267.27271311357617</v>
      </c>
      <c r="E168" s="7">
        <v>-1713.79</v>
      </c>
    </row>
    <row r="169" spans="1:5" x14ac:dyDescent="0.25">
      <c r="A169" s="2">
        <v>166</v>
      </c>
      <c r="B169" s="7">
        <v>11999.997950196988</v>
      </c>
      <c r="C169" s="7">
        <v>9643.1687525917077</v>
      </c>
      <c r="D169" s="7">
        <v>248.86007473466452</v>
      </c>
      <c r="E169" s="7">
        <v>-1757.01</v>
      </c>
    </row>
    <row r="170" spans="1:5" x14ac:dyDescent="0.25">
      <c r="A170" s="2">
        <v>167</v>
      </c>
      <c r="B170" s="7">
        <v>12000.0023979701</v>
      </c>
      <c r="C170" s="7">
        <v>9642.9526345494669</v>
      </c>
      <c r="D170" s="7">
        <v>253.0746047059074</v>
      </c>
      <c r="E170" s="7">
        <v>-1830.64</v>
      </c>
    </row>
    <row r="171" spans="1:5" x14ac:dyDescent="0.25">
      <c r="A171" s="2">
        <v>168</v>
      </c>
      <c r="B171" s="7">
        <v>12000.000179064296</v>
      </c>
      <c r="C171" s="7">
        <v>9644.3126045784447</v>
      </c>
      <c r="D171" s="7">
        <v>240.4607694982551</v>
      </c>
      <c r="E171" s="7">
        <v>-1882.05</v>
      </c>
    </row>
    <row r="172" spans="1:5" x14ac:dyDescent="0.25">
      <c r="A172" s="2">
        <v>169</v>
      </c>
      <c r="B172" s="7">
        <v>11999.995250362555</v>
      </c>
      <c r="C172" s="7">
        <v>9642.3198175203288</v>
      </c>
      <c r="D172" s="7">
        <v>272.05683352681808</v>
      </c>
      <c r="E172" s="7">
        <v>-1949.33</v>
      </c>
    </row>
    <row r="173" spans="1:5" x14ac:dyDescent="0.25">
      <c r="A173" s="2">
        <v>170</v>
      </c>
      <c r="B173" s="7">
        <v>11999.995279473162</v>
      </c>
      <c r="C173" s="7">
        <v>9647.7968038250692</v>
      </c>
      <c r="D173" s="7">
        <v>261.99079442908987</v>
      </c>
      <c r="E173" s="7">
        <v>-2000.37</v>
      </c>
    </row>
    <row r="174" spans="1:5" x14ac:dyDescent="0.25">
      <c r="A174" s="2">
        <v>171</v>
      </c>
      <c r="B174" s="7">
        <v>12000.003026351991</v>
      </c>
      <c r="C174" s="7">
        <v>9647.3150818439899</v>
      </c>
      <c r="D174" s="7">
        <v>266.94609184050933</v>
      </c>
      <c r="E174" s="7">
        <v>-2054.9499999999998</v>
      </c>
    </row>
    <row r="175" spans="1:5" x14ac:dyDescent="0.25">
      <c r="A175" s="2">
        <v>172</v>
      </c>
      <c r="B175" s="7">
        <v>12000.000696078965</v>
      </c>
      <c r="C175" s="7">
        <v>9645.5524419991998</v>
      </c>
      <c r="D175" s="7">
        <v>276.37367295287549</v>
      </c>
      <c r="E175" s="7">
        <v>-2115.1999999999998</v>
      </c>
    </row>
    <row r="176" spans="1:5" x14ac:dyDescent="0.25">
      <c r="A176" s="2">
        <v>173</v>
      </c>
      <c r="B176" s="7">
        <v>11999.997913990866</v>
      </c>
      <c r="C176" s="7">
        <v>9642.3076368660841</v>
      </c>
      <c r="D176" s="7">
        <v>240.47392586246133</v>
      </c>
      <c r="E176" s="7">
        <v>-2151.7399999999998</v>
      </c>
    </row>
    <row r="177" spans="1:5" x14ac:dyDescent="0.25">
      <c r="A177" s="2">
        <v>174</v>
      </c>
      <c r="B177" s="7">
        <v>11999.998838869271</v>
      </c>
      <c r="C177" s="7">
        <v>9641.6504663090454</v>
      </c>
      <c r="D177" s="7">
        <v>258.59563476033509</v>
      </c>
      <c r="E177" s="7">
        <v>-2228.85</v>
      </c>
    </row>
    <row r="178" spans="1:5" x14ac:dyDescent="0.25">
      <c r="A178" s="2">
        <v>175</v>
      </c>
      <c r="B178" s="7">
        <v>11999.999748135393</v>
      </c>
      <c r="C178" s="7">
        <v>9641.7900236574933</v>
      </c>
      <c r="D178" s="7">
        <v>267.25798753835261</v>
      </c>
      <c r="E178" s="7">
        <v>-2284.3200000000002</v>
      </c>
    </row>
    <row r="179" spans="1:5" x14ac:dyDescent="0.25">
      <c r="A179" s="2">
        <v>176</v>
      </c>
      <c r="B179" s="7">
        <v>12000.003697956272</v>
      </c>
      <c r="C179" s="7">
        <v>9645.6819657620508</v>
      </c>
      <c r="D179" s="7">
        <v>260.41527465730906</v>
      </c>
      <c r="E179" s="7">
        <v>-2344.3200000000002</v>
      </c>
    </row>
    <row r="180" spans="1:5" x14ac:dyDescent="0.25">
      <c r="A180" s="2">
        <v>177</v>
      </c>
      <c r="B180" s="7">
        <v>11999.995621721131</v>
      </c>
      <c r="C180" s="7">
        <v>9654.0469268907327</v>
      </c>
      <c r="D180" s="7">
        <v>269.30815937090665</v>
      </c>
      <c r="E180" s="7">
        <v>-2418.2600000000002</v>
      </c>
    </row>
    <row r="181" spans="1:5" x14ac:dyDescent="0.25">
      <c r="A181" s="2">
        <v>178</v>
      </c>
      <c r="B181" s="7">
        <v>11999.99685226275</v>
      </c>
      <c r="C181" s="7">
        <v>9662.3660462481203</v>
      </c>
      <c r="D181" s="7">
        <v>271.98912177421153</v>
      </c>
      <c r="E181" s="7">
        <v>-2499.38</v>
      </c>
    </row>
    <row r="182" spans="1:5" x14ac:dyDescent="0.25">
      <c r="A182" s="2">
        <v>179</v>
      </c>
      <c r="B182" s="7">
        <v>12000.002074646953</v>
      </c>
      <c r="C182" s="7">
        <v>9660.7920880863676</v>
      </c>
      <c r="D182" s="7">
        <v>271.92356921453029</v>
      </c>
      <c r="E182" s="7">
        <v>-2574.54</v>
      </c>
    </row>
    <row r="183" spans="1:5" x14ac:dyDescent="0.25">
      <c r="A183" s="2">
        <v>180</v>
      </c>
      <c r="B183" s="7">
        <v>12000.00144917555</v>
      </c>
      <c r="C183" s="7">
        <v>9659.6303451855201</v>
      </c>
      <c r="D183" s="7">
        <v>273.62756101391278</v>
      </c>
      <c r="E183" s="7">
        <v>-2638.55</v>
      </c>
    </row>
    <row r="184" spans="1:5" x14ac:dyDescent="0.25">
      <c r="A184" s="2">
        <v>181</v>
      </c>
      <c r="B184" s="7">
        <v>12000.000576966449</v>
      </c>
      <c r="C184" s="7">
        <v>9661.194801848731</v>
      </c>
      <c r="D184" s="7">
        <v>251.25083955656737</v>
      </c>
      <c r="E184" s="7">
        <v>-2701.14</v>
      </c>
    </row>
    <row r="185" spans="1:5" x14ac:dyDescent="0.25">
      <c r="A185" s="2">
        <v>182</v>
      </c>
      <c r="B185" s="7">
        <v>12000.004154152095</v>
      </c>
      <c r="C185" s="7">
        <v>9664.4030174203217</v>
      </c>
      <c r="D185" s="7">
        <v>260.3300954028964</v>
      </c>
      <c r="E185" s="7">
        <v>-2781.11</v>
      </c>
    </row>
    <row r="186" spans="1:5" x14ac:dyDescent="0.25">
      <c r="A186" s="2">
        <v>183</v>
      </c>
      <c r="B186" s="7">
        <v>12000.002715950661</v>
      </c>
      <c r="C186" s="7">
        <v>9667.7731416521128</v>
      </c>
      <c r="D186" s="7">
        <v>245.30499386391602</v>
      </c>
      <c r="E186" s="7">
        <v>-2838.55</v>
      </c>
    </row>
    <row r="187" spans="1:5" x14ac:dyDescent="0.25">
      <c r="A187" s="2">
        <v>184</v>
      </c>
      <c r="B187" s="7">
        <v>11999.995128158811</v>
      </c>
      <c r="C187" s="7">
        <v>9666.2062891538953</v>
      </c>
      <c r="D187" s="7">
        <v>270.15451925806701</v>
      </c>
      <c r="E187" s="7">
        <v>-2926.34</v>
      </c>
    </row>
    <row r="188" spans="1:5" x14ac:dyDescent="0.25">
      <c r="A188" s="2">
        <v>185</v>
      </c>
      <c r="B188" s="7">
        <v>11999.999988344856</v>
      </c>
      <c r="C188" s="7">
        <v>9663.8264954360202</v>
      </c>
      <c r="D188" s="7">
        <v>295.65821036603302</v>
      </c>
      <c r="E188" s="7">
        <v>-2997.85</v>
      </c>
    </row>
    <row r="189" spans="1:5" x14ac:dyDescent="0.25">
      <c r="A189" s="2">
        <v>186</v>
      </c>
      <c r="B189" s="7">
        <v>11999.999853159134</v>
      </c>
      <c r="C189" s="7">
        <v>9663.7784502988216</v>
      </c>
      <c r="D189" s="7">
        <v>296.28432399500161</v>
      </c>
      <c r="E189" s="7">
        <v>-3061.68</v>
      </c>
    </row>
    <row r="190" spans="1:5" x14ac:dyDescent="0.25">
      <c r="A190" s="2">
        <v>187</v>
      </c>
      <c r="B190" s="7">
        <v>12000.003204895873</v>
      </c>
      <c r="C190" s="7">
        <v>9669.8781200111844</v>
      </c>
      <c r="D190" s="7">
        <v>282.29434403311461</v>
      </c>
      <c r="E190" s="7">
        <v>-3131.97</v>
      </c>
    </row>
    <row r="191" spans="1:5" x14ac:dyDescent="0.25">
      <c r="A191" s="2">
        <v>188</v>
      </c>
      <c r="B191" s="7">
        <v>12000.001859950034</v>
      </c>
      <c r="C191" s="7">
        <v>9665.5647307648323</v>
      </c>
      <c r="D191" s="7">
        <v>289.62798897409812</v>
      </c>
      <c r="E191" s="7">
        <v>-3208.92</v>
      </c>
    </row>
    <row r="192" spans="1:5" x14ac:dyDescent="0.25">
      <c r="A192" s="2">
        <v>189</v>
      </c>
      <c r="B192" s="7">
        <v>11999.997246615436</v>
      </c>
      <c r="C192" s="7">
        <v>9669.6429762457265</v>
      </c>
      <c r="D192" s="7">
        <v>263.39598820742685</v>
      </c>
      <c r="E192" s="7">
        <v>-3276.45</v>
      </c>
    </row>
    <row r="193" spans="1:5" x14ac:dyDescent="0.25">
      <c r="A193" s="2">
        <v>190</v>
      </c>
      <c r="B193" s="7">
        <v>12000.004010731864</v>
      </c>
      <c r="C193" s="7">
        <v>9678.3294090959243</v>
      </c>
      <c r="D193" s="7">
        <v>247.04339468572289</v>
      </c>
      <c r="E193" s="7">
        <v>-3359.59</v>
      </c>
    </row>
    <row r="194" spans="1:5" x14ac:dyDescent="0.25">
      <c r="A194" s="2">
        <v>191</v>
      </c>
      <c r="B194" s="7">
        <v>12000.002139648663</v>
      </c>
      <c r="C194" s="7">
        <v>9685.2921880767972</v>
      </c>
      <c r="D194" s="7">
        <v>230.22311733290553</v>
      </c>
      <c r="E194" s="7">
        <v>-3432.89</v>
      </c>
    </row>
    <row r="195" spans="1:5" x14ac:dyDescent="0.25">
      <c r="A195" s="2">
        <v>192</v>
      </c>
      <c r="B195" s="7">
        <v>11999.995979113359</v>
      </c>
      <c r="C195" s="7">
        <v>9696.9518248867244</v>
      </c>
      <c r="D195" s="7">
        <v>244.93446857761592</v>
      </c>
      <c r="E195" s="7">
        <v>-3530.96</v>
      </c>
    </row>
    <row r="196" spans="1:5" x14ac:dyDescent="0.25">
      <c r="A196" s="2">
        <v>193</v>
      </c>
      <c r="B196" s="7">
        <v>11999.99577469113</v>
      </c>
      <c r="C196" s="7">
        <v>9705.5399118196219</v>
      </c>
      <c r="D196" s="7">
        <v>225.93893042393029</v>
      </c>
      <c r="E196" s="7">
        <v>-3619.19</v>
      </c>
    </row>
    <row r="197" spans="1:5" x14ac:dyDescent="0.25">
      <c r="A197" s="2">
        <v>194</v>
      </c>
      <c r="B197" s="7">
        <v>11999.999223484077</v>
      </c>
      <c r="C197" s="7">
        <v>9712.0476913701277</v>
      </c>
      <c r="D197" s="7">
        <v>203.03883972828044</v>
      </c>
      <c r="E197" s="7">
        <v>-3711.36</v>
      </c>
    </row>
    <row r="198" spans="1:5" x14ac:dyDescent="0.25">
      <c r="A198" s="2">
        <v>195</v>
      </c>
      <c r="B198" s="7">
        <v>12000.00069295836</v>
      </c>
      <c r="C198" s="7">
        <v>9712.0255746424664</v>
      </c>
      <c r="D198" s="7">
        <v>233.53986600227654</v>
      </c>
      <c r="E198" s="7">
        <v>-3822.54</v>
      </c>
    </row>
    <row r="199" spans="1:5" x14ac:dyDescent="0.25">
      <c r="A199" s="2">
        <v>196</v>
      </c>
      <c r="B199" s="7">
        <v>11999.996885800376</v>
      </c>
      <c r="C199" s="7">
        <v>9714.0782350958325</v>
      </c>
      <c r="D199" s="7">
        <v>219.95640590041876</v>
      </c>
      <c r="E199" s="7">
        <v>-3909.13</v>
      </c>
    </row>
    <row r="200" spans="1:5" x14ac:dyDescent="0.25">
      <c r="A200" s="2">
        <v>197</v>
      </c>
      <c r="B200" s="7">
        <v>11999.999216427017</v>
      </c>
      <c r="C200" s="7">
        <v>9710.9392381571233</v>
      </c>
      <c r="D200" s="7">
        <v>229.62712820246816</v>
      </c>
      <c r="E200" s="7">
        <v>-4005.39</v>
      </c>
    </row>
    <row r="201" spans="1:5" x14ac:dyDescent="0.25">
      <c r="A201" s="2">
        <v>198</v>
      </c>
      <c r="B201" s="7">
        <v>12000.001320887715</v>
      </c>
      <c r="C201" s="7">
        <v>9711.3540789395774</v>
      </c>
      <c r="D201" s="7">
        <v>223.28705111984164</v>
      </c>
      <c r="E201" s="7">
        <v>-4092.23</v>
      </c>
    </row>
    <row r="202" spans="1:5" x14ac:dyDescent="0.25">
      <c r="A202" s="2">
        <v>199</v>
      </c>
      <c r="B202" s="7">
        <v>12000.005016525536</v>
      </c>
      <c r="C202" s="7">
        <v>9714.9527527401224</v>
      </c>
      <c r="D202" s="7">
        <v>180.63216548971832</v>
      </c>
      <c r="E202" s="7">
        <v>-4169.58</v>
      </c>
    </row>
    <row r="203" spans="1:5" x14ac:dyDescent="0.25">
      <c r="A203" s="2">
        <v>200</v>
      </c>
      <c r="B203" s="7">
        <v>11999.998987611158</v>
      </c>
      <c r="C203" s="7">
        <v>9722.5091457180679</v>
      </c>
      <c r="D203" s="7">
        <v>188.87730201985687</v>
      </c>
      <c r="E203" s="7">
        <v>-4273.29</v>
      </c>
    </row>
    <row r="204" spans="1:5" x14ac:dyDescent="0.25">
      <c r="A204" s="2">
        <v>201</v>
      </c>
      <c r="B204" s="7">
        <v>11999.995128424052</v>
      </c>
      <c r="C204" s="7">
        <v>9726.386472100392</v>
      </c>
      <c r="D204" s="7">
        <v>216.66042005084455</v>
      </c>
      <c r="E204" s="7">
        <v>-4374.4799999999996</v>
      </c>
    </row>
    <row r="205" spans="1:5" x14ac:dyDescent="0.25">
      <c r="A205" s="2">
        <v>202</v>
      </c>
      <c r="B205" s="7">
        <v>11999.999754057551</v>
      </c>
      <c r="C205" s="7">
        <v>9725.3838126393966</v>
      </c>
      <c r="D205" s="7">
        <v>171.16547088301741</v>
      </c>
      <c r="E205" s="7">
        <v>-4450.7700000000004</v>
      </c>
    </row>
    <row r="206" spans="1:5" x14ac:dyDescent="0.25">
      <c r="A206" s="2">
        <v>203</v>
      </c>
      <c r="B206" s="7">
        <v>12000.002592932235</v>
      </c>
      <c r="C206" s="7">
        <v>9734.0354726800579</v>
      </c>
      <c r="D206" s="7">
        <v>178.29641236271709</v>
      </c>
      <c r="E206" s="7">
        <v>-4573.7700000000004</v>
      </c>
    </row>
    <row r="207" spans="1:5" x14ac:dyDescent="0.25">
      <c r="A207" s="2">
        <v>204</v>
      </c>
      <c r="B207" s="7">
        <v>11999.998342680035</v>
      </c>
      <c r="C207" s="7">
        <v>9738.6108907544985</v>
      </c>
      <c r="D207" s="7">
        <v>193.09956930950284</v>
      </c>
      <c r="E207" s="7">
        <v>-4670.5200000000004</v>
      </c>
    </row>
    <row r="208" spans="1:5" x14ac:dyDescent="0.25">
      <c r="A208" s="2">
        <v>205</v>
      </c>
      <c r="B208" s="7">
        <v>12000.002281830542</v>
      </c>
      <c r="C208" s="7">
        <v>9747.1633734812494</v>
      </c>
      <c r="D208" s="7">
        <v>141.03128623217344</v>
      </c>
      <c r="E208" s="7">
        <v>-4768.72</v>
      </c>
    </row>
    <row r="209" spans="1:5" x14ac:dyDescent="0.25">
      <c r="A209" s="2">
        <v>206</v>
      </c>
      <c r="B209" s="7">
        <v>11999.998417006775</v>
      </c>
      <c r="C209" s="7">
        <v>9748.8021702528713</v>
      </c>
      <c r="D209" s="7">
        <v>156.5273495092988</v>
      </c>
      <c r="E209" s="7">
        <v>-4889.97</v>
      </c>
    </row>
    <row r="210" spans="1:5" x14ac:dyDescent="0.25">
      <c r="A210" s="2">
        <v>207</v>
      </c>
      <c r="B210" s="7">
        <v>12000.001309513453</v>
      </c>
      <c r="C210" s="7">
        <v>9748.5662508700043</v>
      </c>
      <c r="D210" s="7">
        <v>195.11262536328286</v>
      </c>
      <c r="E210" s="7">
        <v>-4996.66</v>
      </c>
    </row>
    <row r="211" spans="1:5" x14ac:dyDescent="0.25">
      <c r="A211" s="2">
        <v>208</v>
      </c>
      <c r="B211" s="7">
        <v>11999.996107136321</v>
      </c>
      <c r="C211" s="7">
        <v>9742.9082757858559</v>
      </c>
      <c r="D211" s="7">
        <v>193.68973817303777</v>
      </c>
      <c r="E211" s="7">
        <v>-5067.83</v>
      </c>
    </row>
    <row r="212" spans="1:5" x14ac:dyDescent="0.25">
      <c r="A212" s="2">
        <v>209</v>
      </c>
      <c r="B212" s="7">
        <v>11999.998457645437</v>
      </c>
      <c r="C212" s="7">
        <v>9737.0179535388015</v>
      </c>
      <c r="D212" s="7">
        <v>213.6195112913847</v>
      </c>
      <c r="E212" s="7">
        <v>-5154.6000000000004</v>
      </c>
    </row>
    <row r="213" spans="1:5" x14ac:dyDescent="0.25">
      <c r="A213" s="2">
        <v>210</v>
      </c>
      <c r="B213" s="7">
        <v>12000.001791898845</v>
      </c>
      <c r="C213" s="7">
        <v>9739.7264022743329</v>
      </c>
      <c r="D213" s="7">
        <v>184.64006976038218</v>
      </c>
      <c r="E213" s="7">
        <v>-5237.37</v>
      </c>
    </row>
    <row r="214" spans="1:5" x14ac:dyDescent="0.25">
      <c r="A214" s="2">
        <v>211</v>
      </c>
      <c r="B214" s="7">
        <v>12000.001174122734</v>
      </c>
      <c r="C214" s="7">
        <v>9745.4211552552879</v>
      </c>
      <c r="D214" s="7">
        <v>207.31846789922565</v>
      </c>
      <c r="E214" s="7">
        <v>-5346.42</v>
      </c>
    </row>
    <row r="215" spans="1:5" x14ac:dyDescent="0.25">
      <c r="A215" s="2">
        <v>212</v>
      </c>
      <c r="B215" s="7">
        <v>11999.995355481287</v>
      </c>
      <c r="C215" s="7">
        <v>9745.7213532479946</v>
      </c>
      <c r="D215" s="7">
        <v>227.97631681710482</v>
      </c>
      <c r="E215" s="7">
        <v>-5454.66</v>
      </c>
    </row>
    <row r="216" spans="1:5" x14ac:dyDescent="0.25">
      <c r="A216" s="2">
        <v>213</v>
      </c>
      <c r="B216" s="7">
        <v>12000.000014862999</v>
      </c>
      <c r="C216" s="7">
        <v>9746.4333834337303</v>
      </c>
      <c r="D216" s="7">
        <v>207.82469342090189</v>
      </c>
      <c r="E216" s="7">
        <v>-5535.23</v>
      </c>
    </row>
    <row r="217" spans="1:5" x14ac:dyDescent="0.25">
      <c r="A217" s="2">
        <v>214</v>
      </c>
      <c r="B217" s="7">
        <v>12000.00176406977</v>
      </c>
      <c r="C217" s="7">
        <v>9744.6108079474652</v>
      </c>
      <c r="D217" s="7">
        <v>217.16269384603947</v>
      </c>
      <c r="E217" s="7">
        <v>-5622.78</v>
      </c>
    </row>
    <row r="218" spans="1:5" x14ac:dyDescent="0.25">
      <c r="A218" s="2">
        <v>215</v>
      </c>
      <c r="B218" s="7">
        <v>12000.000760347295</v>
      </c>
      <c r="C218" s="7">
        <v>9741.4401170477649</v>
      </c>
      <c r="D218" s="7">
        <v>215.63562951702625</v>
      </c>
      <c r="E218" s="7">
        <v>-5697.64</v>
      </c>
    </row>
    <row r="219" spans="1:5" x14ac:dyDescent="0.25">
      <c r="A219" s="2">
        <v>216</v>
      </c>
      <c r="B219" s="7">
        <v>12000.002580792072</v>
      </c>
      <c r="C219" s="7">
        <v>9737.6287509537069</v>
      </c>
      <c r="D219" s="7">
        <v>235.08712252229452</v>
      </c>
      <c r="E219" s="7">
        <v>-5797.56</v>
      </c>
    </row>
    <row r="220" spans="1:5" x14ac:dyDescent="0.25">
      <c r="A220" s="2">
        <v>217</v>
      </c>
      <c r="B220" s="7">
        <v>12000.001995509747</v>
      </c>
      <c r="C220" s="7">
        <v>9742.0948451597942</v>
      </c>
      <c r="D220" s="7">
        <v>244.41456774435937</v>
      </c>
      <c r="E220" s="7">
        <v>-5895.05</v>
      </c>
    </row>
    <row r="221" spans="1:5" x14ac:dyDescent="0.25">
      <c r="A221" s="2">
        <v>218</v>
      </c>
      <c r="B221" s="7">
        <v>11999.999144801695</v>
      </c>
      <c r="C221" s="7">
        <v>9747.7983550028875</v>
      </c>
      <c r="D221" s="7">
        <v>252.29242307506502</v>
      </c>
      <c r="E221" s="7">
        <v>-5993.4</v>
      </c>
    </row>
    <row r="222" spans="1:5" x14ac:dyDescent="0.25">
      <c r="A222" s="2">
        <v>219</v>
      </c>
      <c r="B222" s="7">
        <v>11999.997247400459</v>
      </c>
      <c r="C222" s="7">
        <v>9749.5132612818852</v>
      </c>
      <c r="D222" s="7">
        <v>208.49952630978078</v>
      </c>
      <c r="E222" s="7">
        <v>-6087.45</v>
      </c>
    </row>
    <row r="223" spans="1:5" x14ac:dyDescent="0.25">
      <c r="A223" s="2">
        <v>220</v>
      </c>
      <c r="B223" s="7">
        <v>11999.995761120766</v>
      </c>
      <c r="C223" s="7">
        <v>9761.7299431559513</v>
      </c>
      <c r="D223" s="7">
        <v>211.97193131991662</v>
      </c>
      <c r="E223" s="7">
        <v>-6205.5</v>
      </c>
    </row>
    <row r="224" spans="1:5" x14ac:dyDescent="0.25">
      <c r="A224" s="2">
        <v>221</v>
      </c>
      <c r="B224" s="7">
        <v>12000.003009187329</v>
      </c>
      <c r="C224" s="7">
        <v>9768.0661680191697</v>
      </c>
      <c r="D224" s="7">
        <v>197.02353994362056</v>
      </c>
      <c r="E224" s="7">
        <v>-6316.42</v>
      </c>
    </row>
    <row r="225" spans="1:5" x14ac:dyDescent="0.25">
      <c r="A225" s="2">
        <v>222</v>
      </c>
      <c r="B225" s="7">
        <v>12000.001662698813</v>
      </c>
      <c r="C225" s="7">
        <v>9785.8493176712709</v>
      </c>
      <c r="D225" s="7">
        <v>182.87946782633662</v>
      </c>
      <c r="E225" s="7">
        <v>-6436.24</v>
      </c>
    </row>
    <row r="226" spans="1:5" x14ac:dyDescent="0.25">
      <c r="A226" s="2">
        <v>223</v>
      </c>
      <c r="B226" s="7">
        <v>12000.004208916573</v>
      </c>
      <c r="C226" s="7">
        <v>9798.9019612700213</v>
      </c>
      <c r="D226" s="7">
        <v>225.1422890778631</v>
      </c>
      <c r="E226" s="7">
        <v>-6566.56</v>
      </c>
    </row>
    <row r="227" spans="1:5" x14ac:dyDescent="0.25">
      <c r="A227" s="2">
        <v>224</v>
      </c>
      <c r="B227" s="7">
        <v>12000.004594893131</v>
      </c>
      <c r="C227" s="7">
        <v>9801.2671574621927</v>
      </c>
      <c r="D227" s="7">
        <v>183.69389464985579</v>
      </c>
      <c r="E227" s="7">
        <v>-6662.59</v>
      </c>
    </row>
    <row r="228" spans="1:5" x14ac:dyDescent="0.25">
      <c r="A228" s="2">
        <v>225</v>
      </c>
      <c r="B228" s="7">
        <v>11999.999307733173</v>
      </c>
      <c r="C228" s="7">
        <v>9799.212117604271</v>
      </c>
      <c r="D228" s="7">
        <v>197.10687579261139</v>
      </c>
      <c r="E228" s="7">
        <v>-6790.46</v>
      </c>
    </row>
    <row r="229" spans="1:5" x14ac:dyDescent="0.25">
      <c r="A229" s="2">
        <v>226</v>
      </c>
      <c r="B229" s="7">
        <v>11999.996668679729</v>
      </c>
      <c r="C229" s="7">
        <v>9801.0414663820411</v>
      </c>
      <c r="D229" s="7">
        <v>189.19185784831643</v>
      </c>
      <c r="E229" s="7">
        <v>-6895.65</v>
      </c>
    </row>
    <row r="230" spans="1:5" x14ac:dyDescent="0.25">
      <c r="A230" s="2">
        <v>227</v>
      </c>
      <c r="B230" s="7">
        <v>11999.999930214601</v>
      </c>
      <c r="C230" s="7">
        <v>9811.7839711327106</v>
      </c>
      <c r="D230" s="7">
        <v>228.29743235884234</v>
      </c>
      <c r="E230" s="7">
        <v>-7018</v>
      </c>
    </row>
    <row r="231" spans="1:5" x14ac:dyDescent="0.25">
      <c r="A231" s="2">
        <v>228</v>
      </c>
      <c r="B231" s="7">
        <v>12000.003206125664</v>
      </c>
      <c r="C231" s="7">
        <v>9825.5586300502182</v>
      </c>
      <c r="D231" s="7">
        <v>202.03493467438966</v>
      </c>
      <c r="E231" s="7">
        <v>-7104.42</v>
      </c>
    </row>
    <row r="232" spans="1:5" x14ac:dyDescent="0.25">
      <c r="A232" s="2">
        <v>229</v>
      </c>
      <c r="B232" s="7">
        <v>12000.000610009052</v>
      </c>
      <c r="C232" s="7">
        <v>9828.5662969937548</v>
      </c>
      <c r="D232" s="7">
        <v>191.32681798003614</v>
      </c>
      <c r="E232" s="7">
        <v>-7209.32</v>
      </c>
    </row>
    <row r="233" spans="1:5" x14ac:dyDescent="0.25">
      <c r="A233" s="2">
        <v>230</v>
      </c>
      <c r="B233" s="7">
        <v>11999.997732674516</v>
      </c>
      <c r="C233" s="7">
        <v>9831.4516842742451</v>
      </c>
      <c r="D233" s="7">
        <v>215.44607331044972</v>
      </c>
      <c r="E233" s="7">
        <v>-7321.99</v>
      </c>
    </row>
    <row r="234" spans="1:5" x14ac:dyDescent="0.25">
      <c r="A234" s="2">
        <v>231</v>
      </c>
      <c r="B234" s="7">
        <v>11999.997937043263</v>
      </c>
      <c r="C234" s="7">
        <v>9843.6792509796214</v>
      </c>
      <c r="D234" s="7">
        <v>148.9919609669596</v>
      </c>
      <c r="E234" s="7">
        <v>-7413.04</v>
      </c>
    </row>
    <row r="235" spans="1:5" x14ac:dyDescent="0.25">
      <c r="A235" s="2">
        <v>232</v>
      </c>
      <c r="B235" s="7">
        <v>12000.003574202272</v>
      </c>
      <c r="C235" s="7">
        <v>9854.3536567252595</v>
      </c>
      <c r="D235" s="7">
        <v>200.95521021727473</v>
      </c>
      <c r="E235" s="7">
        <v>-7559.6</v>
      </c>
    </row>
    <row r="236" spans="1:5" x14ac:dyDescent="0.25">
      <c r="A236" s="2">
        <v>233</v>
      </c>
      <c r="B236" s="7">
        <v>11999.996288116019</v>
      </c>
      <c r="C236" s="7">
        <v>9856.8847638231236</v>
      </c>
      <c r="D236" s="7">
        <v>151.17215872183442</v>
      </c>
      <c r="E236" s="7">
        <v>-7637.35</v>
      </c>
    </row>
    <row r="237" spans="1:5" x14ac:dyDescent="0.25">
      <c r="A237" s="2">
        <v>234</v>
      </c>
      <c r="B237" s="7">
        <v>11999.998446012785</v>
      </c>
      <c r="C237" s="7">
        <v>9875.5980254882015</v>
      </c>
      <c r="D237" s="7">
        <v>144.52833420224488</v>
      </c>
      <c r="E237" s="7">
        <v>-7755.83</v>
      </c>
    </row>
    <row r="238" spans="1:5" x14ac:dyDescent="0.25">
      <c r="A238" s="2">
        <v>235</v>
      </c>
      <c r="B238" s="7">
        <v>11999.999709869831</v>
      </c>
      <c r="C238" s="7">
        <v>9895.4484073435888</v>
      </c>
      <c r="D238" s="7">
        <v>99.564323920756578</v>
      </c>
      <c r="E238" s="7">
        <v>-7867.64</v>
      </c>
    </row>
    <row r="239" spans="1:5" x14ac:dyDescent="0.25">
      <c r="A239" s="2">
        <v>236</v>
      </c>
      <c r="B239" s="7">
        <v>11999.998316545461</v>
      </c>
      <c r="C239" s="7">
        <v>9909.1022815947654</v>
      </c>
      <c r="D239" s="7">
        <v>136.11861955188215</v>
      </c>
      <c r="E239" s="7">
        <v>-8020.56</v>
      </c>
    </row>
    <row r="240" spans="1:5" x14ac:dyDescent="0.25">
      <c r="A240" s="2">
        <v>237</v>
      </c>
      <c r="B240" s="7">
        <v>11999.997355634667</v>
      </c>
      <c r="C240" s="7">
        <v>9920.9022141236346</v>
      </c>
      <c r="D240" s="7">
        <v>96.46279417630285</v>
      </c>
      <c r="E240" s="7">
        <v>-8152</v>
      </c>
    </row>
    <row r="241" spans="1:5" x14ac:dyDescent="0.25">
      <c r="A241" s="2">
        <v>238</v>
      </c>
      <c r="B241" s="7">
        <v>12000.001610636005</v>
      </c>
      <c r="C241" s="7">
        <v>9931.2260419727536</v>
      </c>
      <c r="D241" s="7">
        <v>135.14504000917077</v>
      </c>
      <c r="E241" s="7">
        <v>-8307.4599999999991</v>
      </c>
    </row>
    <row r="242" spans="1:5" x14ac:dyDescent="0.25">
      <c r="A242" s="2">
        <v>239</v>
      </c>
      <c r="B242" s="7">
        <v>11999.995912929295</v>
      </c>
      <c r="C242" s="7">
        <v>9944.7025968530215</v>
      </c>
      <c r="D242" s="7">
        <v>70.501125866081566</v>
      </c>
      <c r="E242" s="7">
        <v>-8427.2000000000007</v>
      </c>
    </row>
    <row r="243" spans="1:5" x14ac:dyDescent="0.25">
      <c r="A243" s="2">
        <v>240</v>
      </c>
      <c r="B243" s="7">
        <v>12000.002936938659</v>
      </c>
      <c r="C243" s="7">
        <v>9954.9010245092213</v>
      </c>
      <c r="D243" s="7">
        <v>134.61505675408989</v>
      </c>
      <c r="E243" s="7">
        <v>-8591.27</v>
      </c>
    </row>
    <row r="244" spans="1:5" x14ac:dyDescent="0.25">
      <c r="A244" s="2">
        <v>241</v>
      </c>
      <c r="B244" s="7">
        <v>11999.996065786552</v>
      </c>
      <c r="C244" s="7">
        <v>9967.3132216795348</v>
      </c>
      <c r="D244" s="7">
        <v>89.685138514731079</v>
      </c>
      <c r="E244" s="7">
        <v>-8697.35</v>
      </c>
    </row>
    <row r="245" spans="1:5" x14ac:dyDescent="0.25">
      <c r="A245" s="2">
        <v>242</v>
      </c>
      <c r="B245" s="7">
        <v>11999.995075018431</v>
      </c>
      <c r="C245" s="7">
        <v>9981.0761117691873</v>
      </c>
      <c r="D245" s="7">
        <v>106.12463863007724</v>
      </c>
      <c r="E245" s="7">
        <v>-8850</v>
      </c>
    </row>
    <row r="246" spans="1:5" x14ac:dyDescent="0.25">
      <c r="A246" s="2">
        <v>243</v>
      </c>
      <c r="B246" s="7">
        <v>11999.996123634086</v>
      </c>
      <c r="C246" s="7">
        <v>9999.8282399233431</v>
      </c>
      <c r="D246" s="7">
        <v>89.999448271468282</v>
      </c>
      <c r="E246" s="7">
        <v>-8990.09</v>
      </c>
    </row>
    <row r="247" spans="1:5" x14ac:dyDescent="0.25">
      <c r="A247" s="2">
        <v>244</v>
      </c>
      <c r="B247" s="7">
        <v>11999.997408616739</v>
      </c>
      <c r="C247" s="7">
        <v>10015.131542176707</v>
      </c>
      <c r="D247" s="7">
        <v>131.0183102209121</v>
      </c>
      <c r="E247" s="7">
        <v>-9140.1299999999992</v>
      </c>
    </row>
    <row r="248" spans="1:5" x14ac:dyDescent="0.25">
      <c r="A248" s="2">
        <v>245</v>
      </c>
      <c r="B248" s="7">
        <v>12000.000074237169</v>
      </c>
      <c r="C248" s="7">
        <v>10023.51281330944</v>
      </c>
      <c r="D248" s="7">
        <v>57.744739468675107</v>
      </c>
      <c r="E248" s="7">
        <v>-9259.6200000000008</v>
      </c>
    </row>
    <row r="249" spans="1:5" x14ac:dyDescent="0.25">
      <c r="A249" s="2">
        <v>246</v>
      </c>
      <c r="B249" s="7">
        <v>12000.004729209482</v>
      </c>
      <c r="C249" s="7">
        <v>10031.713990469696</v>
      </c>
      <c r="D249" s="7">
        <v>63.57943800650537</v>
      </c>
      <c r="E249" s="7">
        <v>-9425.27</v>
      </c>
    </row>
    <row r="250" spans="1:5" x14ac:dyDescent="0.25">
      <c r="A250" s="2">
        <v>247</v>
      </c>
      <c r="B250" s="7">
        <v>12000.0039722273</v>
      </c>
      <c r="C250" s="7">
        <v>10028.912323036231</v>
      </c>
      <c r="D250" s="7">
        <v>123.74695074744523</v>
      </c>
      <c r="E250" s="7">
        <v>-9578.9500000000007</v>
      </c>
    </row>
    <row r="251" spans="1:5" x14ac:dyDescent="0.25">
      <c r="A251" s="2">
        <v>248</v>
      </c>
      <c r="B251" s="7">
        <v>11999.997676170004</v>
      </c>
      <c r="C251" s="7">
        <v>10037.599604872172</v>
      </c>
      <c r="D251" s="7">
        <v>116.45531690306962</v>
      </c>
      <c r="E251" s="7">
        <v>-9676.56</v>
      </c>
    </row>
    <row r="252" spans="1:5" x14ac:dyDescent="0.25">
      <c r="A252" s="2">
        <v>249</v>
      </c>
      <c r="B252" s="7">
        <v>12000.000434132873</v>
      </c>
      <c r="C252" s="7">
        <v>10041.582009897567</v>
      </c>
      <c r="D252" s="7">
        <v>112.59008133225143</v>
      </c>
      <c r="E252" s="7">
        <v>-9799.2099999999991</v>
      </c>
    </row>
    <row r="253" spans="1:5" x14ac:dyDescent="0.25">
      <c r="A253" s="2">
        <v>250</v>
      </c>
      <c r="B253" s="7">
        <v>11999.997100116325</v>
      </c>
      <c r="C253" s="7">
        <v>10060.605649961857</v>
      </c>
      <c r="D253" s="7">
        <v>127.77093027345836</v>
      </c>
      <c r="E253" s="7">
        <v>-9949.51</v>
      </c>
    </row>
    <row r="254" spans="1:5" x14ac:dyDescent="0.25">
      <c r="A254" s="2">
        <v>251</v>
      </c>
      <c r="B254" s="7">
        <v>11999.952083540667</v>
      </c>
      <c r="C254" s="7">
        <v>10071.529296217486</v>
      </c>
      <c r="D254" s="7">
        <v>69.61617199331522</v>
      </c>
      <c r="E254" s="7">
        <v>-10083.1</v>
      </c>
    </row>
    <row r="255" spans="1:5" x14ac:dyDescent="0.25">
      <c r="A255" s="2">
        <v>252</v>
      </c>
      <c r="B255" s="7">
        <v>12000.021676621589</v>
      </c>
      <c r="C255" s="7">
        <v>10075.136760890018</v>
      </c>
      <c r="D255" s="7">
        <v>142.61418937146664</v>
      </c>
      <c r="E255" s="7">
        <v>-10277.799999999999</v>
      </c>
    </row>
    <row r="256" spans="1:5" x14ac:dyDescent="0.25">
      <c r="A256" s="2">
        <v>253</v>
      </c>
      <c r="B256" s="7">
        <v>11999.973498581754</v>
      </c>
      <c r="C256" s="7">
        <v>10080.68576922387</v>
      </c>
      <c r="D256" s="7">
        <v>143.41274727880955</v>
      </c>
      <c r="E256" s="7">
        <v>-10425.700000000001</v>
      </c>
    </row>
    <row r="257" spans="1:5" x14ac:dyDescent="0.25">
      <c r="A257" s="2">
        <v>254</v>
      </c>
      <c r="B257" s="7">
        <v>12000.011742542316</v>
      </c>
      <c r="C257" s="7">
        <v>10083.687598822784</v>
      </c>
      <c r="D257" s="7">
        <v>161.00696837157011</v>
      </c>
      <c r="E257" s="7">
        <v>-10580.2</v>
      </c>
    </row>
    <row r="258" spans="1:5" x14ac:dyDescent="0.25">
      <c r="A258" s="2">
        <v>255</v>
      </c>
      <c r="B258" s="7">
        <v>12000.015077661388</v>
      </c>
      <c r="C258" s="7">
        <v>10089.685487487703</v>
      </c>
      <c r="D258" s="7">
        <v>104.89183581387624</v>
      </c>
      <c r="E258" s="7">
        <v>-10721.7</v>
      </c>
    </row>
    <row r="259" spans="1:5" x14ac:dyDescent="0.25">
      <c r="A259" s="2">
        <v>256</v>
      </c>
      <c r="B259" s="7">
        <v>12000.006905416847</v>
      </c>
      <c r="C259" s="7">
        <v>10107.672584520362</v>
      </c>
      <c r="D259" s="7">
        <v>142.29929406102747</v>
      </c>
      <c r="E259" s="7">
        <v>-10897.5</v>
      </c>
    </row>
    <row r="260" spans="1:5" x14ac:dyDescent="0.25">
      <c r="A260" s="2">
        <v>257</v>
      </c>
      <c r="B260" s="7">
        <v>11999.961094393753</v>
      </c>
      <c r="C260" s="7">
        <v>10127.474153738935</v>
      </c>
      <c r="D260" s="7">
        <v>75.630080979317427</v>
      </c>
      <c r="E260" s="7">
        <v>-11046.5</v>
      </c>
    </row>
    <row r="261" spans="1:5" x14ac:dyDescent="0.25">
      <c r="A261" s="2">
        <v>258</v>
      </c>
      <c r="B261" s="7">
        <v>12000.020776015461</v>
      </c>
      <c r="C261" s="7">
        <v>10146.931871306617</v>
      </c>
      <c r="D261" s="7">
        <v>109.16348241828382</v>
      </c>
      <c r="E261" s="7">
        <v>-11252.8</v>
      </c>
    </row>
    <row r="262" spans="1:5" x14ac:dyDescent="0.25">
      <c r="A262" s="2">
        <v>259</v>
      </c>
      <c r="B262" s="7">
        <v>11999.960014865987</v>
      </c>
      <c r="C262" s="7">
        <v>10159.563564371783</v>
      </c>
      <c r="D262" s="7">
        <v>97.28386839106679</v>
      </c>
      <c r="E262" s="7">
        <v>-11418.3</v>
      </c>
    </row>
    <row r="263" spans="1:5" x14ac:dyDescent="0.25">
      <c r="A263" s="2">
        <v>260</v>
      </c>
      <c r="B263" s="7">
        <v>11999.959953011965</v>
      </c>
      <c r="C263" s="7">
        <v>10171.586329290178</v>
      </c>
      <c r="D263" s="7">
        <v>111.46487063611858</v>
      </c>
      <c r="E263" s="7">
        <v>-11578.8</v>
      </c>
    </row>
    <row r="264" spans="1:5" x14ac:dyDescent="0.25">
      <c r="A264" s="2">
        <v>261</v>
      </c>
      <c r="B264" s="7">
        <v>11999.984367928766</v>
      </c>
      <c r="C264" s="7">
        <v>10173.92983322544</v>
      </c>
      <c r="D264" s="7">
        <v>124.37549433670938</v>
      </c>
      <c r="E264" s="7">
        <v>-11732.9</v>
      </c>
    </row>
    <row r="265" spans="1:5" x14ac:dyDescent="0.25">
      <c r="A265" s="2">
        <v>262</v>
      </c>
      <c r="B265" s="7">
        <v>12000.045603438</v>
      </c>
      <c r="C265" s="7">
        <v>10180.239792592125</v>
      </c>
      <c r="D265" s="7">
        <v>110.91470854450017</v>
      </c>
      <c r="E265" s="7">
        <v>-11878.1</v>
      </c>
    </row>
    <row r="266" spans="1:5" x14ac:dyDescent="0.25">
      <c r="A266" s="2">
        <v>263</v>
      </c>
      <c r="B266" s="7">
        <v>12000.050295096738</v>
      </c>
      <c r="C266" s="7">
        <v>10181.656259977724</v>
      </c>
      <c r="D266" s="7">
        <v>142.25660929642618</v>
      </c>
      <c r="E266" s="7">
        <v>-12038</v>
      </c>
    </row>
    <row r="267" spans="1:5" x14ac:dyDescent="0.25">
      <c r="A267" s="2">
        <v>264</v>
      </c>
      <c r="B267" s="7">
        <v>11999.973324273045</v>
      </c>
      <c r="C267" s="7">
        <v>10189.368640650762</v>
      </c>
      <c r="D267" s="7">
        <v>143.06495852023363</v>
      </c>
      <c r="E267" s="7">
        <v>-12166.6</v>
      </c>
    </row>
    <row r="268" spans="1:5" x14ac:dyDescent="0.25">
      <c r="A268" s="2">
        <v>265</v>
      </c>
      <c r="B268" s="7">
        <v>11999.978454105032</v>
      </c>
      <c r="C268" s="7">
        <v>10189.65106480848</v>
      </c>
      <c r="D268" s="7">
        <v>143.34043645486236</v>
      </c>
      <c r="E268" s="7">
        <v>-12311.9</v>
      </c>
    </row>
    <row r="269" spans="1:5" x14ac:dyDescent="0.25">
      <c r="A269" s="2">
        <v>266</v>
      </c>
      <c r="B269" s="7">
        <v>12000.029561325864</v>
      </c>
      <c r="C269" s="7">
        <v>10187.112600183362</v>
      </c>
      <c r="D269" s="7">
        <v>171.97018617764115</v>
      </c>
      <c r="E269" s="7">
        <v>-12460.3</v>
      </c>
    </row>
    <row r="270" spans="1:5" x14ac:dyDescent="0.25">
      <c r="A270" s="2">
        <v>267</v>
      </c>
      <c r="B270" s="7">
        <v>11999.978331444316</v>
      </c>
      <c r="C270" s="7">
        <v>10180.783333430081</v>
      </c>
      <c r="D270" s="7">
        <v>155.22664738073945</v>
      </c>
      <c r="E270" s="7">
        <v>-12575.7</v>
      </c>
    </row>
    <row r="271" spans="1:5" x14ac:dyDescent="0.25">
      <c r="A271" s="2">
        <v>268</v>
      </c>
      <c r="B271" s="7">
        <v>12000.01518373631</v>
      </c>
      <c r="C271" s="7">
        <v>10192.066205032417</v>
      </c>
      <c r="D271" s="7">
        <v>195.8279414921999</v>
      </c>
      <c r="E271" s="7">
        <v>-12727</v>
      </c>
    </row>
    <row r="272" spans="1:5" x14ac:dyDescent="0.25">
      <c r="A272" s="2">
        <v>269</v>
      </c>
      <c r="B272" s="7">
        <v>11999.996608983443</v>
      </c>
      <c r="C272" s="7">
        <v>10213.082025829484</v>
      </c>
      <c r="D272" s="7">
        <v>108.00765843782574</v>
      </c>
      <c r="E272" s="7">
        <v>-12856.8</v>
      </c>
    </row>
    <row r="273" spans="1:5" x14ac:dyDescent="0.25">
      <c r="A273" s="2">
        <v>270</v>
      </c>
      <c r="B273" s="7">
        <v>11999.950973124283</v>
      </c>
      <c r="C273" s="7">
        <v>10224.111762170694</v>
      </c>
      <c r="D273" s="7">
        <v>155.02527924999595</v>
      </c>
      <c r="E273" s="7">
        <v>-13065.2</v>
      </c>
    </row>
    <row r="274" spans="1:5" x14ac:dyDescent="0.25">
      <c r="A274" s="2">
        <v>271</v>
      </c>
      <c r="B274" s="7">
        <v>12000.019135838895</v>
      </c>
      <c r="C274" s="7">
        <v>10242.804614738634</v>
      </c>
      <c r="D274" s="7">
        <v>131.93421041220427</v>
      </c>
      <c r="E274" s="7">
        <v>-13228.1</v>
      </c>
    </row>
    <row r="275" spans="1:5" x14ac:dyDescent="0.25">
      <c r="A275" s="2">
        <v>272</v>
      </c>
      <c r="B275" s="7">
        <v>12000.019911697234</v>
      </c>
      <c r="C275" s="7">
        <v>10259.556192325443</v>
      </c>
      <c r="D275" s="7">
        <v>124.64705666713417</v>
      </c>
      <c r="E275" s="7">
        <v>-13412.3</v>
      </c>
    </row>
    <row r="276" spans="1:5" x14ac:dyDescent="0.25">
      <c r="A276" s="2">
        <v>273</v>
      </c>
      <c r="B276" s="7">
        <v>12000.049836704648</v>
      </c>
      <c r="C276" s="7">
        <v>10282.64061832591</v>
      </c>
      <c r="D276" s="7">
        <v>121.23008361458778</v>
      </c>
      <c r="E276" s="7">
        <v>-13595.2</v>
      </c>
    </row>
    <row r="277" spans="1:5" x14ac:dyDescent="0.25">
      <c r="A277" s="2">
        <v>274</v>
      </c>
      <c r="B277" s="7">
        <v>12000.0294424368</v>
      </c>
      <c r="C277" s="7">
        <v>10292.077567965724</v>
      </c>
      <c r="D277" s="7">
        <v>17.72650583833456</v>
      </c>
      <c r="E277" s="7">
        <v>-13759.8</v>
      </c>
    </row>
    <row r="278" spans="1:5" x14ac:dyDescent="0.25">
      <c r="A278" s="2">
        <v>275</v>
      </c>
      <c r="B278" s="7">
        <v>12000.007132290342</v>
      </c>
      <c r="C278" s="7">
        <v>10318.131969931768</v>
      </c>
      <c r="D278" s="7">
        <v>87.276059390511364</v>
      </c>
      <c r="E278" s="7">
        <v>-14008.4</v>
      </c>
    </row>
    <row r="279" spans="1:5" x14ac:dyDescent="0.25">
      <c r="A279" s="2">
        <v>276</v>
      </c>
      <c r="B279" s="7">
        <v>12000.031660534698</v>
      </c>
      <c r="C279" s="7">
        <v>10335.426069845213</v>
      </c>
      <c r="D279" s="7">
        <v>126.46401889435947</v>
      </c>
      <c r="E279" s="7">
        <v>-14184</v>
      </c>
    </row>
    <row r="280" spans="1:5" x14ac:dyDescent="0.25">
      <c r="A280" s="2">
        <v>277</v>
      </c>
      <c r="B280" s="7">
        <v>12000.04876997636</v>
      </c>
      <c r="C280" s="7">
        <v>10355.397141164285</v>
      </c>
      <c r="D280" s="7">
        <v>78.142422175034881</v>
      </c>
      <c r="E280" s="7">
        <v>-14332.3</v>
      </c>
    </row>
    <row r="281" spans="1:5" x14ac:dyDescent="0.25">
      <c r="A281" s="2">
        <v>278</v>
      </c>
      <c r="B281" s="7">
        <v>12000.008104507988</v>
      </c>
      <c r="C281" s="7">
        <v>10363.43794608285</v>
      </c>
      <c r="D281" s="7">
        <v>77.054133087396622</v>
      </c>
      <c r="E281" s="7">
        <v>-14543.7</v>
      </c>
    </row>
    <row r="282" spans="1:5" x14ac:dyDescent="0.25">
      <c r="A282" s="2">
        <v>279</v>
      </c>
      <c r="B282" s="7">
        <v>11999.979712147342</v>
      </c>
      <c r="C282" s="7">
        <v>10375.875461600313</v>
      </c>
      <c r="D282" s="7">
        <v>125.28376989951357</v>
      </c>
      <c r="E282" s="7">
        <v>-14730.3</v>
      </c>
    </row>
    <row r="283" spans="1:5" x14ac:dyDescent="0.25">
      <c r="A283" s="2">
        <v>280</v>
      </c>
      <c r="B283" s="7">
        <v>11999.975889552739</v>
      </c>
      <c r="C283" s="7">
        <v>10385.866474632057</v>
      </c>
      <c r="D283" s="7">
        <v>78.225316463969648</v>
      </c>
      <c r="E283" s="7">
        <v>-14864.5</v>
      </c>
    </row>
    <row r="284" spans="1:5" x14ac:dyDescent="0.25">
      <c r="A284" s="2">
        <v>281</v>
      </c>
      <c r="B284" s="7">
        <v>11999.992858201133</v>
      </c>
      <c r="C284" s="7">
        <v>10405.035076312604</v>
      </c>
      <c r="D284" s="7">
        <v>125.0271168500185</v>
      </c>
      <c r="E284" s="7">
        <v>-15039.3</v>
      </c>
    </row>
    <row r="285" spans="1:5" x14ac:dyDescent="0.25">
      <c r="A285" s="2">
        <v>282</v>
      </c>
      <c r="B285" s="7">
        <v>12000.03710901832</v>
      </c>
      <c r="C285" s="7">
        <v>10417.307714067545</v>
      </c>
      <c r="D285" s="7">
        <v>117.34991745837033</v>
      </c>
      <c r="E285" s="7">
        <v>-15183</v>
      </c>
    </row>
    <row r="286" spans="1:5" x14ac:dyDescent="0.25">
      <c r="A286" s="2">
        <v>283</v>
      </c>
      <c r="B286" s="7">
        <v>12000.029473945317</v>
      </c>
      <c r="C286" s="7">
        <v>10425.327914611844</v>
      </c>
      <c r="D286" s="7">
        <v>137.54194578155875</v>
      </c>
      <c r="E286" s="7">
        <v>-15347.7</v>
      </c>
    </row>
    <row r="287" spans="1:5" x14ac:dyDescent="0.25">
      <c r="A287" s="2">
        <v>284</v>
      </c>
      <c r="B287" s="7">
        <v>12000.004326109118</v>
      </c>
      <c r="C287" s="7">
        <v>10442.859267049003</v>
      </c>
      <c r="D287" s="7">
        <v>133.58164596557617</v>
      </c>
      <c r="E287" s="7">
        <v>-15494.3</v>
      </c>
    </row>
    <row r="288" spans="1:5" x14ac:dyDescent="0.25">
      <c r="A288" s="2">
        <v>285</v>
      </c>
      <c r="B288" s="7">
        <v>12000.015027351976</v>
      </c>
      <c r="C288" s="7">
        <v>10453.589794370579</v>
      </c>
      <c r="D288" s="7">
        <v>120.59292837779503</v>
      </c>
      <c r="E288" s="7">
        <v>-15633.1</v>
      </c>
    </row>
    <row r="289" spans="1:5" x14ac:dyDescent="0.25">
      <c r="A289" s="2">
        <v>286</v>
      </c>
      <c r="B289" s="7">
        <v>12000.027849132199</v>
      </c>
      <c r="C289" s="7">
        <v>10465.375705122191</v>
      </c>
      <c r="D289" s="7">
        <v>9.995052594691515</v>
      </c>
      <c r="E289" s="7">
        <v>-15787.6</v>
      </c>
    </row>
    <row r="290" spans="1:5" x14ac:dyDescent="0.25">
      <c r="A290" s="2">
        <v>287</v>
      </c>
      <c r="B290" s="7">
        <v>12000.001507398027</v>
      </c>
      <c r="C290" s="7">
        <v>10482.581901879748</v>
      </c>
      <c r="D290" s="7">
        <v>136.45989433303475</v>
      </c>
      <c r="E290" s="7">
        <v>-16049.3</v>
      </c>
    </row>
    <row r="291" spans="1:5" x14ac:dyDescent="0.25">
      <c r="A291" s="2">
        <v>288</v>
      </c>
      <c r="B291" s="7">
        <v>11999.969496324513</v>
      </c>
      <c r="C291" s="7">
        <v>10502.960764552816</v>
      </c>
      <c r="D291" s="7">
        <v>86.055964849889278</v>
      </c>
      <c r="E291" s="7">
        <v>-16190.5</v>
      </c>
    </row>
    <row r="292" spans="1:5" x14ac:dyDescent="0.25">
      <c r="A292" s="2">
        <v>289</v>
      </c>
      <c r="B292" s="7">
        <v>12000.038042492204</v>
      </c>
      <c r="C292" s="7">
        <v>10526.662095059757</v>
      </c>
      <c r="D292" s="7">
        <v>150.22559175267816</v>
      </c>
      <c r="E292" s="7">
        <v>-16398.599999999999</v>
      </c>
    </row>
    <row r="293" spans="1:5" x14ac:dyDescent="0.25">
      <c r="A293" s="2">
        <v>290</v>
      </c>
      <c r="B293" s="7">
        <v>12000.012734921316</v>
      </c>
      <c r="C293" s="7">
        <v>10552.68562128098</v>
      </c>
      <c r="D293" s="7">
        <v>95.329164506867528</v>
      </c>
      <c r="E293" s="7">
        <v>-16567.2</v>
      </c>
    </row>
    <row r="294" spans="1:5" x14ac:dyDescent="0.25">
      <c r="A294" s="2">
        <v>291</v>
      </c>
      <c r="B294" s="7">
        <v>12000.020872968074</v>
      </c>
      <c r="C294" s="7">
        <v>10579.555185301986</v>
      </c>
      <c r="D294" s="7">
        <v>87.285580926341936</v>
      </c>
      <c r="E294" s="7">
        <v>-16767.400000000001</v>
      </c>
    </row>
    <row r="295" spans="1:5" x14ac:dyDescent="0.25">
      <c r="A295" s="2">
        <v>292</v>
      </c>
      <c r="B295" s="7">
        <v>11999.95101335138</v>
      </c>
      <c r="C295" s="7">
        <v>10601.264993794961</v>
      </c>
      <c r="D295" s="7">
        <v>76.773123741149902</v>
      </c>
      <c r="E295" s="7">
        <v>-16962.5</v>
      </c>
    </row>
    <row r="296" spans="1:5" x14ac:dyDescent="0.25">
      <c r="A296" s="2">
        <v>293</v>
      </c>
      <c r="B296" s="7">
        <v>12000.006227014288</v>
      </c>
      <c r="C296" s="7">
        <v>10622.076735259558</v>
      </c>
      <c r="D296" s="7">
        <v>48.309319954365492</v>
      </c>
      <c r="E296" s="7">
        <v>-17163.5</v>
      </c>
    </row>
    <row r="297" spans="1:5" x14ac:dyDescent="0.25">
      <c r="A297" s="2">
        <v>294</v>
      </c>
      <c r="B297" s="7">
        <v>12000.032480414187</v>
      </c>
      <c r="C297" s="7">
        <v>10640.338066777273</v>
      </c>
      <c r="D297" s="7">
        <v>90.841848149895668</v>
      </c>
      <c r="E297" s="7">
        <v>-17398</v>
      </c>
    </row>
    <row r="298" spans="1:5" x14ac:dyDescent="0.25">
      <c r="A298" s="2">
        <v>295</v>
      </c>
      <c r="B298" s="7">
        <v>12000.008417876721</v>
      </c>
      <c r="C298" s="7">
        <v>10663.806236002827</v>
      </c>
      <c r="D298" s="7">
        <v>74.385411874391139</v>
      </c>
      <c r="E298" s="7">
        <v>-17591.2</v>
      </c>
    </row>
    <row r="299" spans="1:5" x14ac:dyDescent="0.25">
      <c r="A299" s="2">
        <v>296</v>
      </c>
      <c r="B299" s="7">
        <v>12000.012108404149</v>
      </c>
      <c r="C299" s="7">
        <v>10680.610888883093</v>
      </c>
      <c r="D299" s="7">
        <v>97.748400868847966</v>
      </c>
      <c r="E299" s="7">
        <v>-17794.7</v>
      </c>
    </row>
    <row r="300" spans="1:5" x14ac:dyDescent="0.25">
      <c r="A300" s="2">
        <v>297</v>
      </c>
      <c r="B300" s="7">
        <v>12000.014365705665</v>
      </c>
      <c r="C300" s="7">
        <v>10704.1276308503</v>
      </c>
      <c r="D300" s="7">
        <v>65.719764170236886</v>
      </c>
      <c r="E300" s="7">
        <v>-17971.400000000001</v>
      </c>
    </row>
    <row r="301" spans="1:5" x14ac:dyDescent="0.25">
      <c r="A301" s="2">
        <v>298</v>
      </c>
      <c r="B301" s="7">
        <v>12000.02143825551</v>
      </c>
      <c r="C301" s="7">
        <v>10721.127543726237</v>
      </c>
      <c r="D301" s="7">
        <v>24.240048602223396</v>
      </c>
      <c r="E301" s="7">
        <v>-18187.3</v>
      </c>
    </row>
    <row r="302" spans="1:5" x14ac:dyDescent="0.25">
      <c r="A302" s="2">
        <v>299</v>
      </c>
      <c r="B302" s="7">
        <v>12000.042646042222</v>
      </c>
      <c r="C302" s="7">
        <v>10741.666432990751</v>
      </c>
      <c r="D302" s="7">
        <v>49.282890446484089</v>
      </c>
      <c r="E302" s="7">
        <v>-18454.3</v>
      </c>
    </row>
    <row r="303" spans="1:5" x14ac:dyDescent="0.25">
      <c r="A303" s="2">
        <v>300</v>
      </c>
      <c r="B303" s="7">
        <v>12000.023790115929</v>
      </c>
      <c r="C303" s="7">
        <v>10766.688422020641</v>
      </c>
      <c r="D303" s="7">
        <v>55.609503757208586</v>
      </c>
      <c r="E303" s="7">
        <v>-18679</v>
      </c>
    </row>
    <row r="304" spans="1:5" x14ac:dyDescent="0.25">
      <c r="A304" s="2">
        <v>301</v>
      </c>
      <c r="B304" s="7">
        <v>12000.01381045275</v>
      </c>
      <c r="C304" s="7">
        <v>10781.898311671277</v>
      </c>
      <c r="D304" s="7">
        <v>0.24844016134738922</v>
      </c>
      <c r="E304" s="7">
        <v>-18888.900000000001</v>
      </c>
    </row>
    <row r="305" spans="1:5" x14ac:dyDescent="0.25">
      <c r="A305" s="2">
        <v>302</v>
      </c>
      <c r="B305" s="7">
        <v>12000.023319279318</v>
      </c>
      <c r="C305" s="7">
        <v>10817.454882615246</v>
      </c>
      <c r="D305" s="7">
        <v>28.381304401904345</v>
      </c>
      <c r="E305" s="7">
        <v>-19160.599999999999</v>
      </c>
    </row>
    <row r="306" spans="1:5" x14ac:dyDescent="0.25">
      <c r="A306" s="2">
        <v>303</v>
      </c>
      <c r="B306" s="7">
        <v>12000.038063914455</v>
      </c>
      <c r="C306" s="7">
        <v>10830.545222882181</v>
      </c>
      <c r="D306" s="7">
        <v>-14.23724303022027</v>
      </c>
      <c r="E306" s="7">
        <v>-19401.3</v>
      </c>
    </row>
    <row r="307" spans="1:5" x14ac:dyDescent="0.25">
      <c r="A307" s="2">
        <v>304</v>
      </c>
      <c r="B307" s="7">
        <v>11999.983433009334</v>
      </c>
      <c r="C307" s="7">
        <v>10850.044710222166</v>
      </c>
      <c r="D307" s="7">
        <v>42.676749426871538</v>
      </c>
      <c r="E307" s="7">
        <v>-19654.400000000001</v>
      </c>
    </row>
    <row r="308" spans="1:5" x14ac:dyDescent="0.25">
      <c r="A308" s="2">
        <v>305</v>
      </c>
      <c r="B308" s="7">
        <v>12000.002137865638</v>
      </c>
      <c r="C308" s="7">
        <v>10867.492044348968</v>
      </c>
      <c r="D308" s="7">
        <v>52.463312102481723</v>
      </c>
      <c r="E308" s="7">
        <v>-19876.3</v>
      </c>
    </row>
    <row r="309" spans="1:5" x14ac:dyDescent="0.25">
      <c r="A309" s="2">
        <v>306</v>
      </c>
      <c r="B309" s="7">
        <v>12000.037506934481</v>
      </c>
      <c r="C309" s="7">
        <v>10889.172932658577</v>
      </c>
      <c r="D309" s="7">
        <v>-68.371763719245791</v>
      </c>
      <c r="E309" s="7">
        <v>-20107.599999999999</v>
      </c>
    </row>
    <row r="310" spans="1:5" x14ac:dyDescent="0.25">
      <c r="A310" s="2">
        <v>307</v>
      </c>
      <c r="B310" s="7">
        <v>12000.04242960093</v>
      </c>
      <c r="C310" s="7">
        <v>10916.949058527243</v>
      </c>
      <c r="D310" s="7">
        <v>97.299591142684221</v>
      </c>
      <c r="E310" s="7">
        <v>-20439.400000000001</v>
      </c>
    </row>
    <row r="311" spans="1:5" x14ac:dyDescent="0.25">
      <c r="A311" s="2">
        <v>308</v>
      </c>
      <c r="B311" s="7">
        <v>12000.022675493097</v>
      </c>
      <c r="C311" s="7">
        <v>10930.932986257947</v>
      </c>
      <c r="D311" s="7">
        <v>120.18224183470011</v>
      </c>
      <c r="E311" s="7">
        <v>-20632.599999999999</v>
      </c>
    </row>
    <row r="312" spans="1:5" x14ac:dyDescent="0.25">
      <c r="A312" s="2">
        <v>309</v>
      </c>
      <c r="B312" s="7">
        <v>11999.998589512405</v>
      </c>
      <c r="C312" s="7">
        <v>10950.156300442759</v>
      </c>
      <c r="D312" s="7">
        <v>72.602496914565563</v>
      </c>
      <c r="E312" s="7">
        <v>-20827.8</v>
      </c>
    </row>
    <row r="313" spans="1:5" x14ac:dyDescent="0.25">
      <c r="A313" s="2">
        <v>310</v>
      </c>
      <c r="B313" s="7">
        <v>11999.982044070484</v>
      </c>
      <c r="C313" s="7">
        <v>10979.019850633922</v>
      </c>
      <c r="D313" s="7">
        <v>17.811436645686626</v>
      </c>
      <c r="E313" s="7">
        <v>-21082.2</v>
      </c>
    </row>
    <row r="314" spans="1:5" x14ac:dyDescent="0.25">
      <c r="A314" s="2">
        <v>311</v>
      </c>
      <c r="B314" s="7">
        <v>11999.981356899809</v>
      </c>
      <c r="C314" s="7">
        <v>11013.265034582</v>
      </c>
      <c r="D314" s="7">
        <v>-34.512039691209793</v>
      </c>
      <c r="E314" s="7">
        <v>-21351.8</v>
      </c>
    </row>
    <row r="315" spans="1:5" x14ac:dyDescent="0.25">
      <c r="A315" s="2">
        <v>312</v>
      </c>
      <c r="B315" s="7">
        <v>11999.978061083559</v>
      </c>
      <c r="C315" s="7">
        <v>11049.572824163653</v>
      </c>
      <c r="D315" s="7">
        <v>70.776557918637991</v>
      </c>
      <c r="E315" s="7">
        <v>-21673.1</v>
      </c>
    </row>
    <row r="316" spans="1:5" x14ac:dyDescent="0.25">
      <c r="A316" s="2">
        <v>313</v>
      </c>
      <c r="B316" s="7">
        <v>12000.006170188679</v>
      </c>
      <c r="C316" s="7">
        <v>11072.792593836144</v>
      </c>
      <c r="D316" s="7">
        <v>-28.030368313193321</v>
      </c>
      <c r="E316" s="7">
        <v>-21887</v>
      </c>
    </row>
    <row r="317" spans="1:5" x14ac:dyDescent="0.25">
      <c r="A317" s="2">
        <v>314</v>
      </c>
      <c r="B317" s="7">
        <v>11999.988262608957</v>
      </c>
      <c r="C317" s="7">
        <v>11106.352290755429</v>
      </c>
      <c r="D317" s="7">
        <v>21.633850075304508</v>
      </c>
      <c r="E317" s="7">
        <v>-22198.6</v>
      </c>
    </row>
    <row r="318" spans="1:5" x14ac:dyDescent="0.25">
      <c r="A318" s="2">
        <v>315</v>
      </c>
      <c r="B318" s="7">
        <v>12000.034164725064</v>
      </c>
      <c r="C318" s="7">
        <v>11119.58108509687</v>
      </c>
      <c r="D318" s="7">
        <v>-58.819112710654736</v>
      </c>
      <c r="E318" s="7">
        <v>-22454.9</v>
      </c>
    </row>
    <row r="319" spans="1:5" x14ac:dyDescent="0.25">
      <c r="A319" s="2">
        <v>316</v>
      </c>
      <c r="B319" s="7">
        <v>11999.959707790786</v>
      </c>
      <c r="C319" s="7">
        <v>11147.474300863396</v>
      </c>
      <c r="D319" s="7">
        <v>21.353655807673931</v>
      </c>
      <c r="E319" s="7">
        <v>-22772.799999999999</v>
      </c>
    </row>
    <row r="320" spans="1:5" x14ac:dyDescent="0.25">
      <c r="A320" s="2">
        <v>317</v>
      </c>
      <c r="B320" s="7">
        <v>12000.017091107504</v>
      </c>
      <c r="C320" s="7">
        <v>11165.58542412956</v>
      </c>
      <c r="D320" s="7">
        <v>11.197515428066254</v>
      </c>
      <c r="E320" s="7">
        <v>-23017.3</v>
      </c>
    </row>
    <row r="321" spans="1:5" x14ac:dyDescent="0.25">
      <c r="A321" s="2">
        <v>318</v>
      </c>
      <c r="B321" s="7">
        <v>11999.977165068345</v>
      </c>
      <c r="C321" s="7">
        <v>11191.306538620498</v>
      </c>
      <c r="D321" s="7">
        <v>-34.181705985218287</v>
      </c>
      <c r="E321" s="7">
        <v>-23271.3</v>
      </c>
    </row>
    <row r="322" spans="1:5" x14ac:dyDescent="0.25">
      <c r="A322" s="2">
        <v>319</v>
      </c>
      <c r="B322" s="7">
        <v>12000.03333897005</v>
      </c>
      <c r="C322" s="7">
        <v>11230.712004202604</v>
      </c>
      <c r="D322" s="7">
        <v>-8.9367827698588371</v>
      </c>
      <c r="E322" s="7">
        <v>-23563.3</v>
      </c>
    </row>
    <row r="323" spans="1:5" x14ac:dyDescent="0.25">
      <c r="A323" s="2">
        <v>320</v>
      </c>
      <c r="B323" s="7">
        <v>12000.033774061299</v>
      </c>
      <c r="C323" s="7">
        <v>11249.50849022828</v>
      </c>
      <c r="D323" s="7">
        <v>66.247075192630291</v>
      </c>
      <c r="E323" s="7">
        <v>-23832.7</v>
      </c>
    </row>
    <row r="324" spans="1:5" x14ac:dyDescent="0.25">
      <c r="A324" s="2">
        <v>321</v>
      </c>
      <c r="B324" s="7">
        <v>12000.036880258469</v>
      </c>
      <c r="C324" s="7">
        <v>11285.397247387747</v>
      </c>
      <c r="D324" s="7">
        <v>10.079990401864052</v>
      </c>
      <c r="E324" s="7">
        <v>-24037.1</v>
      </c>
    </row>
    <row r="325" spans="1:5" x14ac:dyDescent="0.25">
      <c r="A325" s="2">
        <v>322</v>
      </c>
      <c r="B325" s="7">
        <v>12000.010086552775</v>
      </c>
      <c r="C325" s="7">
        <v>11321.49723295333</v>
      </c>
      <c r="D325" s="7">
        <v>13.889080007560551</v>
      </c>
      <c r="E325" s="7">
        <v>-24297.3</v>
      </c>
    </row>
    <row r="326" spans="1:5" x14ac:dyDescent="0.25">
      <c r="A326" s="2">
        <v>323</v>
      </c>
      <c r="B326" s="7">
        <v>12000.020124005569</v>
      </c>
      <c r="C326" s="7">
        <v>11336.404823894438</v>
      </c>
      <c r="D326" s="7">
        <v>-15.64676109328866</v>
      </c>
      <c r="E326" s="7">
        <v>-24555.200000000001</v>
      </c>
    </row>
    <row r="327" spans="1:5" x14ac:dyDescent="0.25">
      <c r="A327" s="2">
        <v>324</v>
      </c>
      <c r="B327" s="7">
        <v>11999.969091287547</v>
      </c>
      <c r="C327" s="7">
        <v>11370.763823132496</v>
      </c>
      <c r="D327" s="7">
        <v>22.074610393494368</v>
      </c>
      <c r="E327" s="7">
        <v>-24835.599999999999</v>
      </c>
    </row>
    <row r="328" spans="1:5" x14ac:dyDescent="0.25">
      <c r="A328" s="2">
        <v>325</v>
      </c>
      <c r="B328" s="7">
        <v>12000.041512672631</v>
      </c>
      <c r="C328" s="7">
        <v>11397.43923709495</v>
      </c>
      <c r="D328" s="7">
        <v>3.4225020557641983E-2</v>
      </c>
      <c r="E328" s="7">
        <v>-25094.2</v>
      </c>
    </row>
    <row r="329" spans="1:5" x14ac:dyDescent="0.25">
      <c r="A329" s="2">
        <v>326</v>
      </c>
      <c r="B329" s="7">
        <v>11999.977747037468</v>
      </c>
      <c r="C329" s="7">
        <v>11433.218107922003</v>
      </c>
      <c r="D329" s="7">
        <v>10.068387031555176</v>
      </c>
      <c r="E329" s="7">
        <v>-25374.400000000001</v>
      </c>
    </row>
    <row r="330" spans="1:5" x14ac:dyDescent="0.25">
      <c r="A330" s="2">
        <v>327</v>
      </c>
      <c r="B330" s="7">
        <v>12000.005690780745</v>
      </c>
      <c r="C330" s="7">
        <v>11453.568449565675</v>
      </c>
      <c r="D330" s="7">
        <v>6.7168596835108474</v>
      </c>
      <c r="E330" s="7">
        <v>-25643.4</v>
      </c>
    </row>
    <row r="331" spans="1:5" x14ac:dyDescent="0.25">
      <c r="A331" s="2">
        <v>328</v>
      </c>
      <c r="B331" s="7">
        <v>12000.044814511628</v>
      </c>
      <c r="C331" s="7">
        <v>11487.23436910403</v>
      </c>
      <c r="D331" s="7">
        <v>2.4854979421943426</v>
      </c>
      <c r="E331" s="7">
        <v>-25917.9</v>
      </c>
    </row>
    <row r="332" spans="1:5" x14ac:dyDescent="0.25">
      <c r="A332" s="2">
        <v>329</v>
      </c>
      <c r="B332" s="7">
        <v>11999.958804811089</v>
      </c>
      <c r="C332" s="7">
        <v>11518.69616243802</v>
      </c>
      <c r="D332" s="7">
        <v>81.017341662198305</v>
      </c>
      <c r="E332" s="7">
        <v>-26183.7</v>
      </c>
    </row>
    <row r="333" spans="1:5" x14ac:dyDescent="0.25">
      <c r="A333" s="2">
        <v>330</v>
      </c>
      <c r="B333" s="7">
        <v>12000.015042357933</v>
      </c>
      <c r="C333" s="7">
        <v>11550.652232086286</v>
      </c>
      <c r="D333" s="7">
        <v>31.166336830705404</v>
      </c>
      <c r="E333" s="7">
        <v>-26397.1</v>
      </c>
    </row>
    <row r="334" spans="1:5" x14ac:dyDescent="0.25">
      <c r="A334" s="2">
        <v>331</v>
      </c>
      <c r="B334" s="7">
        <v>11999.96883499658</v>
      </c>
      <c r="C334" s="7">
        <v>11586.40203710366</v>
      </c>
      <c r="D334" s="7">
        <v>-58.089784938842058</v>
      </c>
      <c r="E334" s="7">
        <v>-26658.6</v>
      </c>
    </row>
    <row r="335" spans="1:5" x14ac:dyDescent="0.25">
      <c r="A335" s="2">
        <v>332</v>
      </c>
      <c r="B335" s="7">
        <v>12000.029915729525</v>
      </c>
      <c r="C335" s="7">
        <v>11613.65293023744</v>
      </c>
      <c r="D335" s="7">
        <v>-10.023077806457877</v>
      </c>
      <c r="E335" s="7">
        <v>-26995.5</v>
      </c>
    </row>
    <row r="336" spans="1:5" x14ac:dyDescent="0.25">
      <c r="A336" s="2">
        <v>333</v>
      </c>
      <c r="B336" s="7">
        <v>11999.964576999515</v>
      </c>
      <c r="C336" s="7">
        <v>11648.164728909498</v>
      </c>
      <c r="D336" s="7">
        <v>24.825438560917974</v>
      </c>
      <c r="E336" s="7">
        <v>-27303.8</v>
      </c>
    </row>
    <row r="337" spans="1:5" x14ac:dyDescent="0.25">
      <c r="A337" s="2">
        <v>334</v>
      </c>
      <c r="B337" s="7">
        <v>12000.031568967928</v>
      </c>
      <c r="C337" s="7">
        <v>11682.133105552872</v>
      </c>
      <c r="D337" s="7">
        <v>31.280722610652447</v>
      </c>
      <c r="E337" s="7">
        <v>-27579.4</v>
      </c>
    </row>
    <row r="338" spans="1:5" x14ac:dyDescent="0.25">
      <c r="A338" s="2">
        <v>335</v>
      </c>
      <c r="B338" s="7">
        <v>11999.961172101923</v>
      </c>
      <c r="C338" s="7">
        <v>11723.266968483105</v>
      </c>
      <c r="D338" s="7">
        <v>15.360237525776029</v>
      </c>
      <c r="E338" s="7">
        <v>-27847.200000000001</v>
      </c>
    </row>
    <row r="339" spans="1:5" x14ac:dyDescent="0.25">
      <c r="A339" s="2">
        <v>336</v>
      </c>
      <c r="B339" s="7">
        <v>12000.032249574002</v>
      </c>
      <c r="C339" s="7">
        <v>11774.016576326685</v>
      </c>
      <c r="D339" s="7">
        <v>-28.481115598231554</v>
      </c>
      <c r="E339" s="7">
        <v>-28131.200000000001</v>
      </c>
    </row>
    <row r="340" spans="1:5" x14ac:dyDescent="0.25">
      <c r="A340" s="2">
        <v>337</v>
      </c>
      <c r="B340" s="7">
        <v>11999.970329587979</v>
      </c>
      <c r="C340" s="7">
        <v>11809.669755180192</v>
      </c>
      <c r="D340" s="7">
        <v>-66.246136395260692</v>
      </c>
      <c r="E340" s="7">
        <v>-28451.8</v>
      </c>
    </row>
    <row r="341" spans="1:5" x14ac:dyDescent="0.25">
      <c r="A341" s="2">
        <v>338</v>
      </c>
      <c r="B341" s="7">
        <v>12000.03614980221</v>
      </c>
      <c r="C341" s="7">
        <v>11855.246792268939</v>
      </c>
      <c r="D341" s="7">
        <v>-57.805053194984794</v>
      </c>
      <c r="E341" s="7">
        <v>-28791.5</v>
      </c>
    </row>
    <row r="342" spans="1:5" x14ac:dyDescent="0.25">
      <c r="A342" s="2">
        <v>339</v>
      </c>
      <c r="B342" s="7">
        <v>12000.027013574945</v>
      </c>
      <c r="C342" s="7">
        <v>11910.802972410107</v>
      </c>
      <c r="D342" s="7">
        <v>-45.027421245351434</v>
      </c>
      <c r="E342" s="7">
        <v>-29121.5</v>
      </c>
    </row>
    <row r="343" spans="1:5" x14ac:dyDescent="0.25">
      <c r="A343" s="2">
        <v>340</v>
      </c>
      <c r="B343" s="7">
        <v>11999.950362092322</v>
      </c>
      <c r="C343" s="7">
        <v>11953.873778134061</v>
      </c>
      <c r="D343" s="7">
        <v>-4.9114135028794408</v>
      </c>
      <c r="E343" s="7">
        <v>-29421.200000000001</v>
      </c>
    </row>
    <row r="344" spans="1:5" x14ac:dyDescent="0.25">
      <c r="A344" s="2">
        <v>341</v>
      </c>
      <c r="B344" s="7">
        <v>11999.957160265029</v>
      </c>
      <c r="C344" s="7">
        <v>12000.688130539318</v>
      </c>
      <c r="D344" s="7">
        <v>-31.951383953914046</v>
      </c>
      <c r="E344" s="7">
        <v>-29688.799999999999</v>
      </c>
    </row>
    <row r="345" spans="1:5" x14ac:dyDescent="0.25">
      <c r="A345" s="2">
        <v>342</v>
      </c>
      <c r="B345" s="7">
        <v>12000.034094794317</v>
      </c>
      <c r="C345" s="7">
        <v>12025.225024365936</v>
      </c>
      <c r="D345" s="7">
        <v>-109.99206192139536</v>
      </c>
      <c r="E345" s="7">
        <v>-29982.3</v>
      </c>
    </row>
    <row r="346" spans="1:5" x14ac:dyDescent="0.25">
      <c r="A346" s="2">
        <v>343</v>
      </c>
      <c r="B346" s="7">
        <v>12000.04275224187</v>
      </c>
      <c r="C346" s="7">
        <v>12054.226404157613</v>
      </c>
      <c r="D346" s="7">
        <v>18.324852516670944</v>
      </c>
      <c r="E346" s="7">
        <v>-30345.599999999999</v>
      </c>
    </row>
    <row r="347" spans="1:5" x14ac:dyDescent="0.25">
      <c r="A347" s="2">
        <v>344</v>
      </c>
      <c r="B347" s="7">
        <v>11999.958799189721</v>
      </c>
      <c r="C347" s="7">
        <v>12094.342806137051</v>
      </c>
      <c r="D347" s="7">
        <v>-16.652667880989611</v>
      </c>
      <c r="E347" s="7">
        <v>-30579.200000000001</v>
      </c>
    </row>
    <row r="348" spans="1:5" x14ac:dyDescent="0.25">
      <c r="A348" s="2">
        <v>345</v>
      </c>
      <c r="B348" s="7">
        <v>11999.960695205706</v>
      </c>
      <c r="C348" s="7">
        <v>12133.975438009133</v>
      </c>
      <c r="D348" s="7">
        <v>15.287013726774603</v>
      </c>
      <c r="E348" s="7">
        <v>-30845.9</v>
      </c>
    </row>
    <row r="349" spans="1:5" x14ac:dyDescent="0.25">
      <c r="A349" s="2">
        <v>346</v>
      </c>
      <c r="B349" s="7">
        <v>12000.048560033731</v>
      </c>
      <c r="C349" s="7">
        <v>12154.549294361525</v>
      </c>
      <c r="D349" s="7">
        <v>-27.378540300764143</v>
      </c>
      <c r="E349" s="7">
        <v>-31094.400000000001</v>
      </c>
    </row>
    <row r="350" spans="1:5" x14ac:dyDescent="0.25">
      <c r="A350" s="2">
        <v>347</v>
      </c>
      <c r="B350" s="7">
        <v>11999.978871893938</v>
      </c>
      <c r="C350" s="7">
        <v>12199.868238349009</v>
      </c>
      <c r="D350" s="7">
        <v>-35.510112209245563</v>
      </c>
      <c r="E350" s="7">
        <v>-31405.200000000001</v>
      </c>
    </row>
    <row r="351" spans="1:5" x14ac:dyDescent="0.25">
      <c r="A351" s="2">
        <v>348</v>
      </c>
      <c r="B351" s="7">
        <v>11999.992946938914</v>
      </c>
      <c r="C351" s="7">
        <v>12225.625138326875</v>
      </c>
      <c r="D351" s="7">
        <v>-118.22362465132028</v>
      </c>
      <c r="E351" s="7">
        <v>-31733.200000000001</v>
      </c>
    </row>
    <row r="352" spans="1:5" x14ac:dyDescent="0.25">
      <c r="A352" s="2">
        <v>349</v>
      </c>
      <c r="B352" s="7">
        <v>12000.04661669236</v>
      </c>
      <c r="C352" s="7">
        <v>12257.979482834693</v>
      </c>
      <c r="D352" s="7">
        <v>-35.371535187587142</v>
      </c>
      <c r="E352" s="7">
        <v>-32133.9</v>
      </c>
    </row>
    <row r="353" spans="1:5" x14ac:dyDescent="0.25">
      <c r="A353" s="2">
        <v>350</v>
      </c>
      <c r="B353" s="7">
        <v>11999.99051683542</v>
      </c>
      <c r="C353" s="7">
        <v>12291.29537591897</v>
      </c>
      <c r="D353" s="7">
        <v>-15.636632401961833</v>
      </c>
      <c r="E353" s="7">
        <v>-32442.799999999999</v>
      </c>
    </row>
    <row r="354" spans="1:5" x14ac:dyDescent="0.25">
      <c r="A354" s="2">
        <v>351</v>
      </c>
      <c r="B354" s="7">
        <v>11999.957727819308</v>
      </c>
      <c r="C354" s="7">
        <v>12334.488048465457</v>
      </c>
      <c r="D354" s="7">
        <v>-70.495887453667819</v>
      </c>
      <c r="E354" s="7">
        <v>-32748.400000000001</v>
      </c>
    </row>
    <row r="355" spans="1:5" x14ac:dyDescent="0.25">
      <c r="A355" s="2">
        <v>352</v>
      </c>
      <c r="B355" s="7">
        <v>12000.030252035713</v>
      </c>
      <c r="C355" s="7">
        <v>12384.456194075232</v>
      </c>
      <c r="D355" s="7">
        <v>-47.503995110280812</v>
      </c>
      <c r="E355" s="7">
        <v>-33110.1</v>
      </c>
    </row>
    <row r="356" spans="1:5" x14ac:dyDescent="0.25">
      <c r="A356" s="2">
        <v>353</v>
      </c>
      <c r="B356" s="7">
        <v>12000.017628345164</v>
      </c>
      <c r="C356" s="7">
        <v>12418.026082463995</v>
      </c>
      <c r="D356" s="7">
        <v>-23.511191228870302</v>
      </c>
      <c r="E356" s="7">
        <v>-33445.199999999997</v>
      </c>
    </row>
    <row r="357" spans="1:5" x14ac:dyDescent="0.25">
      <c r="A357" s="2">
        <v>354</v>
      </c>
      <c r="B357" s="7">
        <v>12000.050650483254</v>
      </c>
      <c r="C357" s="7">
        <v>12462.83072693029</v>
      </c>
      <c r="D357" s="7">
        <v>-25.469272990245372</v>
      </c>
      <c r="E357" s="7">
        <v>-33774.9</v>
      </c>
    </row>
    <row r="358" spans="1:5" x14ac:dyDescent="0.25">
      <c r="A358" s="2">
        <v>355</v>
      </c>
      <c r="B358" s="7">
        <v>12000.033282822778</v>
      </c>
      <c r="C358" s="7">
        <v>12508.124154797464</v>
      </c>
      <c r="D358" s="7">
        <v>14.611460486892611</v>
      </c>
      <c r="E358" s="7">
        <v>-34106.9</v>
      </c>
    </row>
    <row r="359" spans="1:5" x14ac:dyDescent="0.25">
      <c r="A359" s="2">
        <v>356</v>
      </c>
      <c r="B359" s="7">
        <v>11999.971001762453</v>
      </c>
      <c r="C359" s="7">
        <v>12542.735566735209</v>
      </c>
      <c r="D359" s="7">
        <v>-100.51806087093428</v>
      </c>
      <c r="E359" s="7">
        <v>-34394.800000000003</v>
      </c>
    </row>
    <row r="360" spans="1:5" x14ac:dyDescent="0.25">
      <c r="A360" s="2">
        <v>357</v>
      </c>
      <c r="B360" s="7">
        <v>11999.970926496735</v>
      </c>
      <c r="C360" s="7">
        <v>12578.788388010813</v>
      </c>
      <c r="D360" s="7">
        <v>-69.458057512063533</v>
      </c>
      <c r="E360" s="7">
        <v>-34782.5</v>
      </c>
    </row>
    <row r="361" spans="1:5" x14ac:dyDescent="0.25">
      <c r="A361" s="2">
        <v>358</v>
      </c>
      <c r="B361" s="7">
        <v>12000.045548034072</v>
      </c>
      <c r="C361" s="7">
        <v>12627.603635425214</v>
      </c>
      <c r="D361" s="7">
        <v>-100.9205290832324</v>
      </c>
      <c r="E361" s="7">
        <v>-35131</v>
      </c>
    </row>
    <row r="362" spans="1:5" x14ac:dyDescent="0.25">
      <c r="A362" s="2">
        <v>359</v>
      </c>
      <c r="B362" s="7">
        <v>11999.952641945079</v>
      </c>
      <c r="C362" s="7">
        <v>12662.361490737414</v>
      </c>
      <c r="D362" s="7">
        <v>-66.225956876762211</v>
      </c>
      <c r="E362" s="7">
        <v>-35513.800000000003</v>
      </c>
    </row>
    <row r="363" spans="1:5" x14ac:dyDescent="0.25">
      <c r="A363" s="2">
        <v>360</v>
      </c>
      <c r="B363" s="7">
        <v>12000.016960366174</v>
      </c>
      <c r="C363" s="7">
        <v>12683.426109807973</v>
      </c>
      <c r="D363" s="7">
        <v>-93.442079902160913</v>
      </c>
      <c r="E363" s="7">
        <v>-35856.699999999997</v>
      </c>
    </row>
    <row r="364" spans="1:5" x14ac:dyDescent="0.25">
      <c r="A364" s="2">
        <v>361</v>
      </c>
      <c r="B364" s="7">
        <v>12000.028085698284</v>
      </c>
      <c r="C364" s="7">
        <v>12733.962569841649</v>
      </c>
      <c r="D364" s="7">
        <v>-86.503649612423033</v>
      </c>
      <c r="E364" s="7">
        <v>-36227.599999999999</v>
      </c>
    </row>
    <row r="365" spans="1:5" x14ac:dyDescent="0.25">
      <c r="A365" s="2">
        <v>362</v>
      </c>
      <c r="B365" s="7">
        <v>11999.955518147819</v>
      </c>
      <c r="C365" s="7">
        <v>12771.295815490244</v>
      </c>
      <c r="D365" s="7">
        <v>-107.69049581000581</v>
      </c>
      <c r="E365" s="7">
        <v>-36600.699999999997</v>
      </c>
    </row>
    <row r="366" spans="1:5" x14ac:dyDescent="0.25">
      <c r="A366" s="2">
        <v>363</v>
      </c>
      <c r="B366" s="7">
        <v>12000.017908606766</v>
      </c>
      <c r="C366" s="7">
        <v>12813.661308202019</v>
      </c>
      <c r="D366" s="7">
        <v>-133.4133796626702</v>
      </c>
      <c r="E366" s="7">
        <v>-37000.5</v>
      </c>
    </row>
    <row r="367" spans="1:5" x14ac:dyDescent="0.25">
      <c r="A367" s="2">
        <v>364</v>
      </c>
      <c r="B367" s="7">
        <v>12000.024857586915</v>
      </c>
      <c r="C367" s="7">
        <v>12860.362127895736</v>
      </c>
      <c r="D367" s="7">
        <v>-142.52473680721596</v>
      </c>
      <c r="E367" s="7">
        <v>-37419.800000000003</v>
      </c>
    </row>
    <row r="368" spans="1:5" x14ac:dyDescent="0.25">
      <c r="A368" s="2">
        <v>365</v>
      </c>
      <c r="B368" s="7">
        <v>11999.99952688224</v>
      </c>
      <c r="C368" s="7">
        <v>12901.884349779786</v>
      </c>
      <c r="D368" s="7">
        <v>-127.34123145928606</v>
      </c>
      <c r="E368" s="7">
        <v>-37842.5</v>
      </c>
    </row>
    <row r="369" spans="1:5" x14ac:dyDescent="0.25">
      <c r="A369" s="2">
        <v>366</v>
      </c>
      <c r="B369" s="7">
        <v>12000.025777826873</v>
      </c>
      <c r="C369" s="7">
        <v>12933.919708333771</v>
      </c>
      <c r="D369" s="7">
        <v>-118.52454979578033</v>
      </c>
      <c r="E369" s="7">
        <v>-38259.5</v>
      </c>
    </row>
    <row r="370" spans="1:5" x14ac:dyDescent="0.25">
      <c r="A370" s="2">
        <v>367</v>
      </c>
      <c r="B370" s="7">
        <v>12000.039870934797</v>
      </c>
      <c r="C370" s="7">
        <v>12972.741262640928</v>
      </c>
      <c r="D370" s="7">
        <v>-91.712733144406229</v>
      </c>
      <c r="E370" s="7">
        <v>-38651.1</v>
      </c>
    </row>
    <row r="371" spans="1:5" x14ac:dyDescent="0.25">
      <c r="A371" s="2">
        <v>368</v>
      </c>
      <c r="B371" s="7">
        <v>12000.026855561602</v>
      </c>
      <c r="C371" s="7">
        <v>13011.255357333204</v>
      </c>
      <c r="D371" s="7">
        <v>-197.84181621531025</v>
      </c>
      <c r="E371" s="7">
        <v>-39015.699999999997</v>
      </c>
    </row>
    <row r="372" spans="1:5" x14ac:dyDescent="0.25">
      <c r="A372" s="2">
        <v>369</v>
      </c>
      <c r="B372" s="7">
        <v>12000.025857757293</v>
      </c>
      <c r="C372" s="7">
        <v>13054.759285537177</v>
      </c>
      <c r="D372" s="7">
        <v>-67.033831109758466</v>
      </c>
      <c r="E372" s="7">
        <v>-39480</v>
      </c>
    </row>
    <row r="373" spans="1:5" x14ac:dyDescent="0.25">
      <c r="A373" s="2">
        <v>370</v>
      </c>
      <c r="B373" s="7">
        <v>12000.036543519436</v>
      </c>
      <c r="C373" s="7">
        <v>13098.084726821748</v>
      </c>
      <c r="D373" s="7">
        <v>-43.288967833388597</v>
      </c>
      <c r="E373" s="7">
        <v>-39812.199999999997</v>
      </c>
    </row>
    <row r="374" spans="1:5" x14ac:dyDescent="0.25">
      <c r="A374" s="2">
        <v>371</v>
      </c>
      <c r="B374" s="7">
        <v>11999.988891478482</v>
      </c>
      <c r="C374" s="7">
        <v>13129.41581324616</v>
      </c>
      <c r="D374" s="7">
        <v>-143.58225348312408</v>
      </c>
      <c r="E374" s="7">
        <v>-40148</v>
      </c>
    </row>
    <row r="375" spans="1:5" x14ac:dyDescent="0.25">
      <c r="A375" s="2">
        <v>372</v>
      </c>
      <c r="B375" s="7">
        <v>11999.96765108563</v>
      </c>
      <c r="C375" s="7">
        <v>13173.977113772824</v>
      </c>
      <c r="D375" s="7">
        <v>-81.857939417008311</v>
      </c>
      <c r="E375" s="7">
        <v>-40570.800000000003</v>
      </c>
    </row>
    <row r="376" spans="1:5" x14ac:dyDescent="0.25">
      <c r="A376" s="2">
        <v>373</v>
      </c>
      <c r="B376" s="7">
        <v>12000.02828969662</v>
      </c>
      <c r="C376" s="7">
        <v>13195.128311493609</v>
      </c>
      <c r="D376" s="7">
        <v>-62.966354392934591</v>
      </c>
      <c r="E376" s="7">
        <v>-40938.6</v>
      </c>
    </row>
    <row r="377" spans="1:5" x14ac:dyDescent="0.25">
      <c r="A377" s="2">
        <v>374</v>
      </c>
      <c r="B377" s="7">
        <v>11999.996908939151</v>
      </c>
      <c r="C377" s="7">
        <v>13223.665024276299</v>
      </c>
      <c r="D377" s="7">
        <v>-102.4475226434879</v>
      </c>
      <c r="E377" s="7">
        <v>-41309.300000000003</v>
      </c>
    </row>
    <row r="378" spans="1:5" x14ac:dyDescent="0.25">
      <c r="A378" s="2">
        <v>375</v>
      </c>
      <c r="B378" s="7">
        <v>11999.952275896341</v>
      </c>
      <c r="C378" s="7">
        <v>13267.211858665047</v>
      </c>
      <c r="D378" s="7">
        <v>-71.395660482812673</v>
      </c>
      <c r="E378" s="7">
        <v>-41716.300000000003</v>
      </c>
    </row>
    <row r="379" spans="1:5" x14ac:dyDescent="0.25">
      <c r="A379" s="2">
        <v>376</v>
      </c>
      <c r="B379" s="7">
        <v>12000.026544558717</v>
      </c>
      <c r="C379" s="7">
        <v>13296.932607498253</v>
      </c>
      <c r="D379" s="7">
        <v>-18.536800411529839</v>
      </c>
      <c r="E379" s="7">
        <v>-42098.3</v>
      </c>
    </row>
    <row r="380" spans="1:5" x14ac:dyDescent="0.25">
      <c r="A380" s="2">
        <v>377</v>
      </c>
      <c r="B380" s="7">
        <v>11999.988526804447</v>
      </c>
      <c r="C380" s="7">
        <v>13336.671521756682</v>
      </c>
      <c r="D380" s="7">
        <v>-171.30447276635095</v>
      </c>
      <c r="E380" s="7">
        <v>-42438.6</v>
      </c>
    </row>
    <row r="381" spans="1:5" x14ac:dyDescent="0.25">
      <c r="A381" s="2">
        <v>378</v>
      </c>
      <c r="B381" s="7">
        <v>11999.95606495333</v>
      </c>
      <c r="C381" s="7">
        <v>13372.528845531633</v>
      </c>
      <c r="D381" s="7">
        <v>-63.320102692116052</v>
      </c>
      <c r="E381" s="7">
        <v>-42918.6</v>
      </c>
    </row>
    <row r="382" spans="1:5" x14ac:dyDescent="0.25">
      <c r="A382" s="2">
        <v>379</v>
      </c>
      <c r="B382" s="7">
        <v>11999.951887176727</v>
      </c>
      <c r="C382" s="7">
        <v>13411.076053194127</v>
      </c>
      <c r="D382" s="7">
        <v>-153.35659764427692</v>
      </c>
      <c r="E382" s="7">
        <v>-43270.400000000001</v>
      </c>
    </row>
    <row r="383" spans="1:5" x14ac:dyDescent="0.25">
      <c r="A383" s="2">
        <v>380</v>
      </c>
      <c r="B383" s="7">
        <v>11999.995339594811</v>
      </c>
      <c r="C383" s="7">
        <v>13457.530198505672</v>
      </c>
      <c r="D383" s="7">
        <v>-186.91589942807332</v>
      </c>
      <c r="E383" s="7">
        <v>-43707.5</v>
      </c>
    </row>
    <row r="384" spans="1:5" x14ac:dyDescent="0.25">
      <c r="A384" s="2">
        <v>381</v>
      </c>
      <c r="B384" s="7">
        <v>12000.035208949359</v>
      </c>
      <c r="C384" s="7">
        <v>13483.523383343534</v>
      </c>
      <c r="D384" s="7">
        <v>-195.41735802683979</v>
      </c>
      <c r="E384" s="7">
        <v>-44187.4</v>
      </c>
    </row>
    <row r="385" spans="1:5" x14ac:dyDescent="0.25">
      <c r="A385" s="2">
        <v>382</v>
      </c>
      <c r="B385" s="7">
        <v>11999.969235599496</v>
      </c>
      <c r="C385" s="7">
        <v>13519.305803990108</v>
      </c>
      <c r="D385" s="7">
        <v>-61.149879975710064</v>
      </c>
      <c r="E385" s="7">
        <v>-44680.1</v>
      </c>
    </row>
    <row r="386" spans="1:5" x14ac:dyDescent="0.25">
      <c r="A386" s="2">
        <v>383</v>
      </c>
      <c r="B386" s="7">
        <v>11999.961283154213</v>
      </c>
      <c r="C386" s="7">
        <v>13565.606989298656</v>
      </c>
      <c r="D386" s="7">
        <v>-174.32145041879267</v>
      </c>
      <c r="E386" s="7">
        <v>-45040.9</v>
      </c>
    </row>
    <row r="387" spans="1:5" x14ac:dyDescent="0.25">
      <c r="A387" s="2">
        <v>384</v>
      </c>
      <c r="B387" s="7">
        <v>12000.035272103616</v>
      </c>
      <c r="C387" s="7">
        <v>13589.071956884523</v>
      </c>
      <c r="D387" s="7">
        <v>-195.8541973377578</v>
      </c>
      <c r="E387" s="7">
        <v>-45514.6</v>
      </c>
    </row>
    <row r="388" spans="1:5" x14ac:dyDescent="0.25">
      <c r="A388" s="2">
        <v>385</v>
      </c>
      <c r="B388" s="7">
        <v>12000.030569730403</v>
      </c>
      <c r="C388" s="7">
        <v>13638.521288162621</v>
      </c>
      <c r="D388" s="7">
        <v>-70.584578166250139</v>
      </c>
      <c r="E388" s="7">
        <v>-46010.1</v>
      </c>
    </row>
    <row r="389" spans="1:5" x14ac:dyDescent="0.25">
      <c r="A389" s="2">
        <v>386</v>
      </c>
      <c r="B389" s="7">
        <v>12000.036459181176</v>
      </c>
      <c r="C389" s="7">
        <v>13682.765631549526</v>
      </c>
      <c r="D389" s="7">
        <v>-105.25084564834833</v>
      </c>
      <c r="E389" s="7">
        <v>-46409.1</v>
      </c>
    </row>
    <row r="390" spans="1:5" x14ac:dyDescent="0.25">
      <c r="A390" s="2">
        <v>387</v>
      </c>
      <c r="B390" s="7">
        <v>11999.994650090021</v>
      </c>
      <c r="C390" s="7">
        <v>13721.391472154937</v>
      </c>
      <c r="D390" s="7">
        <v>-58.457303038332611</v>
      </c>
      <c r="E390" s="7">
        <v>-46846.8</v>
      </c>
    </row>
    <row r="391" spans="1:5" x14ac:dyDescent="0.25">
      <c r="A391" s="2">
        <v>388</v>
      </c>
      <c r="B391" s="7">
        <v>12000.017099952427</v>
      </c>
      <c r="C391" s="7">
        <v>13756.870101764041</v>
      </c>
      <c r="D391" s="7">
        <v>-119.80520528787747</v>
      </c>
      <c r="E391" s="7">
        <v>-47241.5</v>
      </c>
    </row>
    <row r="392" spans="1:5" x14ac:dyDescent="0.25">
      <c r="A392" s="2">
        <v>389</v>
      </c>
      <c r="B392" s="7">
        <v>12000.041091104367</v>
      </c>
      <c r="C392" s="7">
        <v>13790.865504470188</v>
      </c>
      <c r="D392" s="7">
        <v>-94.260681126732379</v>
      </c>
      <c r="E392" s="7">
        <v>-47682.7</v>
      </c>
    </row>
    <row r="393" spans="1:5" x14ac:dyDescent="0.25">
      <c r="A393" s="2">
        <v>390</v>
      </c>
      <c r="B393" s="7">
        <v>11999.95601059677</v>
      </c>
      <c r="C393" s="7">
        <v>13848.507214838639</v>
      </c>
      <c r="D393" s="7">
        <v>-136.20447717327625</v>
      </c>
      <c r="E393" s="7">
        <v>-48092.3</v>
      </c>
    </row>
    <row r="394" spans="1:5" x14ac:dyDescent="0.25">
      <c r="A394" s="2">
        <v>391</v>
      </c>
      <c r="B394" s="7">
        <v>11999.97291358133</v>
      </c>
      <c r="C394" s="7">
        <v>13880.201725731487</v>
      </c>
      <c r="D394" s="7">
        <v>-188.15972676733509</v>
      </c>
      <c r="E394" s="7">
        <v>-48527.6</v>
      </c>
    </row>
    <row r="395" spans="1:5" x14ac:dyDescent="0.25">
      <c r="A395" s="2">
        <v>392</v>
      </c>
      <c r="B395" s="7">
        <v>12000.020067564388</v>
      </c>
      <c r="C395" s="7">
        <v>13920.321788446628</v>
      </c>
      <c r="D395" s="7">
        <v>-157.19403496058658</v>
      </c>
      <c r="E395" s="7">
        <v>-49029.5</v>
      </c>
    </row>
    <row r="396" spans="1:5" x14ac:dyDescent="0.25">
      <c r="A396" s="2">
        <v>393</v>
      </c>
      <c r="B396" s="7">
        <v>11999.957351129267</v>
      </c>
      <c r="C396" s="7">
        <v>13970.74806375074</v>
      </c>
      <c r="D396" s="7">
        <v>-217.10561878466979</v>
      </c>
      <c r="E396" s="7">
        <v>-49497.5</v>
      </c>
    </row>
    <row r="397" spans="1:5" x14ac:dyDescent="0.25">
      <c r="A397" s="2">
        <v>394</v>
      </c>
      <c r="B397" s="7">
        <v>12000.02189147985</v>
      </c>
      <c r="C397" s="7">
        <v>13999.211621683877</v>
      </c>
      <c r="D397" s="7">
        <v>-127.2430995889008</v>
      </c>
      <c r="E397" s="7">
        <v>-50047.199999999997</v>
      </c>
    </row>
    <row r="398" spans="1:5" x14ac:dyDescent="0.25">
      <c r="A398" s="2">
        <v>395</v>
      </c>
      <c r="B398" s="7">
        <v>11999.993317114273</v>
      </c>
      <c r="C398" s="7">
        <v>14055.571381052498</v>
      </c>
      <c r="D398" s="7">
        <v>-184.74621682846919</v>
      </c>
      <c r="E398" s="7">
        <v>-50501.8</v>
      </c>
    </row>
    <row r="399" spans="1:5" x14ac:dyDescent="0.25">
      <c r="A399" s="2">
        <v>396</v>
      </c>
      <c r="B399" s="7">
        <v>12000.013220716864</v>
      </c>
      <c r="C399" s="7">
        <v>14086.202737866894</v>
      </c>
      <c r="D399" s="7">
        <v>-191.98806555767078</v>
      </c>
      <c r="E399" s="7">
        <v>-50995.199999999997</v>
      </c>
    </row>
    <row r="400" spans="1:5" x14ac:dyDescent="0.25">
      <c r="A400" s="2">
        <v>397</v>
      </c>
      <c r="B400" s="7">
        <v>12000.013688070785</v>
      </c>
      <c r="C400" s="7">
        <v>14134.483045330737</v>
      </c>
      <c r="D400" s="7">
        <v>-322.84292475017719</v>
      </c>
      <c r="E400" s="7">
        <v>-51471</v>
      </c>
    </row>
    <row r="401" spans="1:5" x14ac:dyDescent="0.25">
      <c r="A401" s="2">
        <v>398</v>
      </c>
      <c r="B401" s="7">
        <v>12000.026047249252</v>
      </c>
      <c r="C401" s="7">
        <v>14202.715678292327</v>
      </c>
      <c r="D401" s="7">
        <v>-98.355717260856181</v>
      </c>
      <c r="E401" s="7">
        <v>-52076.3</v>
      </c>
    </row>
    <row r="402" spans="1:5" x14ac:dyDescent="0.25">
      <c r="A402" s="2">
        <v>399</v>
      </c>
      <c r="B402" s="7">
        <v>12000.005718646795</v>
      </c>
      <c r="C402" s="7">
        <v>14267.042482218007</v>
      </c>
      <c r="D402" s="7">
        <v>-378.51679702778347</v>
      </c>
      <c r="E402" s="7">
        <v>-52497.8</v>
      </c>
    </row>
    <row r="403" spans="1:5" x14ac:dyDescent="0.25">
      <c r="A403" s="2">
        <v>400</v>
      </c>
      <c r="B403" s="7">
        <v>12000.043405818105</v>
      </c>
      <c r="C403" s="7">
        <v>14327.961215526972</v>
      </c>
      <c r="D403" s="7">
        <v>-117.0188364055939</v>
      </c>
      <c r="E403" s="7">
        <v>-53142.3</v>
      </c>
    </row>
    <row r="404" spans="1:5" x14ac:dyDescent="0.25">
      <c r="A404" s="2">
        <v>401</v>
      </c>
      <c r="B404" s="7">
        <v>12000.027881015629</v>
      </c>
      <c r="C404" s="7">
        <v>14354.739171477035</v>
      </c>
      <c r="D404" s="7">
        <v>-311.63476971071213</v>
      </c>
      <c r="E404" s="7">
        <v>-53552.3</v>
      </c>
    </row>
    <row r="405" spans="1:5" x14ac:dyDescent="0.25">
      <c r="A405" s="2">
        <v>402</v>
      </c>
      <c r="B405" s="7">
        <v>11999.976865942836</v>
      </c>
      <c r="C405" s="7">
        <v>14395.852104212274</v>
      </c>
      <c r="D405" s="7">
        <v>-125.63034632522613</v>
      </c>
      <c r="E405" s="7">
        <v>-54183.3</v>
      </c>
    </row>
    <row r="406" spans="1:5" x14ac:dyDescent="0.25">
      <c r="A406" s="2">
        <v>403</v>
      </c>
      <c r="B406" s="7">
        <v>12000.016849673048</v>
      </c>
      <c r="C406" s="7">
        <v>14454.181829923997</v>
      </c>
      <c r="D406" s="7">
        <v>-11.024742127861828</v>
      </c>
      <c r="E406" s="7">
        <v>-54627.4</v>
      </c>
    </row>
    <row r="407" spans="1:5" x14ac:dyDescent="0.25">
      <c r="A407" s="2">
        <v>404</v>
      </c>
      <c r="B407" s="7">
        <v>11999.963391756846</v>
      </c>
      <c r="C407" s="7">
        <v>14514.211511910311</v>
      </c>
      <c r="D407" s="7">
        <v>-221.12194720702246</v>
      </c>
      <c r="E407" s="7">
        <v>-54968.5</v>
      </c>
    </row>
    <row r="408" spans="1:5" x14ac:dyDescent="0.25">
      <c r="A408" s="2">
        <v>405</v>
      </c>
      <c r="B408" s="7">
        <v>12000.02373773046</v>
      </c>
      <c r="C408" s="7">
        <v>14568.871962944861</v>
      </c>
      <c r="D408" s="7">
        <v>-137.2705189534463</v>
      </c>
      <c r="E408" s="7">
        <v>-55496.3</v>
      </c>
    </row>
    <row r="409" spans="1:5" x14ac:dyDescent="0.25">
      <c r="A409" s="2">
        <v>406</v>
      </c>
      <c r="B409" s="7">
        <v>11999.979381524408</v>
      </c>
      <c r="C409" s="7">
        <v>14621.567196410266</v>
      </c>
      <c r="D409" s="7">
        <v>-188.07072798488662</v>
      </c>
      <c r="E409" s="7">
        <v>-55935.8</v>
      </c>
    </row>
    <row r="410" spans="1:5" x14ac:dyDescent="0.25">
      <c r="A410" s="2">
        <v>407</v>
      </c>
      <c r="B410" s="7">
        <v>11999.977216303803</v>
      </c>
      <c r="C410" s="7">
        <v>14666.023881410016</v>
      </c>
      <c r="D410" s="7">
        <v>-232.83621349511668</v>
      </c>
      <c r="E410" s="7">
        <v>-56441.9</v>
      </c>
    </row>
    <row r="411" spans="1:5" x14ac:dyDescent="0.25">
      <c r="A411" s="2">
        <v>408</v>
      </c>
      <c r="B411" s="7">
        <v>11999.984143290436</v>
      </c>
      <c r="C411" s="7">
        <v>14701.035035416251</v>
      </c>
      <c r="D411" s="7">
        <v>-58.586306151002645</v>
      </c>
      <c r="E411" s="7">
        <v>-56993.1</v>
      </c>
    </row>
    <row r="412" spans="1:5" x14ac:dyDescent="0.25">
      <c r="A412" s="2">
        <v>409</v>
      </c>
      <c r="B412" s="7">
        <v>12000.037237572715</v>
      </c>
      <c r="C412" s="7">
        <v>14736.639925692463</v>
      </c>
      <c r="D412" s="7">
        <v>-31.269366836437257</v>
      </c>
      <c r="E412" s="7">
        <v>-57403.6</v>
      </c>
    </row>
    <row r="413" spans="1:5" x14ac:dyDescent="0.25">
      <c r="A413" s="2">
        <v>410</v>
      </c>
      <c r="B413" s="7">
        <v>12000.014122332379</v>
      </c>
      <c r="C413" s="7">
        <v>14794.650569536665</v>
      </c>
      <c r="D413" s="7">
        <v>-150.84854638157412</v>
      </c>
      <c r="E413" s="7">
        <v>-57792.800000000003</v>
      </c>
    </row>
    <row r="414" spans="1:5" x14ac:dyDescent="0.25">
      <c r="A414" s="2">
        <v>411</v>
      </c>
      <c r="B414" s="7">
        <v>11999.980280714544</v>
      </c>
      <c r="C414" s="7">
        <v>14814.49379773243</v>
      </c>
      <c r="D414" s="7">
        <v>-22.849993581417948</v>
      </c>
      <c r="E414" s="7">
        <v>-58309.1</v>
      </c>
    </row>
    <row r="415" spans="1:5" x14ac:dyDescent="0.25">
      <c r="A415" s="2">
        <v>412</v>
      </c>
      <c r="B415" s="7">
        <v>12000.030516156507</v>
      </c>
      <c r="C415" s="7">
        <v>14841.843053375895</v>
      </c>
      <c r="D415" s="7">
        <v>-3.4171918388456106</v>
      </c>
      <c r="E415" s="7">
        <v>-58687.5</v>
      </c>
    </row>
    <row r="416" spans="1:5" x14ac:dyDescent="0.25">
      <c r="A416" s="2">
        <v>413</v>
      </c>
      <c r="B416" s="7">
        <v>12000.024690200158</v>
      </c>
      <c r="C416" s="7">
        <v>14878.33931921568</v>
      </c>
      <c r="D416" s="7">
        <v>-214.80458026984707</v>
      </c>
      <c r="E416" s="7">
        <v>-59035.199999999997</v>
      </c>
    </row>
    <row r="417" spans="1:5" x14ac:dyDescent="0.25">
      <c r="A417" s="2">
        <v>414</v>
      </c>
      <c r="B417" s="7">
        <v>12000.010421249395</v>
      </c>
      <c r="C417" s="7">
        <v>14922.151029369859</v>
      </c>
      <c r="D417" s="7">
        <v>-162.54966865899041</v>
      </c>
      <c r="E417" s="7">
        <v>-59602.9</v>
      </c>
    </row>
    <row r="418" spans="1:5" x14ac:dyDescent="0.25">
      <c r="A418" s="2">
        <v>415</v>
      </c>
      <c r="B418" s="7">
        <v>11999.988201677381</v>
      </c>
      <c r="C418" s="7">
        <v>14979.765973257454</v>
      </c>
      <c r="D418" s="7">
        <v>-405.90478117065504</v>
      </c>
      <c r="E418" s="7">
        <v>-60092.2</v>
      </c>
    </row>
    <row r="419" spans="1:5" x14ac:dyDescent="0.25">
      <c r="A419" s="2">
        <v>416</v>
      </c>
      <c r="B419" s="7">
        <v>11999.954718949961</v>
      </c>
      <c r="C419" s="7">
        <v>15007.065186752938</v>
      </c>
      <c r="D419" s="7">
        <v>-183.71924924757332</v>
      </c>
      <c r="E419" s="7">
        <v>-60812.800000000003</v>
      </c>
    </row>
    <row r="420" spans="1:5" x14ac:dyDescent="0.25">
      <c r="A420" s="2">
        <v>417</v>
      </c>
      <c r="B420" s="7">
        <v>12000.045068801714</v>
      </c>
      <c r="C420" s="7">
        <v>15081.150405544031</v>
      </c>
      <c r="D420" s="7">
        <v>-247.41015185869765</v>
      </c>
      <c r="E420" s="7">
        <v>-61347.6</v>
      </c>
    </row>
    <row r="421" spans="1:5" x14ac:dyDescent="0.25">
      <c r="A421" s="2">
        <v>418</v>
      </c>
      <c r="B421" s="7">
        <v>11999.995332723867</v>
      </c>
      <c r="C421" s="7">
        <v>15114.891647149008</v>
      </c>
      <c r="D421" s="7">
        <v>-190.04271506378427</v>
      </c>
      <c r="E421" s="7">
        <v>-61949.5</v>
      </c>
    </row>
    <row r="422" spans="1:5" x14ac:dyDescent="0.25">
      <c r="A422" s="2">
        <v>419</v>
      </c>
      <c r="B422" s="7">
        <v>12000.001965183383</v>
      </c>
      <c r="C422" s="7">
        <v>15185.634380777272</v>
      </c>
      <c r="D422" s="7">
        <v>-375.17932602507062</v>
      </c>
      <c r="E422" s="7">
        <v>-62504</v>
      </c>
    </row>
    <row r="423" spans="1:5" x14ac:dyDescent="0.25">
      <c r="A423" s="2">
        <v>420</v>
      </c>
      <c r="B423" s="7">
        <v>11999.99598936196</v>
      </c>
      <c r="C423" s="7">
        <v>15208.922621818405</v>
      </c>
      <c r="D423" s="7">
        <v>-138.65224841283634</v>
      </c>
      <c r="E423" s="7">
        <v>-63202.6</v>
      </c>
    </row>
    <row r="424" spans="1:5" x14ac:dyDescent="0.25">
      <c r="A424" s="2">
        <v>421</v>
      </c>
      <c r="B424" s="7">
        <v>11999.987638915052</v>
      </c>
      <c r="C424" s="7">
        <v>15231.677179324266</v>
      </c>
      <c r="D424" s="7">
        <v>-303.14289532089606</v>
      </c>
      <c r="E424" s="7">
        <v>-63662</v>
      </c>
    </row>
    <row r="425" spans="1:5" x14ac:dyDescent="0.25">
      <c r="A425" s="2">
        <v>422</v>
      </c>
      <c r="B425" s="7">
        <v>12000.015559846324</v>
      </c>
      <c r="C425" s="7">
        <v>15274.938244629535</v>
      </c>
      <c r="D425" s="7">
        <v>-181.62575818318874</v>
      </c>
      <c r="E425" s="7">
        <v>-64282.9</v>
      </c>
    </row>
    <row r="426" spans="1:5" x14ac:dyDescent="0.25">
      <c r="A426" s="2">
        <v>423</v>
      </c>
      <c r="B426" s="7">
        <v>12000.031232737447</v>
      </c>
      <c r="C426" s="7">
        <v>15329.149476710983</v>
      </c>
      <c r="D426" s="7">
        <v>-158.0220169913955</v>
      </c>
      <c r="E426" s="7">
        <v>-64806.6</v>
      </c>
    </row>
    <row r="427" spans="1:5" x14ac:dyDescent="0.25">
      <c r="A427" s="2">
        <v>424</v>
      </c>
      <c r="B427" s="7">
        <v>12000.020798805721</v>
      </c>
      <c r="C427" s="7">
        <v>15385.649912604291</v>
      </c>
      <c r="D427" s="7">
        <v>-83.017400292214006</v>
      </c>
      <c r="E427" s="7">
        <v>-65336.4</v>
      </c>
    </row>
    <row r="428" spans="1:5" x14ac:dyDescent="0.25">
      <c r="A428" s="2">
        <v>425</v>
      </c>
      <c r="B428" s="7">
        <v>11999.976583946891</v>
      </c>
      <c r="C428" s="7">
        <v>15421.892903690488</v>
      </c>
      <c r="D428" s="7">
        <v>-206.07407495146617</v>
      </c>
      <c r="E428" s="7">
        <v>-65782.8</v>
      </c>
    </row>
    <row r="429" spans="1:5" x14ac:dyDescent="0.25">
      <c r="A429" s="2">
        <v>426</v>
      </c>
      <c r="B429" s="7">
        <v>11999.984448930167</v>
      </c>
      <c r="C429" s="7">
        <v>15439.933405752436</v>
      </c>
      <c r="D429" s="7">
        <v>-179.41792307654396</v>
      </c>
      <c r="E429" s="7">
        <v>-66358.7</v>
      </c>
    </row>
    <row r="430" spans="1:5" x14ac:dyDescent="0.25">
      <c r="A430" s="2">
        <v>427</v>
      </c>
      <c r="B430" s="7">
        <v>12000.050383942429</v>
      </c>
      <c r="C430" s="7">
        <v>15485.376860848162</v>
      </c>
      <c r="D430" s="7">
        <v>-147.57200070284307</v>
      </c>
      <c r="E430" s="7">
        <v>-66921.100000000006</v>
      </c>
    </row>
    <row r="431" spans="1:5" x14ac:dyDescent="0.25">
      <c r="A431" s="2">
        <v>428</v>
      </c>
      <c r="B431" s="7">
        <v>11999.996815636669</v>
      </c>
      <c r="C431" s="7">
        <v>15585.628682840208</v>
      </c>
      <c r="D431" s="7">
        <v>-254.97993998322636</v>
      </c>
      <c r="E431" s="7">
        <v>-67448.7</v>
      </c>
    </row>
    <row r="432" spans="1:5" x14ac:dyDescent="0.25">
      <c r="A432" s="2">
        <v>429</v>
      </c>
      <c r="B432" s="7">
        <v>12000.038305463957</v>
      </c>
      <c r="C432" s="7">
        <v>15672.926917960125</v>
      </c>
      <c r="D432" s="7">
        <v>-203.75585336843506</v>
      </c>
      <c r="E432" s="7">
        <v>-68082.5</v>
      </c>
    </row>
    <row r="433" spans="1:5" x14ac:dyDescent="0.25">
      <c r="A433" s="2">
        <v>430</v>
      </c>
      <c r="B433" s="7">
        <v>11999.990820662691</v>
      </c>
      <c r="C433" s="7">
        <v>15753.339880349755</v>
      </c>
      <c r="D433" s="7">
        <v>-310.85173926549032</v>
      </c>
      <c r="E433" s="7">
        <v>-68663.100000000006</v>
      </c>
    </row>
    <row r="434" spans="1:5" x14ac:dyDescent="0.25">
      <c r="A434" s="2">
        <v>431</v>
      </c>
      <c r="B434" s="7">
        <v>11999.980119469194</v>
      </c>
      <c r="C434" s="7">
        <v>15804.640861742329</v>
      </c>
      <c r="D434" s="7">
        <v>-279.6246885615401</v>
      </c>
      <c r="E434" s="7">
        <v>-69334.399999999994</v>
      </c>
    </row>
    <row r="435" spans="1:5" x14ac:dyDescent="0.25">
      <c r="A435" s="2">
        <v>432</v>
      </c>
      <c r="B435" s="7">
        <v>12000.038539460258</v>
      </c>
      <c r="C435" s="7">
        <v>15840.058610332184</v>
      </c>
      <c r="D435" s="7">
        <v>-265.77675042580813</v>
      </c>
      <c r="E435" s="7">
        <v>-69982.7</v>
      </c>
    </row>
    <row r="436" spans="1:5" x14ac:dyDescent="0.25">
      <c r="A436" s="2">
        <v>433</v>
      </c>
      <c r="B436" s="7">
        <v>11999.995914582487</v>
      </c>
      <c r="C436" s="7">
        <v>15882.745826624086</v>
      </c>
      <c r="D436" s="7">
        <v>-212.43237742455676</v>
      </c>
      <c r="E436" s="7">
        <v>-70589.399999999994</v>
      </c>
    </row>
    <row r="437" spans="1:5" x14ac:dyDescent="0.25">
      <c r="A437" s="2">
        <v>434</v>
      </c>
      <c r="B437" s="7">
        <v>11999.986542928717</v>
      </c>
      <c r="C437" s="7">
        <v>15935.076324366179</v>
      </c>
      <c r="D437" s="7">
        <v>-277.59966985788196</v>
      </c>
      <c r="E437" s="7">
        <v>-71155.899999999994</v>
      </c>
    </row>
    <row r="438" spans="1:5" x14ac:dyDescent="0.25">
      <c r="A438" s="2">
        <v>435</v>
      </c>
      <c r="B438" s="7">
        <v>11999.965192120246</v>
      </c>
      <c r="C438" s="7">
        <v>15979.444519266341</v>
      </c>
      <c r="D438" s="7">
        <v>-454.74229364702478</v>
      </c>
      <c r="E438" s="7">
        <v>-71781.3</v>
      </c>
    </row>
    <row r="439" spans="1:5" x14ac:dyDescent="0.25">
      <c r="A439" s="2">
        <v>436</v>
      </c>
      <c r="B439" s="7">
        <v>12000.021335512423</v>
      </c>
      <c r="C439" s="7">
        <v>16048.353834790963</v>
      </c>
      <c r="D439" s="7">
        <v>-181.59305298468098</v>
      </c>
      <c r="E439" s="7">
        <v>-72582.8</v>
      </c>
    </row>
    <row r="440" spans="1:5" x14ac:dyDescent="0.25">
      <c r="A440" s="2">
        <v>437</v>
      </c>
      <c r="B440" s="7">
        <v>11999.952271780916</v>
      </c>
      <c r="C440" s="7">
        <v>16097.486172572098</v>
      </c>
      <c r="D440" s="7">
        <v>-438.27067062398419</v>
      </c>
      <c r="E440" s="7">
        <v>-73118</v>
      </c>
    </row>
    <row r="441" spans="1:5" x14ac:dyDescent="0.25">
      <c r="A441" s="2">
        <v>438</v>
      </c>
      <c r="B441" s="7">
        <v>12000.001814124471</v>
      </c>
      <c r="C441" s="7">
        <v>16161.480406353146</v>
      </c>
      <c r="D441" s="7">
        <v>-367.83447752101347</v>
      </c>
      <c r="E441" s="7">
        <v>-73888.100000000006</v>
      </c>
    </row>
    <row r="442" spans="1:5" x14ac:dyDescent="0.25">
      <c r="A442" s="2">
        <v>439</v>
      </c>
      <c r="B442" s="7">
        <v>11999.99868261472</v>
      </c>
      <c r="C442" s="7">
        <v>16217.470999714698</v>
      </c>
      <c r="D442" s="7">
        <v>-288.29752513440326</v>
      </c>
      <c r="E442" s="7">
        <v>-74596.600000000006</v>
      </c>
    </row>
    <row r="443" spans="1:5" x14ac:dyDescent="0.25">
      <c r="A443" s="2">
        <v>440</v>
      </c>
      <c r="B443" s="7">
        <v>11999.963765894088</v>
      </c>
      <c r="C443" s="7">
        <v>16277.507303408513</v>
      </c>
      <c r="D443" s="7">
        <v>-236.76357908034697</v>
      </c>
      <c r="E443" s="7">
        <v>-75224.800000000003</v>
      </c>
    </row>
    <row r="444" spans="1:5" x14ac:dyDescent="0.25">
      <c r="A444" s="2">
        <v>441</v>
      </c>
      <c r="B444" s="7">
        <v>12000.040531736846</v>
      </c>
      <c r="C444" s="7">
        <v>16338.584417779535</v>
      </c>
      <c r="D444" s="7">
        <v>-319.62482314789668</v>
      </c>
      <c r="E444" s="7">
        <v>-75789.399999999994</v>
      </c>
    </row>
    <row r="445" spans="1:5" x14ac:dyDescent="0.25">
      <c r="A445" s="2">
        <v>442</v>
      </c>
      <c r="B445" s="7">
        <v>12000.041628651474</v>
      </c>
      <c r="C445" s="7">
        <v>16389.823101800241</v>
      </c>
      <c r="D445" s="7">
        <v>-215.20234294096008</v>
      </c>
      <c r="E445" s="7">
        <v>-76439.3</v>
      </c>
    </row>
    <row r="446" spans="1:5" x14ac:dyDescent="0.25">
      <c r="A446" s="2">
        <v>443</v>
      </c>
      <c r="B446" s="7">
        <v>12000.0408414349</v>
      </c>
      <c r="C446" s="7">
        <v>16414.22896216833</v>
      </c>
      <c r="D446" s="7">
        <v>-578.97644935874268</v>
      </c>
      <c r="E446" s="7">
        <v>-76983.600000000006</v>
      </c>
    </row>
    <row r="447" spans="1:5" x14ac:dyDescent="0.25">
      <c r="A447" s="2">
        <v>444</v>
      </c>
      <c r="B447" s="7">
        <v>11999.98608313982</v>
      </c>
      <c r="C447" s="7">
        <v>16454.682322570239</v>
      </c>
      <c r="D447" s="7">
        <v>-390.73965599248186</v>
      </c>
      <c r="E447" s="7">
        <v>-77897.2</v>
      </c>
    </row>
    <row r="448" spans="1:5" x14ac:dyDescent="0.25">
      <c r="A448" s="2">
        <v>445</v>
      </c>
      <c r="B448" s="7">
        <v>12000.010715421056</v>
      </c>
      <c r="C448" s="7">
        <v>16495.556088269106</v>
      </c>
      <c r="D448" s="7">
        <v>-229.7084995880723</v>
      </c>
      <c r="E448" s="7">
        <v>-78620.2</v>
      </c>
    </row>
    <row r="449" spans="1:5" x14ac:dyDescent="0.25">
      <c r="A449" s="2">
        <v>446</v>
      </c>
      <c r="B449" s="7">
        <v>11999.95996432326</v>
      </c>
      <c r="C449" s="7">
        <v>16564.931896261289</v>
      </c>
      <c r="D449" s="7">
        <v>-319.94959200778976</v>
      </c>
      <c r="E449" s="7">
        <v>-79201.600000000006</v>
      </c>
    </row>
    <row r="450" spans="1:5" x14ac:dyDescent="0.25">
      <c r="A450" s="2">
        <v>447</v>
      </c>
      <c r="B450" s="7">
        <v>11999.998382716392</v>
      </c>
      <c r="C450" s="7">
        <v>16594.352821247128</v>
      </c>
      <c r="D450" s="7">
        <v>-321.23632150981575</v>
      </c>
      <c r="E450" s="7">
        <v>-79864.800000000003</v>
      </c>
    </row>
    <row r="451" spans="1:5" x14ac:dyDescent="0.25">
      <c r="A451" s="2">
        <v>448</v>
      </c>
      <c r="B451" s="7">
        <v>11999.991428759975</v>
      </c>
      <c r="C451" s="7">
        <v>16630.465636213194</v>
      </c>
      <c r="D451" s="7">
        <v>-371.23481548484415</v>
      </c>
      <c r="E451" s="7">
        <v>-80540.800000000003</v>
      </c>
    </row>
    <row r="452" spans="1:5" x14ac:dyDescent="0.25">
      <c r="A452" s="2">
        <v>449</v>
      </c>
      <c r="B452" s="7">
        <v>11999.996783063498</v>
      </c>
      <c r="C452" s="7">
        <v>16688.932627075003</v>
      </c>
      <c r="D452" s="7">
        <v>-211.5674855215475</v>
      </c>
      <c r="E452" s="7">
        <v>-81274</v>
      </c>
    </row>
    <row r="453" spans="1:5" x14ac:dyDescent="0.25">
      <c r="A453" s="2">
        <v>450</v>
      </c>
      <c r="B453" s="7">
        <v>12000.01776357119</v>
      </c>
      <c r="C453" s="7">
        <v>16743.069744193723</v>
      </c>
      <c r="D453" s="7">
        <v>-185.15266128722578</v>
      </c>
      <c r="E453" s="7">
        <v>-81846.3</v>
      </c>
    </row>
    <row r="454" spans="1:5" x14ac:dyDescent="0.25">
      <c r="A454" s="2">
        <v>451</v>
      </c>
      <c r="B454" s="7">
        <v>12000.047769672025</v>
      </c>
      <c r="C454" s="7">
        <v>16807.212034604512</v>
      </c>
      <c r="D454" s="7">
        <v>-541.72200396191329</v>
      </c>
      <c r="E454" s="7">
        <v>-82400.899999999994</v>
      </c>
    </row>
    <row r="455" spans="1:5" x14ac:dyDescent="0.25">
      <c r="A455" s="2">
        <v>452</v>
      </c>
      <c r="B455" s="7">
        <v>11999.958061635763</v>
      </c>
      <c r="C455" s="7">
        <v>16893.714862354798</v>
      </c>
      <c r="D455" s="7">
        <v>-303.67660570796579</v>
      </c>
      <c r="E455" s="7">
        <v>-83294.600000000006</v>
      </c>
    </row>
    <row r="456" spans="1:5" x14ac:dyDescent="0.25">
      <c r="A456" s="2">
        <v>453</v>
      </c>
      <c r="B456" s="7">
        <v>12000.025670304864</v>
      </c>
      <c r="C456" s="7">
        <v>16957.586229182096</v>
      </c>
      <c r="D456" s="7">
        <v>-485.49946534633636</v>
      </c>
      <c r="E456" s="7">
        <v>-83945.2</v>
      </c>
    </row>
    <row r="457" spans="1:5" x14ac:dyDescent="0.25">
      <c r="A457" s="2">
        <v>454</v>
      </c>
      <c r="B457" s="7">
        <v>12000.021797381771</v>
      </c>
      <c r="C457" s="7">
        <v>17044.631442774684</v>
      </c>
      <c r="D457" s="7">
        <v>-508.52152511384338</v>
      </c>
      <c r="E457" s="7">
        <v>-84751.8</v>
      </c>
    </row>
    <row r="458" spans="1:5" x14ac:dyDescent="0.25">
      <c r="A458" s="2">
        <v>455</v>
      </c>
      <c r="B458" s="7">
        <v>11999.958909985253</v>
      </c>
      <c r="C458" s="7">
        <v>17130.402192420035</v>
      </c>
      <c r="D458" s="7">
        <v>-307.37007991131395</v>
      </c>
      <c r="E458" s="7">
        <v>-85575.9</v>
      </c>
    </row>
    <row r="459" spans="1:5" x14ac:dyDescent="0.25">
      <c r="A459" s="2">
        <v>456</v>
      </c>
      <c r="B459" s="7">
        <v>12000.042313310867</v>
      </c>
      <c r="C459" s="7">
        <v>17202.376251892361</v>
      </c>
      <c r="D459" s="7">
        <v>-466.28944165538996</v>
      </c>
      <c r="E459" s="7">
        <v>-86202.9</v>
      </c>
    </row>
    <row r="460" spans="1:5" x14ac:dyDescent="0.25">
      <c r="A460" s="2">
        <v>457</v>
      </c>
      <c r="B460" s="7">
        <v>12000.039572460149</v>
      </c>
      <c r="C460" s="7">
        <v>17292.486983734649</v>
      </c>
      <c r="D460" s="7">
        <v>-317.81319915410131</v>
      </c>
      <c r="E460" s="7">
        <v>-86981.6</v>
      </c>
    </row>
    <row r="461" spans="1:5" x14ac:dyDescent="0.25">
      <c r="A461" s="2">
        <v>458</v>
      </c>
      <c r="B461" s="7">
        <v>11999.955031937192</v>
      </c>
      <c r="C461" s="7">
        <v>17354.351422314299</v>
      </c>
      <c r="D461" s="7">
        <v>-386.59439451992512</v>
      </c>
      <c r="E461" s="7">
        <v>-87630.1</v>
      </c>
    </row>
    <row r="462" spans="1:5" x14ac:dyDescent="0.25">
      <c r="A462" s="2">
        <v>459</v>
      </c>
      <c r="B462" s="7">
        <v>11999.955238576804</v>
      </c>
      <c r="C462" s="7">
        <v>17416.827917280723</v>
      </c>
      <c r="D462" s="7">
        <v>-469.3023791667074</v>
      </c>
      <c r="E462" s="7">
        <v>-88350.9</v>
      </c>
    </row>
    <row r="463" spans="1:5" x14ac:dyDescent="0.25">
      <c r="A463" s="2">
        <v>460</v>
      </c>
      <c r="B463" s="7">
        <v>11999.965976854679</v>
      </c>
      <c r="C463" s="7">
        <v>17481.51683204493</v>
      </c>
      <c r="D463" s="7">
        <v>-460.14360420685261</v>
      </c>
      <c r="E463" s="7">
        <v>-89151.1</v>
      </c>
    </row>
    <row r="464" spans="1:5" x14ac:dyDescent="0.25">
      <c r="A464" s="2">
        <v>461</v>
      </c>
      <c r="B464" s="7">
        <v>11999.984045434207</v>
      </c>
      <c r="C464" s="7">
        <v>17547.410548402171</v>
      </c>
      <c r="D464" s="7">
        <v>-248.35349041875452</v>
      </c>
      <c r="E464" s="7">
        <v>-89952.7</v>
      </c>
    </row>
    <row r="465" spans="1:5" x14ac:dyDescent="0.25">
      <c r="A465" s="2">
        <v>462</v>
      </c>
      <c r="B465" s="7">
        <v>11999.970420199597</v>
      </c>
      <c r="C465" s="7">
        <v>17582.93505405559</v>
      </c>
      <c r="D465" s="7">
        <v>-400.62165289279073</v>
      </c>
      <c r="E465" s="7">
        <v>-90537.1</v>
      </c>
    </row>
    <row r="466" spans="1:5" x14ac:dyDescent="0.25">
      <c r="A466" s="2">
        <v>463</v>
      </c>
      <c r="B466" s="7">
        <v>11999.954852594014</v>
      </c>
      <c r="C466" s="7">
        <v>17639.230841877346</v>
      </c>
      <c r="D466" s="7">
        <v>-357.37132161390036</v>
      </c>
      <c r="E466" s="7">
        <v>-91271.8</v>
      </c>
    </row>
    <row r="467" spans="1:5" x14ac:dyDescent="0.25">
      <c r="A467" s="2">
        <v>464</v>
      </c>
      <c r="B467" s="7">
        <v>11999.999226902564</v>
      </c>
      <c r="C467" s="7">
        <v>17723.75984643877</v>
      </c>
      <c r="D467" s="7">
        <v>-665.94830187316984</v>
      </c>
      <c r="E467" s="7">
        <v>-91978.3</v>
      </c>
    </row>
    <row r="468" spans="1:5" x14ac:dyDescent="0.25">
      <c r="A468" s="2">
        <v>465</v>
      </c>
      <c r="B468" s="7">
        <v>12000.044640592429</v>
      </c>
      <c r="C468" s="7">
        <v>17799.434001362519</v>
      </c>
      <c r="D468" s="7">
        <v>-652.28969111759216</v>
      </c>
      <c r="E468" s="7">
        <v>-92970.2</v>
      </c>
    </row>
    <row r="469" spans="1:5" x14ac:dyDescent="0.25">
      <c r="A469" s="2">
        <v>466</v>
      </c>
      <c r="B469" s="7">
        <v>11999.97817378724</v>
      </c>
      <c r="C469" s="7">
        <v>17856.323397564222</v>
      </c>
      <c r="D469" s="7">
        <v>-570.73858543578535</v>
      </c>
      <c r="E469" s="7">
        <v>-93935.9</v>
      </c>
    </row>
    <row r="470" spans="1:5" x14ac:dyDescent="0.25">
      <c r="A470" s="2">
        <v>467</v>
      </c>
      <c r="B470" s="7">
        <v>11999.98576892418</v>
      </c>
      <c r="C470" s="7">
        <v>17916.583460416281</v>
      </c>
      <c r="D470" s="7">
        <v>-666.84470152761787</v>
      </c>
      <c r="E470" s="7">
        <v>-94833.2</v>
      </c>
    </row>
    <row r="471" spans="1:5" x14ac:dyDescent="0.25">
      <c r="A471" s="2">
        <v>468</v>
      </c>
      <c r="B471" s="7">
        <v>12000.015126571941</v>
      </c>
      <c r="C471" s="7">
        <v>18017.557557159671</v>
      </c>
      <c r="D471" s="7">
        <v>-546.97557496186346</v>
      </c>
      <c r="E471" s="7">
        <v>-95837.7</v>
      </c>
    </row>
    <row r="472" spans="1:5" x14ac:dyDescent="0.25">
      <c r="A472" s="2">
        <v>469</v>
      </c>
      <c r="B472" s="7">
        <v>12000.006652785236</v>
      </c>
      <c r="C472" s="7">
        <v>18120.185938123417</v>
      </c>
      <c r="D472" s="7">
        <v>-738.49439306091517</v>
      </c>
      <c r="E472" s="7">
        <v>-96717.1</v>
      </c>
    </row>
    <row r="473" spans="1:5" x14ac:dyDescent="0.25">
      <c r="A473" s="2">
        <v>470</v>
      </c>
      <c r="B473" s="7">
        <v>12000.002643328698</v>
      </c>
      <c r="C473" s="7">
        <v>18176.252649110487</v>
      </c>
      <c r="D473" s="7">
        <v>-295.21184354624711</v>
      </c>
      <c r="E473" s="7">
        <v>-97774.5</v>
      </c>
    </row>
    <row r="474" spans="1:5" x14ac:dyDescent="0.25">
      <c r="A474" s="2">
        <v>471</v>
      </c>
      <c r="B474" s="7">
        <v>11999.958143841315</v>
      </c>
      <c r="C474" s="7">
        <v>18231.577772323049</v>
      </c>
      <c r="D474" s="7">
        <v>-846.32223467901349</v>
      </c>
      <c r="E474" s="7">
        <v>-98399</v>
      </c>
    </row>
    <row r="475" spans="1:5" x14ac:dyDescent="0.25">
      <c r="A475" s="2">
        <v>472</v>
      </c>
      <c r="B475" s="7">
        <v>12000.027956790325</v>
      </c>
      <c r="C475" s="7">
        <v>18325.604668387026</v>
      </c>
      <c r="D475" s="7">
        <v>-403.82889054808766</v>
      </c>
      <c r="E475" s="7">
        <v>-99560.7</v>
      </c>
    </row>
    <row r="476" spans="1:5" x14ac:dyDescent="0.25">
      <c r="A476" s="2">
        <v>473</v>
      </c>
      <c r="B476" s="7">
        <v>12000.051875624953</v>
      </c>
      <c r="C476" s="7">
        <v>18363.108933794243</v>
      </c>
      <c r="D476" s="7">
        <v>-683.41161901783198</v>
      </c>
      <c r="E476" s="7">
        <v>-100283</v>
      </c>
    </row>
    <row r="477" spans="1:5" x14ac:dyDescent="0.25">
      <c r="A477" s="2">
        <v>474</v>
      </c>
      <c r="B477" s="7">
        <v>11999.882381843958</v>
      </c>
      <c r="C477" s="7">
        <v>18412.525830892078</v>
      </c>
      <c r="D477" s="7">
        <v>-491.5545704131946</v>
      </c>
      <c r="E477" s="7">
        <v>-101296</v>
      </c>
    </row>
    <row r="478" spans="1:5" x14ac:dyDescent="0.25">
      <c r="A478" s="2">
        <v>475</v>
      </c>
      <c r="B478" s="7">
        <v>11999.80972144509</v>
      </c>
      <c r="C478" s="7">
        <v>18465.662905996462</v>
      </c>
      <c r="D478" s="7">
        <v>-408.96801837999374</v>
      </c>
      <c r="E478" s="7">
        <v>-102101</v>
      </c>
    </row>
    <row r="479" spans="1:5" x14ac:dyDescent="0.25">
      <c r="A479" s="2">
        <v>476</v>
      </c>
      <c r="B479" s="7">
        <v>11999.577905902572</v>
      </c>
      <c r="C479" s="7">
        <v>18551.230414259859</v>
      </c>
      <c r="D479" s="7">
        <v>-546.68520030984655</v>
      </c>
      <c r="E479" s="7">
        <v>-102839</v>
      </c>
    </row>
    <row r="480" spans="1:5" x14ac:dyDescent="0.25">
      <c r="A480" s="2">
        <v>477</v>
      </c>
      <c r="B480" s="7">
        <v>11999.989543285741</v>
      </c>
      <c r="C480" s="7">
        <v>18622.223208634765</v>
      </c>
      <c r="D480" s="7">
        <v>-846.35969149973243</v>
      </c>
      <c r="E480" s="7">
        <v>-103716</v>
      </c>
    </row>
    <row r="481" spans="1:5" x14ac:dyDescent="0.25">
      <c r="A481" s="2">
        <v>478</v>
      </c>
      <c r="B481" s="7">
        <v>11999.548746787414</v>
      </c>
      <c r="C481" s="7">
        <v>18680.482387924887</v>
      </c>
      <c r="D481" s="7">
        <v>-508.01024407055229</v>
      </c>
      <c r="E481" s="7">
        <v>-104874</v>
      </c>
    </row>
    <row r="482" spans="1:5" x14ac:dyDescent="0.25">
      <c r="A482" s="2">
        <v>479</v>
      </c>
      <c r="B482" s="7">
        <v>11999.723375400134</v>
      </c>
      <c r="C482" s="7">
        <v>18756.294047717325</v>
      </c>
      <c r="D482" s="7">
        <v>-724.96085862442851</v>
      </c>
      <c r="E482" s="7">
        <v>-105702</v>
      </c>
    </row>
    <row r="483" spans="1:5" x14ac:dyDescent="0.25">
      <c r="A483" s="2">
        <v>480</v>
      </c>
      <c r="B483" s="7">
        <v>12000.121194996693</v>
      </c>
      <c r="C483" s="7">
        <v>18842.379590819997</v>
      </c>
      <c r="D483" s="7">
        <v>-535.68281903862953</v>
      </c>
      <c r="E483" s="7">
        <v>-106745</v>
      </c>
    </row>
    <row r="484" spans="1:5" x14ac:dyDescent="0.25">
      <c r="A484" s="2">
        <v>481</v>
      </c>
      <c r="B484" s="7">
        <v>11999.692575850846</v>
      </c>
      <c r="C484" s="7">
        <v>18897.285437746756</v>
      </c>
      <c r="D484" s="7">
        <v>-519.62632441800088</v>
      </c>
      <c r="E484" s="7">
        <v>-107616</v>
      </c>
    </row>
    <row r="485" spans="1:5" x14ac:dyDescent="0.25">
      <c r="A485" s="2">
        <v>482</v>
      </c>
      <c r="B485" s="7">
        <v>11999.758036841524</v>
      </c>
      <c r="C485" s="7">
        <v>18953.503378564725</v>
      </c>
      <c r="D485" s="7">
        <v>-481.89986747782677</v>
      </c>
      <c r="E485" s="7">
        <v>-108474</v>
      </c>
    </row>
    <row r="486" spans="1:5" x14ac:dyDescent="0.25">
      <c r="A486" s="2">
        <v>483</v>
      </c>
      <c r="B486" s="7">
        <v>11999.730368443092</v>
      </c>
      <c r="C486" s="7">
        <v>19001.644579535845</v>
      </c>
      <c r="D486" s="7">
        <v>-846.00931149348617</v>
      </c>
      <c r="E486" s="7">
        <v>-109311</v>
      </c>
    </row>
    <row r="487" spans="1:5" x14ac:dyDescent="0.25">
      <c r="A487" s="2">
        <v>484</v>
      </c>
      <c r="B487" s="7">
        <v>11999.698361987321</v>
      </c>
      <c r="C487" s="7">
        <v>19075.694040056755</v>
      </c>
      <c r="D487" s="7">
        <v>-611.94007504009642</v>
      </c>
      <c r="E487" s="7">
        <v>-110503</v>
      </c>
    </row>
    <row r="488" spans="1:5" x14ac:dyDescent="0.25">
      <c r="A488" s="2">
        <v>485</v>
      </c>
      <c r="B488" s="7">
        <v>12000.288480998828</v>
      </c>
      <c r="C488" s="7">
        <v>19155.217972307379</v>
      </c>
      <c r="D488" s="7">
        <v>-402.44175555836409</v>
      </c>
      <c r="E488" s="7">
        <v>-111452</v>
      </c>
    </row>
    <row r="489" spans="1:5" x14ac:dyDescent="0.25">
      <c r="A489" s="2">
        <v>486</v>
      </c>
      <c r="B489" s="7">
        <v>11999.770165102533</v>
      </c>
      <c r="C489" s="7">
        <v>19213.68925497579</v>
      </c>
      <c r="D489" s="7">
        <v>-718.57673986535519</v>
      </c>
      <c r="E489" s="7">
        <v>-112206</v>
      </c>
    </row>
    <row r="490" spans="1:5" x14ac:dyDescent="0.25">
      <c r="A490" s="2">
        <v>487</v>
      </c>
      <c r="B490" s="7">
        <v>12000.273072700897</v>
      </c>
      <c r="C490" s="7">
        <v>19273.37137179522</v>
      </c>
      <c r="D490" s="7">
        <v>-757.11326414998621</v>
      </c>
      <c r="E490" s="7">
        <v>-113287</v>
      </c>
    </row>
    <row r="491" spans="1:5" x14ac:dyDescent="0.25">
      <c r="A491" s="2">
        <v>488</v>
      </c>
      <c r="B491" s="7">
        <v>11999.924691579805</v>
      </c>
      <c r="C491" s="7">
        <v>19338.09789340783</v>
      </c>
      <c r="D491" s="7">
        <v>-593.84266212303191</v>
      </c>
      <c r="E491" s="7">
        <v>-114397</v>
      </c>
    </row>
    <row r="492" spans="1:5" x14ac:dyDescent="0.25">
      <c r="A492" s="2">
        <v>489</v>
      </c>
      <c r="B492" s="7">
        <v>12000.066272212163</v>
      </c>
      <c r="C492" s="7">
        <v>19381.446070807171</v>
      </c>
      <c r="D492" s="7">
        <v>-666.45218247408047</v>
      </c>
      <c r="E492" s="7">
        <v>-115336</v>
      </c>
    </row>
    <row r="493" spans="1:5" x14ac:dyDescent="0.25">
      <c r="A493" s="2">
        <v>490</v>
      </c>
      <c r="B493" s="7">
        <v>12000.288360730763</v>
      </c>
      <c r="C493" s="7">
        <v>19447.948875113478</v>
      </c>
      <c r="D493" s="7">
        <v>-632.26040222914889</v>
      </c>
      <c r="E493" s="7">
        <v>-116355</v>
      </c>
    </row>
    <row r="494" spans="1:5" x14ac:dyDescent="0.25">
      <c r="A494" s="2">
        <v>491</v>
      </c>
      <c r="B494" s="7">
        <v>12000.047055254898</v>
      </c>
      <c r="C494" s="7">
        <v>19530.910081259179</v>
      </c>
      <c r="D494" s="7">
        <v>-647.43570742988959</v>
      </c>
      <c r="E494" s="7">
        <v>-117333</v>
      </c>
    </row>
    <row r="495" spans="1:5" x14ac:dyDescent="0.25">
      <c r="A495" s="2">
        <v>492</v>
      </c>
      <c r="B495" s="7">
        <v>11999.751328389904</v>
      </c>
      <c r="C495" s="7">
        <v>19587.114374845027</v>
      </c>
      <c r="D495" s="7">
        <v>-605.27573947748169</v>
      </c>
      <c r="E495" s="7">
        <v>-118342</v>
      </c>
    </row>
    <row r="496" spans="1:5" x14ac:dyDescent="0.25">
      <c r="A496" s="2">
        <v>493</v>
      </c>
      <c r="B496" s="7">
        <v>11999.907393392083</v>
      </c>
      <c r="C496" s="7">
        <v>19730.493956353283</v>
      </c>
      <c r="D496" s="7">
        <v>-605.01354583958164</v>
      </c>
      <c r="E496" s="7">
        <v>-119312</v>
      </c>
    </row>
    <row r="497" spans="1:5" x14ac:dyDescent="0.25">
      <c r="A497" s="2">
        <v>494</v>
      </c>
      <c r="B497" s="7">
        <v>11999.524756273982</v>
      </c>
      <c r="C497" s="7">
        <v>19804.052268277912</v>
      </c>
      <c r="D497" s="7">
        <v>-651.9419445283711</v>
      </c>
      <c r="E497" s="7">
        <v>-120249</v>
      </c>
    </row>
    <row r="498" spans="1:5" x14ac:dyDescent="0.25">
      <c r="A498" s="2">
        <v>495</v>
      </c>
      <c r="B498" s="7">
        <v>12000.01306257231</v>
      </c>
      <c r="C498" s="7">
        <v>19885.129440779274</v>
      </c>
      <c r="D498" s="7">
        <v>-617.34749926906079</v>
      </c>
      <c r="E498" s="7">
        <v>-121257</v>
      </c>
    </row>
    <row r="499" spans="1:5" x14ac:dyDescent="0.25">
      <c r="A499" s="2">
        <v>496</v>
      </c>
      <c r="B499" s="7">
        <v>11999.737737549265</v>
      </c>
      <c r="C499" s="7">
        <v>19970.609193178767</v>
      </c>
      <c r="D499" s="7">
        <v>-545.92897744849324</v>
      </c>
      <c r="E499" s="7">
        <v>-122220</v>
      </c>
    </row>
    <row r="500" spans="1:5" x14ac:dyDescent="0.25">
      <c r="A500" s="2">
        <v>497</v>
      </c>
      <c r="B500" s="7">
        <v>11999.653238615452</v>
      </c>
      <c r="C500" s="7">
        <v>20033.056867601874</v>
      </c>
      <c r="D500" s="7">
        <v>-634.90804640483111</v>
      </c>
      <c r="E500" s="7">
        <v>-123136</v>
      </c>
    </row>
    <row r="501" spans="1:5" x14ac:dyDescent="0.25">
      <c r="A501" s="2">
        <v>498</v>
      </c>
      <c r="B501" s="7">
        <v>11999.950148856458</v>
      </c>
      <c r="C501" s="7">
        <v>20083.408517576041</v>
      </c>
      <c r="D501" s="7">
        <v>-682.48757022619247</v>
      </c>
      <c r="E501" s="7">
        <v>-124146</v>
      </c>
    </row>
    <row r="502" spans="1:5" x14ac:dyDescent="0.25">
      <c r="A502" s="2">
        <v>499</v>
      </c>
      <c r="B502" s="7">
        <v>11999.530959502277</v>
      </c>
      <c r="C502" s="7">
        <v>20148.016688138639</v>
      </c>
      <c r="D502" s="7">
        <v>-658.72235049214214</v>
      </c>
      <c r="E502" s="7">
        <v>-125182</v>
      </c>
    </row>
    <row r="503" spans="1:5" x14ac:dyDescent="0.25">
      <c r="A503" s="2">
        <v>500</v>
      </c>
      <c r="B503" s="7">
        <v>12000.08675067912</v>
      </c>
      <c r="C503" s="7">
        <v>20222.920252316035</v>
      </c>
      <c r="D503" s="7">
        <v>-482.76021367218345</v>
      </c>
      <c r="E503" s="7">
        <v>-126188</v>
      </c>
    </row>
    <row r="504" spans="1:5" x14ac:dyDescent="0.25">
      <c r="A504" s="2">
        <v>501</v>
      </c>
      <c r="B504" s="7">
        <v>12000.355016421741</v>
      </c>
      <c r="C504" s="7">
        <v>20296.593397547622</v>
      </c>
      <c r="D504" s="7">
        <v>-671.63618538528681</v>
      </c>
      <c r="E504" s="7">
        <v>-127033</v>
      </c>
    </row>
    <row r="505" spans="1:5" x14ac:dyDescent="0.25">
      <c r="A505" s="2">
        <v>502</v>
      </c>
      <c r="B505" s="7">
        <v>12000.414862774336</v>
      </c>
      <c r="C505" s="7">
        <v>20324.47111608542</v>
      </c>
      <c r="D505" s="7">
        <v>-726.75837123021483</v>
      </c>
      <c r="E505" s="7">
        <v>-128066</v>
      </c>
    </row>
    <row r="506" spans="1:5" x14ac:dyDescent="0.25">
      <c r="A506" s="2">
        <v>503</v>
      </c>
      <c r="B506" s="7">
        <v>11999.582823546083</v>
      </c>
      <c r="C506" s="7">
        <v>20404.700770259136</v>
      </c>
      <c r="D506" s="7">
        <v>-608.65837105922401</v>
      </c>
      <c r="E506" s="7">
        <v>-129174</v>
      </c>
    </row>
    <row r="507" spans="1:5" x14ac:dyDescent="0.25">
      <c r="A507" s="2">
        <v>504</v>
      </c>
      <c r="B507" s="7">
        <v>11999.676368504688</v>
      </c>
      <c r="C507" s="7">
        <v>20468.953099071688</v>
      </c>
      <c r="D507" s="7">
        <v>-568.12728217151016</v>
      </c>
      <c r="E507" s="7">
        <v>-130144</v>
      </c>
    </row>
    <row r="508" spans="1:5" x14ac:dyDescent="0.25">
      <c r="A508" s="2">
        <v>505</v>
      </c>
      <c r="B508" s="7">
        <v>12000.310358825684</v>
      </c>
      <c r="C508" s="7">
        <v>20545.005827534289</v>
      </c>
      <c r="D508" s="7">
        <v>-604.53499965276569</v>
      </c>
      <c r="E508" s="7">
        <v>-131101</v>
      </c>
    </row>
    <row r="509" spans="1:5" x14ac:dyDescent="0.25">
      <c r="A509" s="2">
        <v>506</v>
      </c>
      <c r="B509" s="7">
        <v>12000.176710667636</v>
      </c>
      <c r="C509" s="7">
        <v>20659.439130565414</v>
      </c>
      <c r="D509" s="7">
        <v>-523.09677048306912</v>
      </c>
      <c r="E509" s="7">
        <v>-132099</v>
      </c>
    </row>
    <row r="510" spans="1:5" x14ac:dyDescent="0.25">
      <c r="A510" s="2">
        <v>507</v>
      </c>
      <c r="B510" s="7">
        <v>12000.275381206446</v>
      </c>
      <c r="C510" s="7">
        <v>20698.777522439676</v>
      </c>
      <c r="D510" s="7">
        <v>-384.53174328338355</v>
      </c>
      <c r="E510" s="7">
        <v>-133025</v>
      </c>
    </row>
    <row r="511" spans="1:5" x14ac:dyDescent="0.25">
      <c r="A511" s="2">
        <v>508</v>
      </c>
      <c r="B511" s="7">
        <v>11999.589491041232</v>
      </c>
      <c r="C511" s="7">
        <v>20766.634772574034</v>
      </c>
      <c r="D511" s="7">
        <v>-78.566292884759605</v>
      </c>
      <c r="E511" s="7">
        <v>-133820</v>
      </c>
    </row>
    <row r="512" spans="1:5" x14ac:dyDescent="0.25">
      <c r="A512" s="2">
        <v>509</v>
      </c>
      <c r="B512" s="7">
        <v>11999.828665810666</v>
      </c>
      <c r="C512" s="7">
        <v>20819.552914695916</v>
      </c>
      <c r="D512" s="7">
        <v>-654.96475028852001</v>
      </c>
      <c r="E512" s="7">
        <v>-134342</v>
      </c>
    </row>
    <row r="513" spans="1:5" x14ac:dyDescent="0.25">
      <c r="A513" s="2">
        <v>510</v>
      </c>
      <c r="B513" s="7">
        <v>12000.403216290344</v>
      </c>
      <c r="C513" s="7">
        <v>20894.015578378094</v>
      </c>
      <c r="D513" s="7">
        <v>-334.5009652976878</v>
      </c>
      <c r="E513" s="7">
        <v>-135444</v>
      </c>
    </row>
    <row r="514" spans="1:5" x14ac:dyDescent="0.25">
      <c r="A514" s="2">
        <v>511</v>
      </c>
      <c r="B514" s="7">
        <v>11999.848927954499</v>
      </c>
      <c r="C514" s="7">
        <v>20981.382612438269</v>
      </c>
      <c r="D514" s="7">
        <v>-533.26068948814645</v>
      </c>
      <c r="E514" s="7">
        <v>-136231</v>
      </c>
    </row>
    <row r="515" spans="1:5" x14ac:dyDescent="0.25">
      <c r="A515" s="2">
        <v>512</v>
      </c>
      <c r="B515" s="7">
        <v>12000.22278258157</v>
      </c>
      <c r="C515" s="7">
        <v>21091.525249002967</v>
      </c>
      <c r="D515" s="7">
        <v>-651.02332213381305</v>
      </c>
      <c r="E515" s="7">
        <v>-137211</v>
      </c>
    </row>
    <row r="516" spans="1:5" x14ac:dyDescent="0.25">
      <c r="A516" s="2">
        <v>513</v>
      </c>
      <c r="B516" s="7">
        <v>11999.587362424019</v>
      </c>
      <c r="C516" s="7">
        <v>21112.09672582848</v>
      </c>
      <c r="D516" s="7">
        <v>-957.26318573066965</v>
      </c>
      <c r="E516" s="7">
        <v>-138283</v>
      </c>
    </row>
    <row r="517" spans="1:5" x14ac:dyDescent="0.25">
      <c r="A517" s="2">
        <v>514</v>
      </c>
      <c r="B517" s="7">
        <v>11999.561054965287</v>
      </c>
      <c r="C517" s="7">
        <v>21157.564743645264</v>
      </c>
      <c r="D517" s="7">
        <v>-856.74277101596817</v>
      </c>
      <c r="E517" s="7">
        <v>-139673</v>
      </c>
    </row>
    <row r="518" spans="1:5" x14ac:dyDescent="0.25">
      <c r="A518" s="2">
        <v>515</v>
      </c>
      <c r="B518" s="7">
        <v>12000.056222338462</v>
      </c>
      <c r="C518" s="7">
        <v>21241.95186411887</v>
      </c>
      <c r="D518" s="7">
        <v>-1058.7275064499117</v>
      </c>
      <c r="E518" s="7">
        <v>-140936</v>
      </c>
    </row>
    <row r="519" spans="1:5" x14ac:dyDescent="0.25">
      <c r="A519" s="2">
        <v>516</v>
      </c>
      <c r="B519" s="7">
        <v>12000.033238773081</v>
      </c>
      <c r="C519" s="7">
        <v>21327.250548676813</v>
      </c>
      <c r="D519" s="7">
        <v>-920.87907215580344</v>
      </c>
      <c r="E519" s="7">
        <v>-142361</v>
      </c>
    </row>
    <row r="520" spans="1:5" x14ac:dyDescent="0.25">
      <c r="A520" s="2">
        <v>517</v>
      </c>
      <c r="B520" s="7">
        <v>11999.823797264089</v>
      </c>
      <c r="C520" s="7">
        <v>21406.261885654494</v>
      </c>
      <c r="D520" s="7">
        <v>-1294.4355554310605</v>
      </c>
      <c r="E520" s="7">
        <v>-143650</v>
      </c>
    </row>
    <row r="521" spans="1:5" x14ac:dyDescent="0.25">
      <c r="A521" s="2">
        <v>518</v>
      </c>
      <c r="B521" s="7">
        <v>12000.026501675689</v>
      </c>
      <c r="C521" s="7">
        <v>21484.008077348564</v>
      </c>
      <c r="D521" s="7">
        <v>-1221.8163840221241</v>
      </c>
      <c r="E521" s="7">
        <v>-145304</v>
      </c>
    </row>
    <row r="522" spans="1:5" x14ac:dyDescent="0.25">
      <c r="A522" s="2">
        <v>519</v>
      </c>
      <c r="B522" s="7">
        <v>12000.1956762878</v>
      </c>
      <c r="C522" s="7">
        <v>21544.844065768215</v>
      </c>
      <c r="D522" s="7">
        <v>-808.22961201425642</v>
      </c>
      <c r="E522" s="7">
        <v>-146833</v>
      </c>
    </row>
    <row r="523" spans="1:5" x14ac:dyDescent="0.25">
      <c r="A523" s="2">
        <v>520</v>
      </c>
      <c r="B523" s="7">
        <v>11999.722078129626</v>
      </c>
      <c r="C523" s="7">
        <v>21613.529185428568</v>
      </c>
      <c r="D523" s="7">
        <v>-942.59379705693573</v>
      </c>
      <c r="E523" s="7">
        <v>-147942</v>
      </c>
    </row>
    <row r="524" spans="1:5" x14ac:dyDescent="0.25">
      <c r="A524" s="2">
        <v>521</v>
      </c>
      <c r="B524" s="7">
        <v>12000.107674462684</v>
      </c>
      <c r="C524" s="7">
        <v>21686.942232388334</v>
      </c>
      <c r="D524" s="7">
        <v>-1212.4557966338471</v>
      </c>
      <c r="E524" s="7">
        <v>-149195</v>
      </c>
    </row>
    <row r="525" spans="1:5" x14ac:dyDescent="0.25">
      <c r="A525" s="2">
        <v>522</v>
      </c>
      <c r="B525" s="7">
        <v>11999.654124224711</v>
      </c>
      <c r="C525" s="7">
        <v>21760.553068738081</v>
      </c>
      <c r="D525" s="7">
        <v>-898.41350139785209</v>
      </c>
      <c r="E525" s="7">
        <v>-150718</v>
      </c>
    </row>
    <row r="526" spans="1:5" x14ac:dyDescent="0.25">
      <c r="A526" s="2">
        <v>523</v>
      </c>
      <c r="B526" s="7">
        <v>11999.584550319028</v>
      </c>
      <c r="C526" s="7">
        <v>21788.735531986167</v>
      </c>
      <c r="D526" s="7">
        <v>-837.13361716491636</v>
      </c>
      <c r="E526" s="7">
        <v>-151940</v>
      </c>
    </row>
    <row r="527" spans="1:5" x14ac:dyDescent="0.25">
      <c r="A527" s="2">
        <v>524</v>
      </c>
      <c r="B527" s="7">
        <v>11999.758458731556</v>
      </c>
      <c r="C527" s="7">
        <v>21889.750472579733</v>
      </c>
      <c r="D527" s="7">
        <v>-694.05864135036245</v>
      </c>
      <c r="E527" s="7">
        <v>-153121</v>
      </c>
    </row>
    <row r="528" spans="1:5" x14ac:dyDescent="0.25">
      <c r="A528" s="2">
        <v>525</v>
      </c>
      <c r="B528" s="7">
        <v>11999.564244470897</v>
      </c>
      <c r="C528" s="7">
        <v>21906.730773143572</v>
      </c>
      <c r="D528" s="7">
        <v>-680.80389592098072</v>
      </c>
      <c r="E528" s="7">
        <v>-154158</v>
      </c>
    </row>
    <row r="529" spans="1:5" x14ac:dyDescent="0.25">
      <c r="A529" s="2">
        <v>526</v>
      </c>
      <c r="B529" s="7">
        <v>11999.551371390293</v>
      </c>
      <c r="C529" s="7">
        <v>22019.585455861932</v>
      </c>
      <c r="D529" s="7">
        <v>-601.57059112424031</v>
      </c>
      <c r="E529" s="7">
        <v>-155215</v>
      </c>
    </row>
    <row r="530" spans="1:5" x14ac:dyDescent="0.25">
      <c r="A530" s="2">
        <v>527</v>
      </c>
      <c r="B530" s="7">
        <v>12000.146659129079</v>
      </c>
      <c r="C530" s="7">
        <v>22091.277456520133</v>
      </c>
      <c r="D530" s="7">
        <v>-676.50444698799402</v>
      </c>
      <c r="E530" s="7">
        <v>-156209</v>
      </c>
    </row>
    <row r="531" spans="1:5" x14ac:dyDescent="0.25">
      <c r="A531" s="2">
        <v>528</v>
      </c>
      <c r="B531" s="7">
        <v>11999.98318309316</v>
      </c>
      <c r="C531" s="7">
        <v>22140.950545045554</v>
      </c>
      <c r="D531" s="7">
        <v>-931.98223927151412</v>
      </c>
      <c r="E531" s="7">
        <v>-157270</v>
      </c>
    </row>
    <row r="532" spans="1:5" x14ac:dyDescent="0.25">
      <c r="A532" s="2">
        <v>529</v>
      </c>
      <c r="B532" s="7">
        <v>11999.903879597527</v>
      </c>
      <c r="C532" s="7">
        <v>22228.659826836505</v>
      </c>
      <c r="D532" s="7">
        <v>-642.35508359130472</v>
      </c>
      <c r="E532" s="7">
        <v>-158565</v>
      </c>
    </row>
    <row r="533" spans="1:5" x14ac:dyDescent="0.25">
      <c r="A533" s="2">
        <v>530</v>
      </c>
      <c r="B533" s="7">
        <v>11999.564581767176</v>
      </c>
      <c r="C533" s="7">
        <v>22302.695506600387</v>
      </c>
      <c r="D533" s="7">
        <v>-772.14036239404231</v>
      </c>
      <c r="E533" s="7">
        <v>-159573</v>
      </c>
    </row>
    <row r="534" spans="1:5" x14ac:dyDescent="0.25">
      <c r="A534" s="2">
        <v>531</v>
      </c>
      <c r="B534" s="7">
        <v>12000.453656834081</v>
      </c>
      <c r="C534" s="7">
        <v>22338.547813910714</v>
      </c>
      <c r="D534" s="7">
        <v>-934.14313778933138</v>
      </c>
      <c r="E534" s="7">
        <v>-160718</v>
      </c>
    </row>
    <row r="535" spans="1:5" x14ac:dyDescent="0.25">
      <c r="A535" s="2">
        <v>532</v>
      </c>
      <c r="B535" s="7">
        <v>12000.335146680247</v>
      </c>
      <c r="C535" s="7">
        <v>22394.091954069139</v>
      </c>
      <c r="D535" s="7">
        <v>-1343.5579014439136</v>
      </c>
      <c r="E535" s="7">
        <v>-162019</v>
      </c>
    </row>
    <row r="536" spans="1:5" x14ac:dyDescent="0.25">
      <c r="A536" s="2">
        <v>533</v>
      </c>
      <c r="B536" s="7">
        <v>12000.071938855208</v>
      </c>
      <c r="C536" s="7">
        <v>22463.74049851278</v>
      </c>
      <c r="D536" s="7">
        <v>-974.82030068524182</v>
      </c>
      <c r="E536" s="7">
        <v>-163699</v>
      </c>
    </row>
    <row r="537" spans="1:5" x14ac:dyDescent="0.25">
      <c r="A537" s="2">
        <v>534</v>
      </c>
      <c r="B537" s="7">
        <v>12000.063068141892</v>
      </c>
      <c r="C537" s="7">
        <v>22539.19171422522</v>
      </c>
      <c r="D537" s="7">
        <v>-862.52760238200426</v>
      </c>
      <c r="E537" s="7">
        <v>-165021</v>
      </c>
    </row>
    <row r="538" spans="1:5" x14ac:dyDescent="0.25">
      <c r="A538" s="2">
        <v>535</v>
      </c>
      <c r="B538" s="7">
        <v>11999.820690044784</v>
      </c>
      <c r="C538" s="7">
        <v>22649.880560505931</v>
      </c>
      <c r="D538" s="7">
        <v>-1671.4783961568028</v>
      </c>
      <c r="E538" s="7">
        <v>-166258</v>
      </c>
    </row>
    <row r="539" spans="1:5" x14ac:dyDescent="0.25">
      <c r="A539" s="2">
        <v>536</v>
      </c>
      <c r="B539" s="7">
        <v>11999.61875343859</v>
      </c>
      <c r="C539" s="7">
        <v>22738.726229027758</v>
      </c>
      <c r="D539" s="7">
        <v>-1373.4877169830725</v>
      </c>
      <c r="E539" s="7">
        <v>-168299</v>
      </c>
    </row>
    <row r="540" spans="1:5" x14ac:dyDescent="0.25">
      <c r="A540" s="2">
        <v>537</v>
      </c>
      <c r="B540" s="7">
        <v>11999.915218318885</v>
      </c>
      <c r="C540" s="7">
        <v>22804.654237171839</v>
      </c>
      <c r="D540" s="7">
        <v>-1462.4907736135647</v>
      </c>
      <c r="E540" s="7">
        <v>-170008</v>
      </c>
    </row>
    <row r="541" spans="1:5" x14ac:dyDescent="0.25">
      <c r="A541" s="2">
        <v>538</v>
      </c>
      <c r="B541" s="7">
        <v>12000.202809201341</v>
      </c>
      <c r="C541" s="7">
        <v>22901.443622469815</v>
      </c>
      <c r="D541" s="7">
        <v>-1183.2669210564345</v>
      </c>
      <c r="E541" s="7">
        <v>-171783</v>
      </c>
    </row>
    <row r="542" spans="1:5" x14ac:dyDescent="0.25">
      <c r="A542" s="2">
        <v>539</v>
      </c>
      <c r="B542" s="7">
        <v>11999.601980145029</v>
      </c>
      <c r="C542" s="7">
        <v>23002.360652346222</v>
      </c>
      <c r="D542" s="7">
        <v>-1308.6698584193364</v>
      </c>
      <c r="E542" s="7">
        <v>-173304</v>
      </c>
    </row>
    <row r="543" spans="1:5" x14ac:dyDescent="0.25">
      <c r="A543" s="2">
        <v>540</v>
      </c>
      <c r="B543" s="7">
        <v>12000.456070817429</v>
      </c>
      <c r="C543" s="7">
        <v>23066.121066391934</v>
      </c>
      <c r="D543" s="7">
        <v>-1539.319315337576</v>
      </c>
      <c r="E543" s="7">
        <v>-174917</v>
      </c>
    </row>
    <row r="544" spans="1:5" x14ac:dyDescent="0.25">
      <c r="A544" s="2">
        <v>541</v>
      </c>
      <c r="B544" s="7">
        <v>12000.397752733998</v>
      </c>
      <c r="C544" s="7">
        <v>23125.014480360987</v>
      </c>
      <c r="D544" s="7">
        <v>-1461.6173456078395</v>
      </c>
      <c r="E544" s="7">
        <v>-176743</v>
      </c>
    </row>
    <row r="545" spans="1:5" x14ac:dyDescent="0.25">
      <c r="A545" s="2">
        <v>542</v>
      </c>
      <c r="B545" s="7">
        <v>11999.714952292838</v>
      </c>
      <c r="C545" s="7">
        <v>23223.047487153759</v>
      </c>
      <c r="D545" s="7">
        <v>-1323.9032669775188</v>
      </c>
      <c r="E545" s="7">
        <v>-178491</v>
      </c>
    </row>
    <row r="546" spans="1:5" x14ac:dyDescent="0.25">
      <c r="A546" s="2">
        <v>543</v>
      </c>
      <c r="B546" s="7">
        <v>12000.125111076099</v>
      </c>
      <c r="C546" s="7">
        <v>23315.629044337344</v>
      </c>
      <c r="D546" s="7">
        <v>-1366.2606852753088</v>
      </c>
      <c r="E546" s="7">
        <v>-180118</v>
      </c>
    </row>
    <row r="547" spans="1:5" x14ac:dyDescent="0.25">
      <c r="A547" s="2">
        <v>544</v>
      </c>
      <c r="B547" s="7">
        <v>11999.975770745625</v>
      </c>
      <c r="C547" s="7">
        <v>23361.131417631477</v>
      </c>
      <c r="D547" s="7">
        <v>-1296.0149379624054</v>
      </c>
      <c r="E547" s="7">
        <v>-181795</v>
      </c>
    </row>
    <row r="548" spans="1:5" x14ac:dyDescent="0.25">
      <c r="A548" s="2">
        <v>545</v>
      </c>
      <c r="B548" s="7">
        <v>12000.025983925996</v>
      </c>
      <c r="C548" s="7">
        <v>23437.968357916179</v>
      </c>
      <c r="D548" s="7">
        <v>-1583.1356418123469</v>
      </c>
      <c r="E548" s="7">
        <v>-183394</v>
      </c>
    </row>
    <row r="549" spans="1:5" x14ac:dyDescent="0.25">
      <c r="A549" s="2">
        <v>546</v>
      </c>
      <c r="B549" s="7">
        <v>11999.91294438791</v>
      </c>
      <c r="C549" s="7">
        <v>23509.564647018313</v>
      </c>
      <c r="D549" s="7">
        <v>-1471.7386014340445</v>
      </c>
      <c r="E549" s="7">
        <v>-185267</v>
      </c>
    </row>
    <row r="550" spans="1:5" x14ac:dyDescent="0.25">
      <c r="A550" s="2">
        <v>547</v>
      </c>
      <c r="B550" s="7">
        <v>11999.991206294488</v>
      </c>
      <c r="C550" s="7">
        <v>23583.793167797558</v>
      </c>
      <c r="D550" s="7">
        <v>-1481.2314201211557</v>
      </c>
      <c r="E550" s="7">
        <v>-187027</v>
      </c>
    </row>
    <row r="551" spans="1:5" x14ac:dyDescent="0.25">
      <c r="A551" s="2">
        <v>548</v>
      </c>
      <c r="B551" s="7">
        <v>12000.225076110522</v>
      </c>
      <c r="C551" s="7">
        <v>23635.667497875664</v>
      </c>
      <c r="D551" s="7">
        <v>-1511.5987175414339</v>
      </c>
      <c r="E551" s="7">
        <v>-188807</v>
      </c>
    </row>
    <row r="552" spans="1:5" x14ac:dyDescent="0.25">
      <c r="A552" s="2">
        <v>549</v>
      </c>
      <c r="B552" s="7">
        <v>11999.836670526</v>
      </c>
      <c r="C552" s="7">
        <v>23724.322961085243</v>
      </c>
      <c r="D552" s="7">
        <v>-1040.1871877759695</v>
      </c>
      <c r="E552" s="7">
        <v>-190604</v>
      </c>
    </row>
    <row r="553" spans="1:5" x14ac:dyDescent="0.25">
      <c r="A553" s="2">
        <v>550</v>
      </c>
      <c r="B553" s="7">
        <v>11999.618910572541</v>
      </c>
      <c r="C553" s="7">
        <v>23793.009583804174</v>
      </c>
      <c r="D553" s="7">
        <v>-1232.009981703246</v>
      </c>
      <c r="E553" s="7">
        <v>-191955</v>
      </c>
    </row>
    <row r="554" spans="1:5" x14ac:dyDescent="0.25">
      <c r="A554" s="2">
        <v>551</v>
      </c>
      <c r="B554" s="7">
        <v>12000.443511686632</v>
      </c>
      <c r="C554" s="7">
        <v>23845.720044501533</v>
      </c>
      <c r="D554" s="7">
        <v>-1130.9217201927677</v>
      </c>
      <c r="E554" s="7">
        <v>-193507</v>
      </c>
    </row>
    <row r="555" spans="1:5" x14ac:dyDescent="0.25">
      <c r="A555" s="2">
        <v>552</v>
      </c>
      <c r="B555" s="7">
        <v>12000.477193053954</v>
      </c>
      <c r="C555" s="7">
        <v>23905.263744405675</v>
      </c>
      <c r="D555" s="7">
        <v>-884.28661238681525</v>
      </c>
      <c r="E555" s="7">
        <v>-194971</v>
      </c>
    </row>
    <row r="556" spans="1:5" x14ac:dyDescent="0.25">
      <c r="A556" s="2">
        <v>553</v>
      </c>
      <c r="B556" s="7">
        <v>11999.536483419506</v>
      </c>
      <c r="C556" s="7">
        <v>23926.88864170431</v>
      </c>
      <c r="D556" s="7">
        <v>-1131.576981282793</v>
      </c>
      <c r="E556" s="7">
        <v>-196188</v>
      </c>
    </row>
    <row r="557" spans="1:5" x14ac:dyDescent="0.25">
      <c r="A557" s="2">
        <v>554</v>
      </c>
      <c r="B557" s="7">
        <v>11999.726695280584</v>
      </c>
      <c r="C557" s="7">
        <v>23981.897552234244</v>
      </c>
      <c r="D557" s="7">
        <v>-1014.8797955522314</v>
      </c>
      <c r="E557" s="7">
        <v>-197644</v>
      </c>
    </row>
    <row r="558" spans="1:5" x14ac:dyDescent="0.25">
      <c r="A558" s="2">
        <v>555</v>
      </c>
      <c r="B558" s="7">
        <v>11999.809731257386</v>
      </c>
      <c r="C558" s="7">
        <v>24050.016611092095</v>
      </c>
      <c r="D558" s="7">
        <v>-1492.7059795660898</v>
      </c>
      <c r="E558" s="7">
        <v>-198993</v>
      </c>
    </row>
    <row r="559" spans="1:5" x14ac:dyDescent="0.25">
      <c r="A559" s="2">
        <v>556</v>
      </c>
      <c r="B559" s="7">
        <v>11999.602546567514</v>
      </c>
      <c r="C559" s="7">
        <v>24117.914838281937</v>
      </c>
      <c r="D559" s="7">
        <v>-1355.3726249663159</v>
      </c>
      <c r="E559" s="7">
        <v>-200831</v>
      </c>
    </row>
    <row r="560" spans="1:5" x14ac:dyDescent="0.25">
      <c r="A560" s="2">
        <v>557</v>
      </c>
      <c r="B560" s="7">
        <v>12000.235173742123</v>
      </c>
      <c r="C560" s="7">
        <v>24178.593954460561</v>
      </c>
      <c r="D560" s="7">
        <v>-1100.1233223443851</v>
      </c>
      <c r="E560" s="7">
        <v>-202551</v>
      </c>
    </row>
    <row r="561" spans="1:5" x14ac:dyDescent="0.25">
      <c r="A561" s="2">
        <v>558</v>
      </c>
      <c r="B561" s="7">
        <v>11999.849057591417</v>
      </c>
      <c r="C561" s="7">
        <v>24265.048705517271</v>
      </c>
      <c r="D561" s="7">
        <v>-1535.2071705088019</v>
      </c>
      <c r="E561" s="7">
        <v>-204024</v>
      </c>
    </row>
    <row r="562" spans="1:5" x14ac:dyDescent="0.25">
      <c r="A562" s="2">
        <v>559</v>
      </c>
      <c r="B562" s="7">
        <v>11999.817879327764</v>
      </c>
      <c r="C562" s="7">
        <v>24295.069651711048</v>
      </c>
      <c r="D562" s="7">
        <v>-1342.6832451615483</v>
      </c>
      <c r="E562" s="7">
        <v>-205936</v>
      </c>
    </row>
    <row r="563" spans="1:5" x14ac:dyDescent="0.25">
      <c r="A563" s="2">
        <v>560</v>
      </c>
      <c r="B563" s="7">
        <v>11999.646140459361</v>
      </c>
      <c r="C563" s="7">
        <v>24394.830056205574</v>
      </c>
      <c r="D563" s="7">
        <v>-1279.1227585196029</v>
      </c>
      <c r="E563" s="7">
        <v>-207652</v>
      </c>
    </row>
    <row r="564" spans="1:5" x14ac:dyDescent="0.25">
      <c r="A564" s="2">
        <v>561</v>
      </c>
      <c r="B564" s="7">
        <v>11999.969667887946</v>
      </c>
      <c r="C564" s="7">
        <v>24459.17329428692</v>
      </c>
      <c r="D564" s="7">
        <v>-1374.5683877514675</v>
      </c>
      <c r="E564" s="7">
        <v>-209312</v>
      </c>
    </row>
    <row r="565" spans="1:5" x14ac:dyDescent="0.25">
      <c r="A565" s="2">
        <v>562</v>
      </c>
      <c r="B565" s="7">
        <v>12000.385207332751</v>
      </c>
      <c r="C565" s="7">
        <v>24554.518824864303</v>
      </c>
      <c r="D565" s="7">
        <v>-1042.0644189231098</v>
      </c>
      <c r="E565" s="7">
        <v>-211079</v>
      </c>
    </row>
    <row r="566" spans="1:5" x14ac:dyDescent="0.25">
      <c r="A566" s="2">
        <v>563</v>
      </c>
      <c r="B566" s="7">
        <v>12000.127382644621</v>
      </c>
      <c r="C566" s="7">
        <v>24611.65512395648</v>
      </c>
      <c r="D566" s="7">
        <v>-1676.7542275178712</v>
      </c>
      <c r="E566" s="7">
        <v>-212517</v>
      </c>
    </row>
    <row r="567" spans="1:5" x14ac:dyDescent="0.25">
      <c r="A567" s="2">
        <v>564</v>
      </c>
      <c r="B567" s="7">
        <v>12000.354493500225</v>
      </c>
      <c r="C567" s="7">
        <v>24660.872455278928</v>
      </c>
      <c r="D567" s="7">
        <v>-1621.5073111439124</v>
      </c>
      <c r="E567" s="7">
        <v>-214592</v>
      </c>
    </row>
    <row r="568" spans="1:5" x14ac:dyDescent="0.25">
      <c r="A568" s="2">
        <v>565</v>
      </c>
      <c r="B568" s="7">
        <v>12000.29483737287</v>
      </c>
      <c r="C568" s="7">
        <v>24778.624238976561</v>
      </c>
      <c r="D568" s="7">
        <v>-1524.7787271651905</v>
      </c>
      <c r="E568" s="7">
        <v>-216599</v>
      </c>
    </row>
    <row r="569" spans="1:5" x14ac:dyDescent="0.25">
      <c r="A569" s="2">
        <v>566</v>
      </c>
      <c r="B569" s="7">
        <v>11999.582908171025</v>
      </c>
      <c r="C569" s="7">
        <v>24831.231116557312</v>
      </c>
      <c r="D569" s="7">
        <v>-1535.9476468628272</v>
      </c>
      <c r="E569" s="7">
        <v>-218501</v>
      </c>
    </row>
    <row r="570" spans="1:5" x14ac:dyDescent="0.25">
      <c r="A570" s="2">
        <v>567</v>
      </c>
      <c r="B570" s="7">
        <v>12000.207553318149</v>
      </c>
      <c r="C570" s="7">
        <v>24886.771379660306</v>
      </c>
      <c r="D570" s="7">
        <v>-1609.039580126293</v>
      </c>
      <c r="E570" s="7">
        <v>-220388</v>
      </c>
    </row>
    <row r="571" spans="1:5" x14ac:dyDescent="0.25">
      <c r="A571" s="2">
        <v>568</v>
      </c>
      <c r="B571" s="7">
        <v>11999.60330634899</v>
      </c>
      <c r="C571" s="7">
        <v>24937.939289620728</v>
      </c>
      <c r="D571" s="7">
        <v>-1681.0505371047184</v>
      </c>
      <c r="E571" s="7">
        <v>-222344</v>
      </c>
    </row>
    <row r="572" spans="1:5" x14ac:dyDescent="0.25">
      <c r="A572" s="2">
        <v>569</v>
      </c>
      <c r="B572" s="7">
        <v>12000.356113964695</v>
      </c>
      <c r="C572" s="7">
        <v>24965.094070224113</v>
      </c>
      <c r="D572" s="7">
        <v>-1747.6992752291262</v>
      </c>
      <c r="E572" s="7">
        <v>-224372</v>
      </c>
    </row>
    <row r="573" spans="1:5" x14ac:dyDescent="0.25">
      <c r="A573" s="2">
        <v>570</v>
      </c>
      <c r="B573" s="7">
        <v>12000.026216063741</v>
      </c>
      <c r="C573" s="7">
        <v>25081.689486172159</v>
      </c>
      <c r="D573" s="7">
        <v>-1501.1402140781283</v>
      </c>
      <c r="E573" s="7">
        <v>-226442</v>
      </c>
    </row>
    <row r="574" spans="1:5" x14ac:dyDescent="0.25">
      <c r="A574" s="2">
        <v>571</v>
      </c>
      <c r="B574" s="7">
        <v>11999.79368970826</v>
      </c>
      <c r="C574" s="7">
        <v>25158.808085142686</v>
      </c>
      <c r="D574" s="7">
        <v>-1503.0749880857766</v>
      </c>
      <c r="E574" s="7">
        <v>-228272</v>
      </c>
    </row>
    <row r="575" spans="1:5" x14ac:dyDescent="0.25">
      <c r="A575" s="2">
        <v>572</v>
      </c>
      <c r="B575" s="7">
        <v>12000.23305254244</v>
      </c>
      <c r="C575" s="7">
        <v>25205.015439325038</v>
      </c>
      <c r="D575" s="7">
        <v>-1701.1047897366807</v>
      </c>
      <c r="E575" s="7">
        <v>-230106</v>
      </c>
    </row>
    <row r="576" spans="1:5" x14ac:dyDescent="0.25">
      <c r="A576" s="2">
        <v>573</v>
      </c>
      <c r="B576" s="7">
        <v>12000.367913637814</v>
      </c>
      <c r="C576" s="7">
        <v>25228.79320558214</v>
      </c>
      <c r="D576" s="7">
        <v>-1528.415251661092</v>
      </c>
      <c r="E576" s="7">
        <v>-232150</v>
      </c>
    </row>
    <row r="577" spans="1:5" x14ac:dyDescent="0.25">
      <c r="A577" s="2">
        <v>574</v>
      </c>
      <c r="B577" s="7">
        <v>11999.790821579352</v>
      </c>
      <c r="C577" s="7">
        <v>25312.645561989484</v>
      </c>
      <c r="D577" s="7">
        <v>-917.77853801753372</v>
      </c>
      <c r="E577" s="7">
        <v>-234022</v>
      </c>
    </row>
    <row r="578" spans="1:5" x14ac:dyDescent="0.25">
      <c r="A578" s="2">
        <v>575</v>
      </c>
      <c r="B578" s="7">
        <v>11999.588947081105</v>
      </c>
      <c r="C578" s="7">
        <v>25371.354195942302</v>
      </c>
      <c r="D578" s="7">
        <v>-1155.6805930994451</v>
      </c>
      <c r="E578" s="7">
        <v>-235302</v>
      </c>
    </row>
    <row r="579" spans="1:5" x14ac:dyDescent="0.25">
      <c r="A579" s="2">
        <v>576</v>
      </c>
      <c r="B579" s="7">
        <v>12000.419383648008</v>
      </c>
      <c r="C579" s="7">
        <v>25439.210884703512</v>
      </c>
      <c r="D579" s="7">
        <v>-1343.3208284480497</v>
      </c>
      <c r="E579" s="7">
        <v>-236822</v>
      </c>
    </row>
    <row r="580" spans="1:5" x14ac:dyDescent="0.25">
      <c r="A580" s="2">
        <v>577</v>
      </c>
      <c r="B580" s="7">
        <v>12000.335233811098</v>
      </c>
      <c r="C580" s="7">
        <v>25460.412518027078</v>
      </c>
      <c r="D580" s="7">
        <v>-1610.7738479366526</v>
      </c>
      <c r="E580" s="7">
        <v>-238539</v>
      </c>
    </row>
    <row r="581" spans="1:5" x14ac:dyDescent="0.25">
      <c r="A581" s="2">
        <v>578</v>
      </c>
      <c r="B581" s="7">
        <v>12000.125994045708</v>
      </c>
      <c r="C581" s="7">
        <v>25498.235952772644</v>
      </c>
      <c r="D581" s="7">
        <v>-1454.9133797474205</v>
      </c>
      <c r="E581" s="7">
        <v>-240540</v>
      </c>
    </row>
    <row r="582" spans="1:5" x14ac:dyDescent="0.25">
      <c r="A582" s="2">
        <v>579</v>
      </c>
      <c r="B582" s="7">
        <v>12000.059246848352</v>
      </c>
      <c r="C582" s="7">
        <v>25605.88577751819</v>
      </c>
      <c r="D582" s="7">
        <v>-1698.2431261288002</v>
      </c>
      <c r="E582" s="7">
        <v>-242381</v>
      </c>
    </row>
    <row r="583" spans="1:5" x14ac:dyDescent="0.25">
      <c r="A583" s="2">
        <v>580</v>
      </c>
      <c r="B583" s="7">
        <v>11999.985435569528</v>
      </c>
      <c r="C583" s="7">
        <v>25705.272107227582</v>
      </c>
      <c r="D583" s="7">
        <v>-1735.1553545193747</v>
      </c>
      <c r="E583" s="7">
        <v>-244447</v>
      </c>
    </row>
    <row r="584" spans="1:5" x14ac:dyDescent="0.25">
      <c r="A584" s="2">
        <v>581</v>
      </c>
      <c r="B584" s="7">
        <v>12000.385464987645</v>
      </c>
      <c r="C584" s="7">
        <v>25774.444786621185</v>
      </c>
      <c r="D584" s="7">
        <v>-2561.291728249751</v>
      </c>
      <c r="E584" s="7">
        <v>-246551</v>
      </c>
    </row>
    <row r="585" spans="1:5" x14ac:dyDescent="0.25">
      <c r="A585" s="2">
        <v>582</v>
      </c>
      <c r="B585" s="7">
        <v>11999.703652272221</v>
      </c>
      <c r="C585" s="7">
        <v>25885.014895080822</v>
      </c>
      <c r="D585" s="7">
        <v>-1836.0270783798769</v>
      </c>
      <c r="E585" s="7">
        <v>-249464</v>
      </c>
    </row>
    <row r="586" spans="1:5" x14ac:dyDescent="0.25">
      <c r="A586" s="2">
        <v>583</v>
      </c>
      <c r="B586" s="7">
        <v>11999.82074153585</v>
      </c>
      <c r="C586" s="7">
        <v>25951.906945875628</v>
      </c>
      <c r="D586" s="7">
        <v>-2207.3023756043985</v>
      </c>
      <c r="E586" s="7">
        <v>-251657</v>
      </c>
    </row>
    <row r="587" spans="1:5" x14ac:dyDescent="0.25">
      <c r="A587" s="2">
        <v>584</v>
      </c>
      <c r="B587" s="7">
        <v>12000.1619271743</v>
      </c>
      <c r="C587" s="7">
        <v>26002.385556134854</v>
      </c>
      <c r="D587" s="7">
        <v>-2180.6515922173858</v>
      </c>
      <c r="E587" s="7">
        <v>-254211</v>
      </c>
    </row>
    <row r="588" spans="1:5" x14ac:dyDescent="0.25">
      <c r="A588" s="2">
        <v>585</v>
      </c>
      <c r="B588" s="7">
        <v>11999.856909817423</v>
      </c>
      <c r="C588" s="7">
        <v>26056.23284030833</v>
      </c>
      <c r="D588" s="7">
        <v>-1654.1586758522317</v>
      </c>
      <c r="E588" s="7">
        <v>-256723</v>
      </c>
    </row>
    <row r="589" spans="1:5" x14ac:dyDescent="0.25">
      <c r="A589" s="2">
        <v>586</v>
      </c>
      <c r="B589" s="7">
        <v>11999.738827937155</v>
      </c>
      <c r="C589" s="7">
        <v>26137.983563788141</v>
      </c>
      <c r="D589" s="7">
        <v>-1977.2166291614994</v>
      </c>
      <c r="E589" s="7">
        <v>-258705</v>
      </c>
    </row>
    <row r="590" spans="1:5" x14ac:dyDescent="0.25">
      <c r="A590" s="2">
        <v>587</v>
      </c>
      <c r="B590" s="7">
        <v>11999.809420709895</v>
      </c>
      <c r="C590" s="7">
        <v>26161.253455155005</v>
      </c>
      <c r="D590" s="7">
        <v>-1549.2416418669745</v>
      </c>
      <c r="E590" s="7">
        <v>-260979</v>
      </c>
    </row>
    <row r="591" spans="1:5" x14ac:dyDescent="0.25">
      <c r="A591" s="2">
        <v>588</v>
      </c>
      <c r="B591" s="7">
        <v>11999.877321687984</v>
      </c>
      <c r="C591" s="7">
        <v>26183.385834102053</v>
      </c>
      <c r="D591" s="7">
        <v>-1656.8606242304668</v>
      </c>
      <c r="E591" s="7">
        <v>-262846</v>
      </c>
    </row>
    <row r="592" spans="1:5" x14ac:dyDescent="0.25">
      <c r="A592" s="2">
        <v>589</v>
      </c>
      <c r="B592" s="7">
        <v>12000.029044742803</v>
      </c>
      <c r="C592" s="7">
        <v>26261.895088056219</v>
      </c>
      <c r="D592" s="7">
        <v>-1941.5928194364533</v>
      </c>
      <c r="E592" s="7">
        <v>-264834</v>
      </c>
    </row>
    <row r="593" spans="1:5" x14ac:dyDescent="0.25">
      <c r="A593" s="2">
        <v>590</v>
      </c>
      <c r="B593" s="7">
        <v>11999.658918633</v>
      </c>
      <c r="C593" s="7">
        <v>26324.705461454898</v>
      </c>
      <c r="D593" s="7">
        <v>-1220.0377537594177</v>
      </c>
      <c r="E593" s="7">
        <v>-267120</v>
      </c>
    </row>
    <row r="594" spans="1:5" x14ac:dyDescent="0.25">
      <c r="A594" s="2">
        <v>591</v>
      </c>
      <c r="B594" s="7">
        <v>11999.727357759073</v>
      </c>
      <c r="C594" s="7">
        <v>26362.446806921551</v>
      </c>
      <c r="D594" s="7">
        <v>-1814.4375888109207</v>
      </c>
      <c r="E594" s="7">
        <v>-268715</v>
      </c>
    </row>
    <row r="595" spans="1:5" x14ac:dyDescent="0.25">
      <c r="A595" s="2">
        <v>592</v>
      </c>
      <c r="B595" s="7">
        <v>12000.340869438012</v>
      </c>
      <c r="C595" s="7">
        <v>26453.348743218128</v>
      </c>
      <c r="D595" s="7">
        <v>-1362.4605410164222</v>
      </c>
      <c r="E595" s="7">
        <v>-270890</v>
      </c>
    </row>
    <row r="596" spans="1:5" x14ac:dyDescent="0.25">
      <c r="A596" s="2">
        <v>593</v>
      </c>
      <c r="B596" s="7">
        <v>12000.388076039955</v>
      </c>
      <c r="C596" s="7">
        <v>26490.54647337459</v>
      </c>
      <c r="D596" s="7">
        <v>-2075.1942249713466</v>
      </c>
      <c r="E596" s="7">
        <v>-272641</v>
      </c>
    </row>
    <row r="597" spans="1:5" x14ac:dyDescent="0.25">
      <c r="A597" s="2">
        <v>594</v>
      </c>
      <c r="B597" s="7">
        <v>12000.341240513713</v>
      </c>
      <c r="C597" s="7">
        <v>26608.309126506225</v>
      </c>
      <c r="D597" s="7">
        <v>-1946.7765102600679</v>
      </c>
      <c r="E597" s="7">
        <v>-275107</v>
      </c>
    </row>
    <row r="598" spans="1:5" x14ac:dyDescent="0.25">
      <c r="A598" s="2">
        <v>595</v>
      </c>
      <c r="B598" s="7">
        <v>12000.237465314327</v>
      </c>
      <c r="C598" s="7">
        <v>26652.922181945658</v>
      </c>
      <c r="D598" s="7">
        <v>-2252.2608885063091</v>
      </c>
      <c r="E598" s="7">
        <v>-277429</v>
      </c>
    </row>
    <row r="599" spans="1:5" x14ac:dyDescent="0.25">
      <c r="A599" s="2">
        <v>596</v>
      </c>
      <c r="B599" s="7">
        <v>12000.375614783778</v>
      </c>
      <c r="C599" s="7">
        <v>26745.070105845152</v>
      </c>
      <c r="D599" s="7">
        <v>-1751.069246920757</v>
      </c>
      <c r="E599" s="7">
        <v>-280021</v>
      </c>
    </row>
    <row r="600" spans="1:5" x14ac:dyDescent="0.25">
      <c r="A600" s="2">
        <v>597</v>
      </c>
      <c r="B600" s="7">
        <v>11999.506573143293</v>
      </c>
      <c r="C600" s="7">
        <v>26798.798650879311</v>
      </c>
      <c r="D600" s="7">
        <v>-2032.0256897965446</v>
      </c>
      <c r="E600" s="7">
        <v>-282132</v>
      </c>
    </row>
    <row r="601" spans="1:5" x14ac:dyDescent="0.25">
      <c r="A601" s="2">
        <v>598</v>
      </c>
      <c r="B601" s="7">
        <v>12000.074565614626</v>
      </c>
      <c r="C601" s="7">
        <v>26856.330298679022</v>
      </c>
      <c r="D601" s="7">
        <v>-1952.4882464921102</v>
      </c>
      <c r="E601" s="7">
        <v>-284515</v>
      </c>
    </row>
    <row r="602" spans="1:5" x14ac:dyDescent="0.25">
      <c r="A602" s="2">
        <v>599</v>
      </c>
      <c r="B602" s="7">
        <v>12000.112116122205</v>
      </c>
      <c r="C602" s="7">
        <v>26936.003195159676</v>
      </c>
      <c r="D602" s="7">
        <v>-1954.2028466155753</v>
      </c>
      <c r="E602" s="7">
        <v>-286830</v>
      </c>
    </row>
    <row r="603" spans="1:5" x14ac:dyDescent="0.25">
      <c r="A603" s="2">
        <v>600</v>
      </c>
      <c r="B603" s="7">
        <v>11999.910524909379</v>
      </c>
      <c r="C603" s="7">
        <v>26978.82791704683</v>
      </c>
      <c r="D603" s="7">
        <v>-1833.2613252429292</v>
      </c>
      <c r="E603" s="7">
        <v>-289150</v>
      </c>
    </row>
    <row r="604" spans="1:5" x14ac:dyDescent="0.25">
      <c r="A604" s="2" t="s">
        <v>29</v>
      </c>
      <c r="B604" s="7">
        <v>7199995.8193850601</v>
      </c>
      <c r="C604" s="7">
        <v>8017060.5447851652</v>
      </c>
      <c r="D604" s="7">
        <v>-21577.515514655417</v>
      </c>
      <c r="E604" s="7">
        <v>-32426256.820299994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B11-B71A-4C01-A8F3-CC5D505DED41}">
  <dimension ref="A1:U601"/>
  <sheetViews>
    <sheetView topLeftCell="A556" workbookViewId="0">
      <selection activeCell="O32" sqref="O32:S32"/>
    </sheetView>
  </sheetViews>
  <sheetFormatPr defaultRowHeight="15" x14ac:dyDescent="0.25"/>
  <cols>
    <col min="1" max="1" width="10.42578125" bestFit="1" customWidth="1"/>
    <col min="2" max="2" width="10" bestFit="1" customWidth="1"/>
    <col min="3" max="3" width="7.7109375" bestFit="1" customWidth="1"/>
    <col min="4" max="4" width="10.7109375" bestFit="1" customWidth="1"/>
    <col min="5" max="5" width="8" bestFit="1" customWidth="1"/>
    <col min="6" max="6" width="9" bestFit="1" customWidth="1"/>
    <col min="7" max="7" width="7.42578125" bestFit="1" customWidth="1"/>
    <col min="8" max="8" width="11.7109375" bestFit="1" customWidth="1"/>
    <col min="9" max="9" width="13" bestFit="1" customWidth="1"/>
    <col min="10" max="10" width="11" bestFit="1" customWidth="1"/>
    <col min="11" max="11" width="11.85546875" bestFit="1" customWidth="1"/>
    <col min="12" max="12" width="10" bestFit="1" customWidth="1"/>
    <col min="13" max="13" width="20.140625" bestFit="1" customWidth="1"/>
    <col min="14" max="14" width="11.28515625" bestFit="1" customWidth="1"/>
    <col min="15" max="15" width="8" bestFit="1" customWidth="1"/>
    <col min="16" max="16" width="17.42578125" bestFit="1" customWidth="1"/>
    <col min="17" max="17" width="30.85546875" bestFit="1" customWidth="1"/>
    <col min="18" max="18" width="11.7109375" bestFit="1" customWidth="1"/>
    <col min="19" max="19" width="8.85546875" bestFit="1" customWidth="1"/>
    <col min="20" max="20" width="11.85546875" bestFit="1" customWidth="1"/>
    <col min="21" max="21" width="11.140625" bestFit="1" customWidth="1"/>
  </cols>
  <sheetData>
    <row r="1" spans="1:21" x14ac:dyDescent="0.25">
      <c r="A1" t="s">
        <v>0</v>
      </c>
      <c r="B1" t="s">
        <v>1</v>
      </c>
      <c r="C1" t="s">
        <v>68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69</v>
      </c>
      <c r="L1" t="s">
        <v>10</v>
      </c>
      <c r="M1" t="s">
        <v>11</v>
      </c>
      <c r="N1" t="s">
        <v>12</v>
      </c>
      <c r="O1" t="s">
        <v>15</v>
      </c>
      <c r="P1" t="s">
        <v>13</v>
      </c>
      <c r="Q1" t="s">
        <v>16</v>
      </c>
      <c r="R1" t="s">
        <v>17</v>
      </c>
      <c r="S1" t="s">
        <v>14</v>
      </c>
      <c r="T1" t="s">
        <v>23</v>
      </c>
      <c r="U1" t="s">
        <v>31</v>
      </c>
    </row>
    <row r="2" spans="1:21" x14ac:dyDescent="0.25">
      <c r="A2">
        <v>1</v>
      </c>
      <c r="B2">
        <v>568513272</v>
      </c>
      <c r="C2" s="7" t="s">
        <v>70</v>
      </c>
      <c r="D2">
        <v>7</v>
      </c>
      <c r="E2">
        <v>2.5837699999999999</v>
      </c>
      <c r="F2">
        <v>7</v>
      </c>
      <c r="G2">
        <v>0</v>
      </c>
      <c r="H2">
        <v>-3.03</v>
      </c>
      <c r="I2">
        <v>1.5</v>
      </c>
      <c r="J2">
        <v>0</v>
      </c>
      <c r="K2">
        <v>1.47</v>
      </c>
      <c r="L2">
        <v>0</v>
      </c>
      <c r="M2">
        <v>3</v>
      </c>
      <c r="N2">
        <v>0</v>
      </c>
      <c r="O2" s="7" t="s">
        <v>28</v>
      </c>
      <c r="P2">
        <v>0</v>
      </c>
      <c r="Q2" s="7" t="s">
        <v>81</v>
      </c>
      <c r="R2">
        <v>0</v>
      </c>
      <c r="S2">
        <v>0</v>
      </c>
      <c r="T2">
        <v>3</v>
      </c>
      <c r="U2">
        <v>3</v>
      </c>
    </row>
    <row r="3" spans="1:21" x14ac:dyDescent="0.25">
      <c r="A3">
        <v>2</v>
      </c>
      <c r="B3">
        <v>116381266</v>
      </c>
      <c r="C3" s="7" t="s">
        <v>70</v>
      </c>
      <c r="D3">
        <v>6</v>
      </c>
      <c r="E3">
        <v>2.43031</v>
      </c>
      <c r="F3">
        <v>6</v>
      </c>
      <c r="G3">
        <v>0</v>
      </c>
      <c r="H3">
        <v>-1.0394000000000001</v>
      </c>
      <c r="I3">
        <v>0.5</v>
      </c>
      <c r="J3">
        <v>0</v>
      </c>
      <c r="K3">
        <v>1.9306000000000001</v>
      </c>
      <c r="L3">
        <v>0</v>
      </c>
      <c r="M3">
        <v>3</v>
      </c>
      <c r="N3">
        <v>0</v>
      </c>
      <c r="O3" s="7" t="s">
        <v>28</v>
      </c>
      <c r="P3">
        <v>0</v>
      </c>
      <c r="Q3" s="7" t="s">
        <v>82</v>
      </c>
      <c r="R3">
        <v>0</v>
      </c>
      <c r="S3">
        <v>0</v>
      </c>
      <c r="T3">
        <v>1</v>
      </c>
      <c r="U3">
        <v>0.17699999999999999</v>
      </c>
    </row>
    <row r="4" spans="1:21" x14ac:dyDescent="0.25">
      <c r="A4">
        <v>3</v>
      </c>
      <c r="B4">
        <v>561622615</v>
      </c>
      <c r="C4" s="7" t="s">
        <v>70</v>
      </c>
      <c r="D4">
        <v>6</v>
      </c>
      <c r="E4">
        <v>2.43031</v>
      </c>
      <c r="F4">
        <v>6</v>
      </c>
      <c r="G4">
        <v>0</v>
      </c>
      <c r="H4">
        <v>-3.8612E-2</v>
      </c>
      <c r="I4">
        <v>0</v>
      </c>
      <c r="J4">
        <v>0</v>
      </c>
      <c r="K4">
        <v>1.8919900000000001</v>
      </c>
      <c r="L4">
        <v>0</v>
      </c>
      <c r="M4">
        <v>3</v>
      </c>
      <c r="N4">
        <v>0</v>
      </c>
      <c r="O4" s="7" t="s">
        <v>28</v>
      </c>
      <c r="P4">
        <v>0</v>
      </c>
      <c r="Q4" s="7" t="s">
        <v>28</v>
      </c>
      <c r="R4">
        <v>0</v>
      </c>
      <c r="S4">
        <v>0</v>
      </c>
      <c r="T4">
        <v>0</v>
      </c>
      <c r="U4">
        <v>0</v>
      </c>
    </row>
    <row r="5" spans="1:21" x14ac:dyDescent="0.25">
      <c r="A5">
        <v>4</v>
      </c>
      <c r="B5">
        <v>580265595</v>
      </c>
      <c r="C5" s="7" t="s">
        <v>70</v>
      </c>
      <c r="D5">
        <v>6</v>
      </c>
      <c r="E5">
        <v>2.3995000000000002</v>
      </c>
      <c r="F5">
        <v>6</v>
      </c>
      <c r="G5">
        <v>0</v>
      </c>
      <c r="H5">
        <v>-3.78398E-2</v>
      </c>
      <c r="I5">
        <v>0</v>
      </c>
      <c r="J5">
        <v>0</v>
      </c>
      <c r="K5">
        <v>1.85415</v>
      </c>
      <c r="L5">
        <v>0</v>
      </c>
      <c r="M5">
        <v>3</v>
      </c>
      <c r="N5">
        <v>0</v>
      </c>
      <c r="O5" s="7" t="s">
        <v>28</v>
      </c>
      <c r="P5">
        <v>0</v>
      </c>
      <c r="Q5" s="7" t="s">
        <v>28</v>
      </c>
      <c r="R5">
        <v>0</v>
      </c>
      <c r="S5">
        <v>0</v>
      </c>
      <c r="T5">
        <v>0</v>
      </c>
      <c r="U5">
        <v>0</v>
      </c>
    </row>
    <row r="6" spans="1:21" x14ac:dyDescent="0.25">
      <c r="A6">
        <v>5</v>
      </c>
      <c r="B6">
        <v>92974295</v>
      </c>
      <c r="C6" s="7" t="s">
        <v>70</v>
      </c>
      <c r="D6">
        <v>6.4684999999999997</v>
      </c>
      <c r="E6">
        <v>2.3062900000000002</v>
      </c>
      <c r="F6">
        <v>6.5776000000000003</v>
      </c>
      <c r="G6">
        <v>0</v>
      </c>
      <c r="H6">
        <v>0.54552800000000001</v>
      </c>
      <c r="I6">
        <v>0</v>
      </c>
      <c r="J6">
        <v>0.250446</v>
      </c>
      <c r="K6">
        <v>1.5716300000000001</v>
      </c>
      <c r="L6">
        <v>0</v>
      </c>
      <c r="M6">
        <v>3</v>
      </c>
      <c r="N6">
        <v>0</v>
      </c>
      <c r="O6" s="7" t="s">
        <v>28</v>
      </c>
      <c r="P6">
        <v>0</v>
      </c>
      <c r="Q6" s="7" t="s">
        <v>28</v>
      </c>
      <c r="R6">
        <v>0</v>
      </c>
      <c r="S6">
        <v>0</v>
      </c>
      <c r="T6">
        <v>0</v>
      </c>
      <c r="U6">
        <v>0</v>
      </c>
    </row>
    <row r="7" spans="1:21" x14ac:dyDescent="0.25">
      <c r="A7">
        <v>6</v>
      </c>
      <c r="B7">
        <v>844295000</v>
      </c>
      <c r="C7" s="7" t="s">
        <v>70</v>
      </c>
      <c r="D7">
        <v>6.4684999999999997</v>
      </c>
      <c r="E7">
        <v>2.1581100000000002</v>
      </c>
      <c r="F7">
        <v>6.4684999999999997</v>
      </c>
      <c r="G7">
        <v>0</v>
      </c>
      <c r="H7">
        <v>-3.1432599999999998E-2</v>
      </c>
      <c r="I7">
        <v>0</v>
      </c>
      <c r="J7">
        <v>0</v>
      </c>
      <c r="K7">
        <v>1.5402</v>
      </c>
      <c r="L7">
        <v>0</v>
      </c>
      <c r="M7">
        <v>3</v>
      </c>
      <c r="N7">
        <v>0</v>
      </c>
      <c r="O7" s="7" t="s">
        <v>28</v>
      </c>
      <c r="P7">
        <v>0</v>
      </c>
      <c r="Q7" s="7" t="s">
        <v>28</v>
      </c>
      <c r="R7">
        <v>0</v>
      </c>
      <c r="S7">
        <v>0</v>
      </c>
      <c r="T7">
        <v>0</v>
      </c>
      <c r="U7">
        <v>0</v>
      </c>
    </row>
    <row r="8" spans="1:21" x14ac:dyDescent="0.25">
      <c r="A8">
        <v>7</v>
      </c>
      <c r="B8">
        <v>461579371</v>
      </c>
      <c r="C8" s="7" t="s">
        <v>70</v>
      </c>
      <c r="D8">
        <v>6.4684999999999997</v>
      </c>
      <c r="E8">
        <v>2.1581100000000002</v>
      </c>
      <c r="F8">
        <v>6.4684999999999997</v>
      </c>
      <c r="G8">
        <v>0</v>
      </c>
      <c r="H8">
        <v>-3.0803899999999999E-2</v>
      </c>
      <c r="I8">
        <v>0</v>
      </c>
      <c r="J8">
        <v>0</v>
      </c>
      <c r="K8">
        <v>1.50939</v>
      </c>
      <c r="L8">
        <v>0</v>
      </c>
      <c r="M8">
        <v>3</v>
      </c>
      <c r="N8">
        <v>0</v>
      </c>
      <c r="O8" s="7" t="s">
        <v>28</v>
      </c>
      <c r="P8">
        <v>0</v>
      </c>
      <c r="Q8" s="7" t="s">
        <v>28</v>
      </c>
      <c r="R8">
        <v>0</v>
      </c>
      <c r="S8">
        <v>0</v>
      </c>
      <c r="T8">
        <v>0</v>
      </c>
      <c r="U8">
        <v>0</v>
      </c>
    </row>
    <row r="9" spans="1:21" x14ac:dyDescent="0.25">
      <c r="A9">
        <v>8</v>
      </c>
      <c r="B9">
        <v>924166741</v>
      </c>
      <c r="C9" s="7" t="s">
        <v>70</v>
      </c>
      <c r="D9">
        <v>6.4684999999999997</v>
      </c>
      <c r="E9">
        <v>2.0283699999999998</v>
      </c>
      <c r="F9">
        <v>6.4684999999999997</v>
      </c>
      <c r="G9">
        <v>0</v>
      </c>
      <c r="H9">
        <v>-3.0187800000000001E-2</v>
      </c>
      <c r="I9">
        <v>0</v>
      </c>
      <c r="J9">
        <v>0</v>
      </c>
      <c r="K9">
        <v>1.4792000000000001</v>
      </c>
      <c r="L9">
        <v>0</v>
      </c>
      <c r="M9">
        <v>3</v>
      </c>
      <c r="N9">
        <v>0</v>
      </c>
      <c r="O9" s="7" t="s">
        <v>28</v>
      </c>
      <c r="P9">
        <v>0</v>
      </c>
      <c r="Q9" s="7" t="s">
        <v>28</v>
      </c>
      <c r="R9">
        <v>0</v>
      </c>
      <c r="S9">
        <v>0</v>
      </c>
      <c r="T9">
        <v>0</v>
      </c>
      <c r="U9">
        <v>0</v>
      </c>
    </row>
    <row r="10" spans="1:21" x14ac:dyDescent="0.25">
      <c r="A10">
        <v>9</v>
      </c>
      <c r="B10">
        <v>656175618</v>
      </c>
      <c r="C10" s="7" t="s">
        <v>70</v>
      </c>
      <c r="D10">
        <v>8.8688000000000002</v>
      </c>
      <c r="E10">
        <v>2.0283699999999998</v>
      </c>
      <c r="F10">
        <v>9.4688700000000008</v>
      </c>
      <c r="G10">
        <v>0</v>
      </c>
      <c r="H10">
        <v>3.0003700000000002</v>
      </c>
      <c r="I10">
        <v>0</v>
      </c>
      <c r="J10">
        <v>1.4792000000000001</v>
      </c>
      <c r="K10">
        <v>0</v>
      </c>
      <c r="L10">
        <v>0</v>
      </c>
      <c r="M10">
        <v>3</v>
      </c>
      <c r="N10">
        <v>0</v>
      </c>
      <c r="O10" s="7" t="s">
        <v>28</v>
      </c>
      <c r="P10">
        <v>0</v>
      </c>
      <c r="Q10" s="7" t="s">
        <v>28</v>
      </c>
      <c r="R10">
        <v>0</v>
      </c>
      <c r="S10">
        <v>0</v>
      </c>
      <c r="T10">
        <v>0</v>
      </c>
      <c r="U10">
        <v>0</v>
      </c>
    </row>
    <row r="11" spans="1:21" x14ac:dyDescent="0.25">
      <c r="A11">
        <v>10</v>
      </c>
      <c r="B11">
        <v>290272111</v>
      </c>
      <c r="C11" s="7" t="s">
        <v>70</v>
      </c>
      <c r="D11">
        <v>8.8688000000000002</v>
      </c>
      <c r="E11">
        <v>2.1057600000000001</v>
      </c>
      <c r="F11">
        <v>8.8688000000000002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3</v>
      </c>
      <c r="N11">
        <v>0</v>
      </c>
      <c r="O11" s="7" t="s">
        <v>28</v>
      </c>
      <c r="P11">
        <v>0</v>
      </c>
      <c r="Q11" s="7" t="s">
        <v>28</v>
      </c>
      <c r="R11">
        <v>0</v>
      </c>
      <c r="S11">
        <v>0</v>
      </c>
      <c r="T11">
        <v>0</v>
      </c>
      <c r="U11">
        <v>0</v>
      </c>
    </row>
    <row r="12" spans="1:21" x14ac:dyDescent="0.25">
      <c r="A12">
        <v>11</v>
      </c>
      <c r="B12">
        <v>3764035</v>
      </c>
      <c r="C12" s="7" t="s">
        <v>70</v>
      </c>
      <c r="D12">
        <v>8.8688000000000002</v>
      </c>
      <c r="E12">
        <v>2.1057600000000001</v>
      </c>
      <c r="F12">
        <v>8.8688000000000002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3</v>
      </c>
      <c r="N12">
        <v>0</v>
      </c>
      <c r="O12" s="7" t="s">
        <v>28</v>
      </c>
      <c r="P12">
        <v>0</v>
      </c>
      <c r="Q12" s="7" t="s">
        <v>28</v>
      </c>
      <c r="R12">
        <v>0</v>
      </c>
      <c r="S12">
        <v>0</v>
      </c>
      <c r="T12">
        <v>0</v>
      </c>
      <c r="U12">
        <v>0</v>
      </c>
    </row>
    <row r="13" spans="1:21" x14ac:dyDescent="0.25">
      <c r="A13">
        <v>12</v>
      </c>
      <c r="B13">
        <v>121302646</v>
      </c>
      <c r="C13" s="7" t="s">
        <v>70</v>
      </c>
      <c r="D13">
        <v>8.8688000000000002</v>
      </c>
      <c r="E13">
        <v>2.1057600000000001</v>
      </c>
      <c r="F13">
        <v>8.8688000000000002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3</v>
      </c>
      <c r="N13">
        <v>0</v>
      </c>
      <c r="O13" s="7" t="s">
        <v>28</v>
      </c>
      <c r="P13">
        <v>0</v>
      </c>
      <c r="Q13" s="7" t="s">
        <v>28</v>
      </c>
      <c r="R13">
        <v>0</v>
      </c>
      <c r="S13">
        <v>0</v>
      </c>
      <c r="T13">
        <v>0</v>
      </c>
      <c r="U13">
        <v>0</v>
      </c>
    </row>
    <row r="14" spans="1:21" x14ac:dyDescent="0.25">
      <c r="A14">
        <v>13</v>
      </c>
      <c r="B14">
        <v>238110832</v>
      </c>
      <c r="C14" s="7" t="s">
        <v>70</v>
      </c>
      <c r="D14">
        <v>8.8688000000000002</v>
      </c>
      <c r="E14">
        <v>2.1057600000000001</v>
      </c>
      <c r="F14">
        <v>8.8688000000000002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3</v>
      </c>
      <c r="N14">
        <v>0</v>
      </c>
      <c r="O14" s="7" t="s">
        <v>28</v>
      </c>
      <c r="P14">
        <v>0</v>
      </c>
      <c r="Q14" s="7" t="s">
        <v>28</v>
      </c>
      <c r="R14">
        <v>0</v>
      </c>
      <c r="S14">
        <v>0</v>
      </c>
      <c r="T14">
        <v>0</v>
      </c>
      <c r="U14">
        <v>0</v>
      </c>
    </row>
    <row r="15" spans="1:21" x14ac:dyDescent="0.25">
      <c r="A15">
        <v>14</v>
      </c>
      <c r="B15">
        <v>961221646</v>
      </c>
      <c r="C15" s="7" t="s">
        <v>70</v>
      </c>
      <c r="D15">
        <v>8.8688000000000002</v>
      </c>
      <c r="E15">
        <v>2.1057600000000001</v>
      </c>
      <c r="F15">
        <v>8.8688000000000002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3</v>
      </c>
      <c r="N15">
        <v>0</v>
      </c>
      <c r="O15" s="7" t="s">
        <v>28</v>
      </c>
      <c r="P15">
        <v>0</v>
      </c>
      <c r="Q15" s="7" t="s">
        <v>28</v>
      </c>
      <c r="R15">
        <v>0</v>
      </c>
      <c r="S15">
        <v>0</v>
      </c>
      <c r="T15">
        <v>0</v>
      </c>
      <c r="U15">
        <v>0</v>
      </c>
    </row>
    <row r="16" spans="1:21" x14ac:dyDescent="0.25">
      <c r="A16">
        <v>15</v>
      </c>
      <c r="B16">
        <v>831476582</v>
      </c>
      <c r="C16" s="7" t="s">
        <v>70</v>
      </c>
      <c r="D16">
        <v>8.8688000000000002</v>
      </c>
      <c r="E16">
        <v>2.1057600000000001</v>
      </c>
      <c r="F16">
        <v>8.8688000000000002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3</v>
      </c>
      <c r="N16">
        <v>0</v>
      </c>
      <c r="O16" s="7" t="s">
        <v>28</v>
      </c>
      <c r="P16">
        <v>0</v>
      </c>
      <c r="Q16" s="7" t="s">
        <v>28</v>
      </c>
      <c r="R16">
        <v>0</v>
      </c>
      <c r="S16">
        <v>0</v>
      </c>
      <c r="T16">
        <v>0</v>
      </c>
      <c r="U16">
        <v>0</v>
      </c>
    </row>
    <row r="17" spans="1:21" x14ac:dyDescent="0.25">
      <c r="A17">
        <v>16</v>
      </c>
      <c r="B17">
        <v>104392272</v>
      </c>
      <c r="C17" s="7" t="s">
        <v>70</v>
      </c>
      <c r="D17">
        <v>8.8688000000000002</v>
      </c>
      <c r="E17">
        <v>2.1057600000000001</v>
      </c>
      <c r="F17">
        <v>8.8688000000000002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3</v>
      </c>
      <c r="N17">
        <v>0</v>
      </c>
      <c r="O17" s="7" t="s">
        <v>28</v>
      </c>
      <c r="P17">
        <v>0</v>
      </c>
      <c r="Q17" s="7" t="s">
        <v>28</v>
      </c>
      <c r="R17">
        <v>0</v>
      </c>
      <c r="S17">
        <v>0</v>
      </c>
      <c r="T17">
        <v>0</v>
      </c>
      <c r="U17">
        <v>0</v>
      </c>
    </row>
    <row r="18" spans="1:21" x14ac:dyDescent="0.25">
      <c r="A18">
        <v>17</v>
      </c>
      <c r="B18">
        <v>916001675</v>
      </c>
      <c r="C18" s="7" t="s">
        <v>70</v>
      </c>
      <c r="D18">
        <v>8.8688000000000002</v>
      </c>
      <c r="E18">
        <v>2.1057600000000001</v>
      </c>
      <c r="F18">
        <v>8.8688000000000002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3</v>
      </c>
      <c r="N18">
        <v>0</v>
      </c>
      <c r="O18" s="7" t="s">
        <v>28</v>
      </c>
      <c r="P18">
        <v>0</v>
      </c>
      <c r="Q18" s="7" t="s">
        <v>28</v>
      </c>
      <c r="R18">
        <v>0</v>
      </c>
      <c r="S18">
        <v>0</v>
      </c>
      <c r="T18">
        <v>0</v>
      </c>
      <c r="U18">
        <v>0</v>
      </c>
    </row>
    <row r="19" spans="1:21" x14ac:dyDescent="0.25">
      <c r="A19">
        <v>18</v>
      </c>
      <c r="B19">
        <v>936052797</v>
      </c>
      <c r="C19" s="7" t="s">
        <v>70</v>
      </c>
      <c r="D19">
        <v>8.8688000000000002</v>
      </c>
      <c r="E19">
        <v>2.1057600000000001</v>
      </c>
      <c r="F19">
        <v>8.8688000000000002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3</v>
      </c>
      <c r="N19">
        <v>0</v>
      </c>
      <c r="O19" s="7" t="s">
        <v>28</v>
      </c>
      <c r="P19">
        <v>0</v>
      </c>
      <c r="Q19" s="7" t="s">
        <v>28</v>
      </c>
      <c r="R19">
        <v>0</v>
      </c>
      <c r="S19">
        <v>0</v>
      </c>
      <c r="T19">
        <v>0</v>
      </c>
      <c r="U19">
        <v>0</v>
      </c>
    </row>
    <row r="20" spans="1:21" x14ac:dyDescent="0.25">
      <c r="A20">
        <v>19</v>
      </c>
      <c r="B20">
        <v>77616671</v>
      </c>
      <c r="C20" s="7" t="s">
        <v>70</v>
      </c>
      <c r="D20">
        <v>8.8688000000000002</v>
      </c>
      <c r="E20">
        <v>2.1057600000000001</v>
      </c>
      <c r="F20">
        <v>8.8688000000000002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3</v>
      </c>
      <c r="N20">
        <v>0</v>
      </c>
      <c r="O20" s="7" t="s">
        <v>28</v>
      </c>
      <c r="P20">
        <v>0</v>
      </c>
      <c r="Q20" s="7" t="s">
        <v>28</v>
      </c>
      <c r="R20">
        <v>0</v>
      </c>
      <c r="S20">
        <v>0</v>
      </c>
      <c r="T20">
        <v>0</v>
      </c>
      <c r="U20">
        <v>0</v>
      </c>
    </row>
    <row r="21" spans="1:21" x14ac:dyDescent="0.25">
      <c r="A21">
        <v>20</v>
      </c>
      <c r="B21">
        <v>680394204</v>
      </c>
      <c r="C21" s="7" t="s">
        <v>70</v>
      </c>
      <c r="D21">
        <v>8.8688000000000002</v>
      </c>
      <c r="E21">
        <v>2.1057600000000001</v>
      </c>
      <c r="F21">
        <v>8.8688000000000002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7" t="s">
        <v>28</v>
      </c>
      <c r="P21">
        <v>0</v>
      </c>
      <c r="Q21" s="7" t="s">
        <v>28</v>
      </c>
      <c r="R21">
        <v>0</v>
      </c>
      <c r="S21">
        <v>0</v>
      </c>
      <c r="T21">
        <v>0</v>
      </c>
      <c r="U21">
        <v>0</v>
      </c>
    </row>
    <row r="22" spans="1:21" x14ac:dyDescent="0.25">
      <c r="A22">
        <v>21</v>
      </c>
      <c r="B22">
        <v>658983578</v>
      </c>
      <c r="C22" s="7" t="s">
        <v>70</v>
      </c>
      <c r="D22">
        <v>8.8688000000000002</v>
      </c>
      <c r="E22">
        <v>2.1057600000000001</v>
      </c>
      <c r="F22">
        <v>8.8688000000000002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3</v>
      </c>
      <c r="N22">
        <v>0</v>
      </c>
      <c r="O22" s="7" t="s">
        <v>28</v>
      </c>
      <c r="P22">
        <v>0</v>
      </c>
      <c r="Q22" s="7" t="s">
        <v>28</v>
      </c>
      <c r="R22">
        <v>0</v>
      </c>
      <c r="S22">
        <v>0</v>
      </c>
      <c r="T22">
        <v>0</v>
      </c>
      <c r="U22">
        <v>0</v>
      </c>
    </row>
    <row r="23" spans="1:21" x14ac:dyDescent="0.25">
      <c r="A23">
        <v>22</v>
      </c>
      <c r="B23">
        <v>211060894</v>
      </c>
      <c r="C23" s="7" t="s">
        <v>70</v>
      </c>
      <c r="D23">
        <v>8.8688000000000002</v>
      </c>
      <c r="E23">
        <v>2.1057600000000001</v>
      </c>
      <c r="F23">
        <v>8.8688000000000002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3</v>
      </c>
      <c r="N23">
        <v>0</v>
      </c>
      <c r="O23" s="7" t="s">
        <v>28</v>
      </c>
      <c r="P23">
        <v>0</v>
      </c>
      <c r="Q23" s="7" t="s">
        <v>28</v>
      </c>
      <c r="R23">
        <v>0</v>
      </c>
      <c r="S23">
        <v>0</v>
      </c>
      <c r="T23">
        <v>0</v>
      </c>
      <c r="U23">
        <v>0</v>
      </c>
    </row>
    <row r="24" spans="1:21" x14ac:dyDescent="0.25">
      <c r="A24">
        <v>23</v>
      </c>
      <c r="B24">
        <v>770567819</v>
      </c>
      <c r="C24" s="7" t="s">
        <v>70</v>
      </c>
      <c r="D24">
        <v>8.8688000000000002</v>
      </c>
      <c r="E24">
        <v>2.1057600000000001</v>
      </c>
      <c r="F24">
        <v>8.8688000000000002</v>
      </c>
      <c r="G24">
        <v>0</v>
      </c>
      <c r="H24">
        <v>0</v>
      </c>
      <c r="I24">
        <v>0</v>
      </c>
      <c r="J24">
        <v>0</v>
      </c>
      <c r="K24">
        <v>0</v>
      </c>
      <c r="L24">
        <v>0.24720500000000001</v>
      </c>
      <c r="M24">
        <v>3</v>
      </c>
      <c r="N24">
        <v>0</v>
      </c>
      <c r="O24" s="7" t="s">
        <v>28</v>
      </c>
      <c r="P24">
        <v>0</v>
      </c>
      <c r="Q24" s="7" t="s">
        <v>28</v>
      </c>
      <c r="R24">
        <v>0</v>
      </c>
      <c r="S24">
        <v>0</v>
      </c>
      <c r="T24">
        <v>0</v>
      </c>
      <c r="U24">
        <v>0</v>
      </c>
    </row>
    <row r="25" spans="1:21" x14ac:dyDescent="0.25">
      <c r="A25">
        <v>24</v>
      </c>
      <c r="B25">
        <v>501229029</v>
      </c>
      <c r="C25" s="7" t="s">
        <v>70</v>
      </c>
      <c r="D25">
        <v>8.8688000000000002</v>
      </c>
      <c r="E25">
        <v>2.1057600000000001</v>
      </c>
      <c r="F25">
        <v>8.8688000000000002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3</v>
      </c>
      <c r="N25">
        <v>0</v>
      </c>
      <c r="O25" s="7" t="s">
        <v>28</v>
      </c>
      <c r="P25">
        <v>0.22248399999999999</v>
      </c>
      <c r="Q25" s="7" t="s">
        <v>28</v>
      </c>
      <c r="R25">
        <v>0</v>
      </c>
      <c r="S25">
        <v>0</v>
      </c>
      <c r="T25">
        <v>0</v>
      </c>
      <c r="U25">
        <v>0.22248399999999999</v>
      </c>
    </row>
    <row r="26" spans="1:21" x14ac:dyDescent="0.25">
      <c r="A26">
        <v>25</v>
      </c>
      <c r="B26">
        <v>276334154</v>
      </c>
      <c r="C26" s="7" t="s">
        <v>70</v>
      </c>
      <c r="D26">
        <v>8.8688000000000002</v>
      </c>
      <c r="E26">
        <v>2.1057600000000001</v>
      </c>
      <c r="F26">
        <v>8.8688000000000002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3</v>
      </c>
      <c r="N26">
        <v>0</v>
      </c>
      <c r="O26" s="7" t="s">
        <v>28</v>
      </c>
      <c r="P26">
        <v>0</v>
      </c>
      <c r="Q26" s="7" t="s">
        <v>28</v>
      </c>
      <c r="R26">
        <v>0</v>
      </c>
      <c r="S26">
        <v>0</v>
      </c>
      <c r="T26">
        <v>0</v>
      </c>
      <c r="U26">
        <v>0</v>
      </c>
    </row>
    <row r="27" spans="1:21" x14ac:dyDescent="0.25">
      <c r="A27">
        <v>26</v>
      </c>
      <c r="B27">
        <v>502571959</v>
      </c>
      <c r="C27" s="7" t="s">
        <v>70</v>
      </c>
      <c r="D27">
        <v>8.8688000000000002</v>
      </c>
      <c r="E27">
        <v>2.1057600000000001</v>
      </c>
      <c r="F27">
        <v>8.8688000000000002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3</v>
      </c>
      <c r="N27">
        <v>0</v>
      </c>
      <c r="O27" s="7" t="s">
        <v>28</v>
      </c>
      <c r="P27">
        <v>0</v>
      </c>
      <c r="Q27" s="7" t="s">
        <v>28</v>
      </c>
      <c r="R27">
        <v>0</v>
      </c>
      <c r="S27">
        <v>0</v>
      </c>
      <c r="T27">
        <v>0</v>
      </c>
      <c r="U27">
        <v>0</v>
      </c>
    </row>
    <row r="28" spans="1:21" x14ac:dyDescent="0.25">
      <c r="A28">
        <v>27</v>
      </c>
      <c r="B28">
        <v>131486380</v>
      </c>
      <c r="C28" s="7" t="s">
        <v>70</v>
      </c>
      <c r="D28">
        <v>8.8688000000000002</v>
      </c>
      <c r="E28">
        <v>2.1057600000000001</v>
      </c>
      <c r="F28">
        <v>8.8688000000000002</v>
      </c>
      <c r="G28">
        <v>0</v>
      </c>
      <c r="H28">
        <v>0</v>
      </c>
      <c r="I28">
        <v>0</v>
      </c>
      <c r="J28">
        <v>0</v>
      </c>
      <c r="K28">
        <v>0</v>
      </c>
      <c r="L28">
        <v>1.8895599999999999</v>
      </c>
      <c r="M28">
        <v>3</v>
      </c>
      <c r="N28">
        <v>0</v>
      </c>
      <c r="O28" s="7" t="s">
        <v>28</v>
      </c>
      <c r="P28">
        <v>0</v>
      </c>
      <c r="Q28" s="7" t="s">
        <v>28</v>
      </c>
      <c r="R28">
        <v>0</v>
      </c>
      <c r="S28">
        <v>0</v>
      </c>
      <c r="T28">
        <v>0</v>
      </c>
      <c r="U28">
        <v>0</v>
      </c>
    </row>
    <row r="29" spans="1:21" x14ac:dyDescent="0.25">
      <c r="A29">
        <v>28</v>
      </c>
      <c r="B29">
        <v>811259257</v>
      </c>
      <c r="C29" s="7" t="s">
        <v>70</v>
      </c>
      <c r="D29">
        <v>7.8688000000000002</v>
      </c>
      <c r="E29">
        <v>2.1057600000000001</v>
      </c>
      <c r="F29">
        <v>7.8688000000000002</v>
      </c>
      <c r="G29">
        <v>0</v>
      </c>
      <c r="H29">
        <v>-1.01</v>
      </c>
      <c r="I29">
        <v>0.5</v>
      </c>
      <c r="J29">
        <v>0</v>
      </c>
      <c r="K29">
        <v>0.49</v>
      </c>
      <c r="L29">
        <v>0</v>
      </c>
      <c r="M29">
        <v>3</v>
      </c>
      <c r="N29">
        <v>0</v>
      </c>
      <c r="O29" s="7" t="s">
        <v>28</v>
      </c>
      <c r="P29">
        <v>0.70060299999999998</v>
      </c>
      <c r="Q29" s="7" t="s">
        <v>83</v>
      </c>
      <c r="R29">
        <v>0</v>
      </c>
      <c r="S29">
        <v>0</v>
      </c>
      <c r="T29">
        <v>1</v>
      </c>
      <c r="U29">
        <v>1.7005999999999999</v>
      </c>
    </row>
    <row r="30" spans="1:21" x14ac:dyDescent="0.25">
      <c r="A30">
        <v>29</v>
      </c>
      <c r="B30">
        <v>802722953</v>
      </c>
      <c r="C30" s="7" t="s">
        <v>70</v>
      </c>
      <c r="D30">
        <v>8.6704799999999995</v>
      </c>
      <c r="E30">
        <v>2.0223300000000002</v>
      </c>
      <c r="F30">
        <v>8.8709000000000007</v>
      </c>
      <c r="G30">
        <v>0</v>
      </c>
      <c r="H30">
        <v>1.0021100000000001</v>
      </c>
      <c r="I30">
        <v>0.5</v>
      </c>
      <c r="J30">
        <v>0.99</v>
      </c>
      <c r="K30">
        <v>0</v>
      </c>
      <c r="L30">
        <v>0</v>
      </c>
      <c r="M30">
        <v>3</v>
      </c>
      <c r="N30">
        <v>0</v>
      </c>
      <c r="O30" s="7" t="s">
        <v>28</v>
      </c>
      <c r="P30">
        <v>0</v>
      </c>
      <c r="Q30" s="7" t="s">
        <v>83</v>
      </c>
      <c r="R30">
        <v>0</v>
      </c>
      <c r="S30">
        <v>0</v>
      </c>
      <c r="T30">
        <v>1</v>
      </c>
      <c r="U30">
        <v>5.8999999999999997E-2</v>
      </c>
    </row>
    <row r="31" spans="1:21" x14ac:dyDescent="0.25">
      <c r="A31">
        <v>30</v>
      </c>
      <c r="B31">
        <v>61986554</v>
      </c>
      <c r="C31" s="7" t="s">
        <v>70</v>
      </c>
      <c r="D31">
        <v>8.7407900000000005</v>
      </c>
      <c r="E31">
        <v>2.17577</v>
      </c>
      <c r="F31">
        <v>8.7583599999999997</v>
      </c>
      <c r="G31">
        <v>0</v>
      </c>
      <c r="H31">
        <v>8.78834E-2</v>
      </c>
      <c r="I31">
        <v>0.5</v>
      </c>
      <c r="J31">
        <v>0.5</v>
      </c>
      <c r="K31">
        <v>0</v>
      </c>
      <c r="L31">
        <v>0.76017599999999996</v>
      </c>
      <c r="M31">
        <v>3</v>
      </c>
      <c r="N31">
        <v>0</v>
      </c>
      <c r="O31" s="7" t="s">
        <v>28</v>
      </c>
      <c r="P31">
        <v>0</v>
      </c>
      <c r="Q31" s="7" t="s">
        <v>83</v>
      </c>
      <c r="R31">
        <v>0</v>
      </c>
      <c r="S31">
        <v>0</v>
      </c>
      <c r="T31">
        <v>1</v>
      </c>
      <c r="U31">
        <v>0.5</v>
      </c>
    </row>
    <row r="32" spans="1:21" x14ac:dyDescent="0.25">
      <c r="A32">
        <v>31</v>
      </c>
      <c r="B32">
        <v>238863426</v>
      </c>
      <c r="C32" s="7" t="s">
        <v>70</v>
      </c>
      <c r="D32">
        <v>7.7407899999999996</v>
      </c>
      <c r="E32">
        <v>2.17577</v>
      </c>
      <c r="F32">
        <v>7.7407899999999996</v>
      </c>
      <c r="G32">
        <v>0</v>
      </c>
      <c r="H32">
        <v>-1.01</v>
      </c>
      <c r="I32">
        <v>0.5</v>
      </c>
      <c r="J32">
        <v>0</v>
      </c>
      <c r="K32">
        <v>0.49</v>
      </c>
      <c r="L32">
        <v>0</v>
      </c>
      <c r="M32">
        <v>3</v>
      </c>
      <c r="N32">
        <v>0</v>
      </c>
      <c r="O32" s="7" t="s">
        <v>28</v>
      </c>
      <c r="P32">
        <v>0.18415799999999999</v>
      </c>
      <c r="Q32" s="7" t="s">
        <v>83</v>
      </c>
      <c r="R32">
        <v>0</v>
      </c>
      <c r="S32">
        <v>0</v>
      </c>
      <c r="T32">
        <v>1</v>
      </c>
      <c r="U32">
        <v>1.1841600000000001</v>
      </c>
    </row>
    <row r="33" spans="1:21" x14ac:dyDescent="0.25">
      <c r="A33">
        <v>32</v>
      </c>
      <c r="B33">
        <v>56500805</v>
      </c>
      <c r="C33" s="7" t="s">
        <v>70</v>
      </c>
      <c r="D33">
        <v>8.50915</v>
      </c>
      <c r="E33">
        <v>1.9802599999999999</v>
      </c>
      <c r="F33">
        <v>8.7012499999999999</v>
      </c>
      <c r="G33">
        <v>0</v>
      </c>
      <c r="H33">
        <v>0.96045899999999995</v>
      </c>
      <c r="I33">
        <v>0.5</v>
      </c>
      <c r="J33">
        <v>0.99</v>
      </c>
      <c r="K33">
        <v>0</v>
      </c>
      <c r="L33">
        <v>0</v>
      </c>
      <c r="M33">
        <v>3</v>
      </c>
      <c r="N33">
        <v>0</v>
      </c>
      <c r="O33" s="7" t="s">
        <v>28</v>
      </c>
      <c r="P33">
        <v>0</v>
      </c>
      <c r="Q33" s="7" t="s">
        <v>83</v>
      </c>
      <c r="R33">
        <v>0</v>
      </c>
      <c r="S33">
        <v>0</v>
      </c>
      <c r="T33">
        <v>1</v>
      </c>
      <c r="U33">
        <v>5.8999999999999997E-2</v>
      </c>
    </row>
    <row r="34" spans="1:21" x14ac:dyDescent="0.25">
      <c r="A34">
        <v>33</v>
      </c>
      <c r="B34">
        <v>578502809</v>
      </c>
      <c r="C34" s="7" t="s">
        <v>70</v>
      </c>
      <c r="D34">
        <v>7.50915</v>
      </c>
      <c r="E34">
        <v>2.1097999999999999</v>
      </c>
      <c r="F34">
        <v>7.50915</v>
      </c>
      <c r="G34">
        <v>0</v>
      </c>
      <c r="H34">
        <v>-1.01</v>
      </c>
      <c r="I34">
        <v>0.5</v>
      </c>
      <c r="J34">
        <v>0</v>
      </c>
      <c r="K34">
        <v>0.49</v>
      </c>
      <c r="L34">
        <v>0</v>
      </c>
      <c r="M34">
        <v>3</v>
      </c>
      <c r="N34">
        <v>0</v>
      </c>
      <c r="O34" s="7" t="s">
        <v>28</v>
      </c>
      <c r="P34">
        <v>0</v>
      </c>
      <c r="Q34" s="7" t="s">
        <v>83</v>
      </c>
      <c r="R34">
        <v>0</v>
      </c>
      <c r="S34">
        <v>0</v>
      </c>
      <c r="T34">
        <v>1</v>
      </c>
      <c r="U34">
        <v>0.5</v>
      </c>
    </row>
    <row r="35" spans="1:21" x14ac:dyDescent="0.25">
      <c r="A35">
        <v>34</v>
      </c>
      <c r="B35">
        <v>798280695</v>
      </c>
      <c r="C35" s="7" t="s">
        <v>70</v>
      </c>
      <c r="D35">
        <v>7.6690399999999999</v>
      </c>
      <c r="E35">
        <v>2.1097999999999999</v>
      </c>
      <c r="F35">
        <v>7.7069000000000001</v>
      </c>
      <c r="G35">
        <v>0</v>
      </c>
      <c r="H35">
        <v>0.189299</v>
      </c>
      <c r="I35">
        <v>0.5</v>
      </c>
      <c r="J35">
        <v>0.56770600000000004</v>
      </c>
      <c r="K35">
        <v>0.41384799999999999</v>
      </c>
      <c r="L35">
        <v>0</v>
      </c>
      <c r="M35">
        <v>3</v>
      </c>
      <c r="N35">
        <v>0</v>
      </c>
      <c r="O35" s="7" t="s">
        <v>28</v>
      </c>
      <c r="P35">
        <v>0</v>
      </c>
      <c r="Q35" s="7" t="s">
        <v>83</v>
      </c>
      <c r="R35">
        <v>0</v>
      </c>
      <c r="S35">
        <v>0</v>
      </c>
      <c r="T35">
        <v>1</v>
      </c>
      <c r="U35">
        <v>5.8999999999999997E-2</v>
      </c>
    </row>
    <row r="36" spans="1:21" x14ac:dyDescent="0.25">
      <c r="A36">
        <v>35</v>
      </c>
      <c r="B36">
        <v>963350314</v>
      </c>
      <c r="C36" s="7" t="s">
        <v>70</v>
      </c>
      <c r="D36">
        <v>8.4114599999999999</v>
      </c>
      <c r="E36">
        <v>2.1097999999999999</v>
      </c>
      <c r="F36">
        <v>8.5970700000000004</v>
      </c>
      <c r="G36">
        <v>0</v>
      </c>
      <c r="H36">
        <v>0.92803199999999997</v>
      </c>
      <c r="I36">
        <v>0.5</v>
      </c>
      <c r="J36">
        <v>0.91384799999999999</v>
      </c>
      <c r="K36">
        <v>0</v>
      </c>
      <c r="L36">
        <v>0.74409999999999998</v>
      </c>
      <c r="M36">
        <v>3</v>
      </c>
      <c r="N36">
        <v>0</v>
      </c>
      <c r="O36" s="7" t="s">
        <v>28</v>
      </c>
      <c r="P36">
        <v>0</v>
      </c>
      <c r="Q36" s="7" t="s">
        <v>83</v>
      </c>
      <c r="R36">
        <v>0</v>
      </c>
      <c r="S36">
        <v>0</v>
      </c>
      <c r="T36">
        <v>1</v>
      </c>
      <c r="U36">
        <v>0.12753700000000001</v>
      </c>
    </row>
    <row r="37" spans="1:21" x14ac:dyDescent="0.25">
      <c r="A37">
        <v>36</v>
      </c>
      <c r="B37">
        <v>519322908</v>
      </c>
      <c r="C37" s="7" t="s">
        <v>70</v>
      </c>
      <c r="D37">
        <v>8.5273800000000008</v>
      </c>
      <c r="E37">
        <v>2.2897799999999999</v>
      </c>
      <c r="F37">
        <v>8.5563599999999997</v>
      </c>
      <c r="G37">
        <v>0</v>
      </c>
      <c r="H37">
        <v>0.14489099999999999</v>
      </c>
      <c r="I37">
        <v>0.5</v>
      </c>
      <c r="J37">
        <v>0.5</v>
      </c>
      <c r="K37">
        <v>0</v>
      </c>
      <c r="L37">
        <v>0.69881000000000004</v>
      </c>
      <c r="M37">
        <v>3</v>
      </c>
      <c r="N37">
        <v>0</v>
      </c>
      <c r="O37" s="7" t="s">
        <v>28</v>
      </c>
      <c r="P37">
        <v>0.16969000000000001</v>
      </c>
      <c r="Q37" s="7" t="s">
        <v>83</v>
      </c>
      <c r="R37">
        <v>0</v>
      </c>
      <c r="S37">
        <v>0</v>
      </c>
      <c r="T37">
        <v>1</v>
      </c>
      <c r="U37">
        <v>1.1696899999999999</v>
      </c>
    </row>
    <row r="38" spans="1:21" x14ac:dyDescent="0.25">
      <c r="A38">
        <v>37</v>
      </c>
      <c r="B38">
        <v>26405910</v>
      </c>
      <c r="C38" s="7" t="s">
        <v>70</v>
      </c>
      <c r="D38">
        <v>8.6076200000000007</v>
      </c>
      <c r="E38">
        <v>2.2897799999999999</v>
      </c>
      <c r="F38">
        <v>8.62758</v>
      </c>
      <c r="G38">
        <v>0</v>
      </c>
      <c r="H38">
        <v>9.9815600000000004E-2</v>
      </c>
      <c r="I38">
        <v>0.5</v>
      </c>
      <c r="J38">
        <v>0.480485</v>
      </c>
      <c r="K38">
        <v>1.9124800000000001E-2</v>
      </c>
      <c r="L38">
        <v>0</v>
      </c>
      <c r="M38">
        <v>3</v>
      </c>
      <c r="N38">
        <v>0</v>
      </c>
      <c r="O38" s="7" t="s">
        <v>28</v>
      </c>
      <c r="P38">
        <v>0.12892899999999999</v>
      </c>
      <c r="Q38" s="7" t="s">
        <v>83</v>
      </c>
      <c r="R38">
        <v>0</v>
      </c>
      <c r="S38">
        <v>0</v>
      </c>
      <c r="T38">
        <v>1</v>
      </c>
      <c r="U38">
        <v>1.12893</v>
      </c>
    </row>
    <row r="39" spans="1:21" x14ac:dyDescent="0.25">
      <c r="A39">
        <v>38</v>
      </c>
      <c r="B39">
        <v>789979588</v>
      </c>
      <c r="C39" s="7" t="s">
        <v>70</v>
      </c>
      <c r="D39">
        <v>8.67788</v>
      </c>
      <c r="E39">
        <v>2.0954999999999999</v>
      </c>
      <c r="F39">
        <v>8.6954499999999992</v>
      </c>
      <c r="G39">
        <v>0</v>
      </c>
      <c r="H39">
        <v>8.7826799999999997E-2</v>
      </c>
      <c r="I39">
        <v>0.5</v>
      </c>
      <c r="J39">
        <v>0.51912499999999995</v>
      </c>
      <c r="K39">
        <v>0</v>
      </c>
      <c r="L39">
        <v>2.02386</v>
      </c>
      <c r="M39">
        <v>3</v>
      </c>
      <c r="N39">
        <v>0</v>
      </c>
      <c r="O39" s="7" t="s">
        <v>28</v>
      </c>
      <c r="P39">
        <v>0</v>
      </c>
      <c r="Q39" s="7" t="s">
        <v>83</v>
      </c>
      <c r="R39">
        <v>0</v>
      </c>
      <c r="S39">
        <v>0</v>
      </c>
      <c r="T39">
        <v>1</v>
      </c>
      <c r="U39">
        <v>0.48278799999999999</v>
      </c>
    </row>
    <row r="40" spans="1:21" x14ac:dyDescent="0.25">
      <c r="A40">
        <v>39</v>
      </c>
      <c r="B40">
        <v>258068337</v>
      </c>
      <c r="C40" s="7" t="s">
        <v>70</v>
      </c>
      <c r="D40">
        <v>8.9052900000000008</v>
      </c>
      <c r="E40">
        <v>2.2842600000000002</v>
      </c>
      <c r="F40">
        <v>8.9621399999999998</v>
      </c>
      <c r="G40">
        <v>0</v>
      </c>
      <c r="H40">
        <v>0.28426000000000001</v>
      </c>
      <c r="I40">
        <v>1</v>
      </c>
      <c r="J40">
        <v>1</v>
      </c>
      <c r="K40">
        <v>0</v>
      </c>
      <c r="L40">
        <v>0.102772</v>
      </c>
      <c r="M40">
        <v>3</v>
      </c>
      <c r="N40">
        <v>0</v>
      </c>
      <c r="O40" s="7" t="s">
        <v>28</v>
      </c>
      <c r="P40">
        <v>0.32147300000000001</v>
      </c>
      <c r="Q40" s="7" t="s">
        <v>84</v>
      </c>
      <c r="R40">
        <v>0</v>
      </c>
      <c r="S40">
        <v>0</v>
      </c>
      <c r="T40">
        <v>2</v>
      </c>
      <c r="U40">
        <v>2.3214700000000001</v>
      </c>
    </row>
    <row r="41" spans="1:21" x14ac:dyDescent="0.25">
      <c r="A41">
        <v>40</v>
      </c>
      <c r="B41">
        <v>882293954</v>
      </c>
      <c r="C41" s="7" t="s">
        <v>70</v>
      </c>
      <c r="D41">
        <v>9.0273199999999996</v>
      </c>
      <c r="E41">
        <v>2.2842600000000002</v>
      </c>
      <c r="F41">
        <v>9.0575399999999995</v>
      </c>
      <c r="G41">
        <v>0</v>
      </c>
      <c r="H41">
        <v>0.15109</v>
      </c>
      <c r="I41">
        <v>1</v>
      </c>
      <c r="J41">
        <v>0.94220700000000002</v>
      </c>
      <c r="K41">
        <v>5.6637100000000003E-2</v>
      </c>
      <c r="L41">
        <v>0</v>
      </c>
      <c r="M41">
        <v>3</v>
      </c>
      <c r="N41">
        <v>0</v>
      </c>
      <c r="O41" s="7" t="s">
        <v>28</v>
      </c>
      <c r="P41">
        <v>0</v>
      </c>
      <c r="Q41" s="7" t="s">
        <v>84</v>
      </c>
      <c r="R41">
        <v>0</v>
      </c>
      <c r="S41">
        <v>0</v>
      </c>
      <c r="T41">
        <v>2</v>
      </c>
      <c r="U41">
        <v>1.0925</v>
      </c>
    </row>
    <row r="42" spans="1:21" x14ac:dyDescent="0.25">
      <c r="A42">
        <v>41</v>
      </c>
      <c r="B42">
        <v>696091386</v>
      </c>
      <c r="C42" s="7" t="s">
        <v>70</v>
      </c>
      <c r="D42">
        <v>9.2445199999999996</v>
      </c>
      <c r="E42">
        <v>2.2842600000000002</v>
      </c>
      <c r="F42">
        <v>9.2988199999999992</v>
      </c>
      <c r="G42">
        <v>0</v>
      </c>
      <c r="H42">
        <v>0.27150400000000002</v>
      </c>
      <c r="I42">
        <v>0.5</v>
      </c>
      <c r="J42">
        <v>0.55663700000000005</v>
      </c>
      <c r="K42">
        <v>0</v>
      </c>
      <c r="L42">
        <v>0</v>
      </c>
      <c r="M42">
        <v>3</v>
      </c>
      <c r="N42">
        <v>0</v>
      </c>
      <c r="O42" s="7" t="s">
        <v>28</v>
      </c>
      <c r="P42">
        <v>0</v>
      </c>
      <c r="Q42" s="7" t="s">
        <v>85</v>
      </c>
      <c r="R42">
        <v>0</v>
      </c>
      <c r="S42">
        <v>0</v>
      </c>
      <c r="T42">
        <v>1</v>
      </c>
      <c r="U42">
        <v>0.94902699999999995</v>
      </c>
    </row>
    <row r="43" spans="1:21" x14ac:dyDescent="0.25">
      <c r="A43">
        <v>42</v>
      </c>
      <c r="B43">
        <v>139397762</v>
      </c>
      <c r="C43" s="7" t="s">
        <v>70</v>
      </c>
      <c r="D43">
        <v>9.3733900000000006</v>
      </c>
      <c r="E43">
        <v>2.3221799999999999</v>
      </c>
      <c r="F43">
        <v>9.4056099999999994</v>
      </c>
      <c r="G43">
        <v>0</v>
      </c>
      <c r="H43">
        <v>0.16109000000000001</v>
      </c>
      <c r="I43">
        <v>0.5</v>
      </c>
      <c r="J43">
        <v>0.5</v>
      </c>
      <c r="K43">
        <v>0</v>
      </c>
      <c r="L43">
        <v>1.0633699999999999</v>
      </c>
      <c r="M43">
        <v>3</v>
      </c>
      <c r="N43">
        <v>0</v>
      </c>
      <c r="O43" s="7" t="s">
        <v>28</v>
      </c>
      <c r="P43">
        <v>0</v>
      </c>
      <c r="Q43" s="7" t="s">
        <v>85</v>
      </c>
      <c r="R43">
        <v>0</v>
      </c>
      <c r="S43">
        <v>0</v>
      </c>
      <c r="T43">
        <v>1</v>
      </c>
      <c r="U43">
        <v>0.5</v>
      </c>
    </row>
    <row r="44" spans="1:21" x14ac:dyDescent="0.25">
      <c r="A44">
        <v>43</v>
      </c>
      <c r="B44">
        <v>404803651</v>
      </c>
      <c r="C44" s="7" t="s">
        <v>70</v>
      </c>
      <c r="D44">
        <v>9.5671599999999994</v>
      </c>
      <c r="E44">
        <v>2.4844300000000001</v>
      </c>
      <c r="F44">
        <v>9.6156100000000002</v>
      </c>
      <c r="G44">
        <v>0</v>
      </c>
      <c r="H44">
        <v>0.24221300000000001</v>
      </c>
      <c r="I44">
        <v>0.5</v>
      </c>
      <c r="J44">
        <v>0.5</v>
      </c>
      <c r="K44">
        <v>0</v>
      </c>
      <c r="L44">
        <v>0.24837600000000001</v>
      </c>
      <c r="M44">
        <v>3</v>
      </c>
      <c r="N44">
        <v>0</v>
      </c>
      <c r="O44" s="7" t="s">
        <v>28</v>
      </c>
      <c r="P44">
        <v>0.45702900000000002</v>
      </c>
      <c r="Q44" s="7" t="s">
        <v>85</v>
      </c>
      <c r="R44">
        <v>0</v>
      </c>
      <c r="S44">
        <v>0</v>
      </c>
      <c r="T44">
        <v>1</v>
      </c>
      <c r="U44">
        <v>1.45703</v>
      </c>
    </row>
    <row r="45" spans="1:21" x14ac:dyDescent="0.25">
      <c r="A45">
        <v>44</v>
      </c>
      <c r="B45">
        <v>711004912</v>
      </c>
      <c r="C45" s="7" t="s">
        <v>70</v>
      </c>
      <c r="D45">
        <v>9.7609300000000001</v>
      </c>
      <c r="E45">
        <v>2.4844300000000001</v>
      </c>
      <c r="F45">
        <v>9.8093800000000009</v>
      </c>
      <c r="G45">
        <v>0</v>
      </c>
      <c r="H45">
        <v>0.24221300000000001</v>
      </c>
      <c r="I45">
        <v>0.5</v>
      </c>
      <c r="J45">
        <v>0.5</v>
      </c>
      <c r="K45">
        <v>0</v>
      </c>
      <c r="L45">
        <v>0</v>
      </c>
      <c r="M45">
        <v>3</v>
      </c>
      <c r="N45">
        <v>0</v>
      </c>
      <c r="O45" s="7" t="s">
        <v>28</v>
      </c>
      <c r="P45">
        <v>0</v>
      </c>
      <c r="Q45" s="7" t="s">
        <v>85</v>
      </c>
      <c r="R45">
        <v>0</v>
      </c>
      <c r="S45">
        <v>0</v>
      </c>
      <c r="T45">
        <v>1</v>
      </c>
      <c r="U45">
        <v>0.72353900000000004</v>
      </c>
    </row>
    <row r="46" spans="1:21" x14ac:dyDescent="0.25">
      <c r="A46">
        <v>45</v>
      </c>
      <c r="B46">
        <v>213932851</v>
      </c>
      <c r="C46" s="7" t="s">
        <v>70</v>
      </c>
      <c r="D46">
        <v>8.7609300000000001</v>
      </c>
      <c r="E46">
        <v>2.4844300000000001</v>
      </c>
      <c r="F46">
        <v>8.7609300000000001</v>
      </c>
      <c r="G46">
        <v>0</v>
      </c>
      <c r="H46">
        <v>-1.01</v>
      </c>
      <c r="I46">
        <v>0.5</v>
      </c>
      <c r="J46">
        <v>0</v>
      </c>
      <c r="K46">
        <v>0.49</v>
      </c>
      <c r="L46">
        <v>0</v>
      </c>
      <c r="M46">
        <v>3</v>
      </c>
      <c r="N46">
        <v>0</v>
      </c>
      <c r="O46" s="7" t="s">
        <v>28</v>
      </c>
      <c r="P46">
        <v>0</v>
      </c>
      <c r="Q46" s="7" t="s">
        <v>85</v>
      </c>
      <c r="R46">
        <v>0</v>
      </c>
      <c r="S46">
        <v>0</v>
      </c>
      <c r="T46">
        <v>1</v>
      </c>
      <c r="U46">
        <v>0.5</v>
      </c>
    </row>
    <row r="47" spans="1:21" x14ac:dyDescent="0.25">
      <c r="A47">
        <v>46</v>
      </c>
      <c r="B47">
        <v>124159291</v>
      </c>
      <c r="C47" s="7" t="s">
        <v>70</v>
      </c>
      <c r="D47">
        <v>9.8505500000000001</v>
      </c>
      <c r="E47">
        <v>2.3858700000000002</v>
      </c>
      <c r="F47">
        <v>10.1229</v>
      </c>
      <c r="G47">
        <v>0</v>
      </c>
      <c r="H47">
        <v>1.36202</v>
      </c>
      <c r="I47">
        <v>0.5</v>
      </c>
      <c r="J47">
        <v>0.99</v>
      </c>
      <c r="K47">
        <v>0</v>
      </c>
      <c r="L47">
        <v>0</v>
      </c>
      <c r="M47">
        <v>3</v>
      </c>
      <c r="N47">
        <v>0</v>
      </c>
      <c r="O47" s="7" t="s">
        <v>28</v>
      </c>
      <c r="P47">
        <v>0</v>
      </c>
      <c r="Q47" s="7" t="s">
        <v>85</v>
      </c>
      <c r="R47">
        <v>0</v>
      </c>
      <c r="S47">
        <v>0</v>
      </c>
      <c r="T47">
        <v>1</v>
      </c>
      <c r="U47">
        <v>5.8999999999999997E-2</v>
      </c>
    </row>
    <row r="48" spans="1:21" x14ac:dyDescent="0.25">
      <c r="A48">
        <v>47</v>
      </c>
      <c r="B48">
        <v>579575343</v>
      </c>
      <c r="C48" s="7" t="s">
        <v>70</v>
      </c>
      <c r="D48">
        <v>10.007300000000001</v>
      </c>
      <c r="E48">
        <v>2.39181</v>
      </c>
      <c r="F48">
        <v>10.0465</v>
      </c>
      <c r="G48">
        <v>0</v>
      </c>
      <c r="H48">
        <v>0.195905</v>
      </c>
      <c r="I48">
        <v>0.5</v>
      </c>
      <c r="J48">
        <v>0.5</v>
      </c>
      <c r="K48">
        <v>0</v>
      </c>
      <c r="L48">
        <v>0</v>
      </c>
      <c r="M48">
        <v>3</v>
      </c>
      <c r="N48">
        <v>0</v>
      </c>
      <c r="O48" s="7" t="s">
        <v>28</v>
      </c>
      <c r="P48">
        <v>0</v>
      </c>
      <c r="Q48" s="7" t="s">
        <v>85</v>
      </c>
      <c r="R48">
        <v>0</v>
      </c>
      <c r="S48">
        <v>0</v>
      </c>
      <c r="T48">
        <v>1</v>
      </c>
      <c r="U48">
        <v>0.5</v>
      </c>
    </row>
    <row r="49" spans="1:21" x14ac:dyDescent="0.25">
      <c r="A49">
        <v>48</v>
      </c>
      <c r="B49">
        <v>116845730</v>
      </c>
      <c r="C49" s="7" t="s">
        <v>70</v>
      </c>
      <c r="D49">
        <v>9.0072700000000001</v>
      </c>
      <c r="E49">
        <v>2.5188999999999999</v>
      </c>
      <c r="F49">
        <v>9.0072700000000001</v>
      </c>
      <c r="G49">
        <v>0</v>
      </c>
      <c r="H49">
        <v>-1.01</v>
      </c>
      <c r="I49">
        <v>0.5</v>
      </c>
      <c r="J49">
        <v>0</v>
      </c>
      <c r="K49">
        <v>0.49</v>
      </c>
      <c r="L49">
        <v>0</v>
      </c>
      <c r="M49">
        <v>3</v>
      </c>
      <c r="N49">
        <v>0</v>
      </c>
      <c r="O49" s="7" t="s">
        <v>28</v>
      </c>
      <c r="P49">
        <v>0</v>
      </c>
      <c r="Q49" s="7" t="s">
        <v>85</v>
      </c>
      <c r="R49">
        <v>0</v>
      </c>
      <c r="S49">
        <v>0</v>
      </c>
      <c r="T49">
        <v>1</v>
      </c>
      <c r="U49">
        <v>0.5</v>
      </c>
    </row>
    <row r="50" spans="1:21" x14ac:dyDescent="0.25">
      <c r="A50">
        <v>49</v>
      </c>
      <c r="B50">
        <v>524959716</v>
      </c>
      <c r="C50" s="7" t="s">
        <v>70</v>
      </c>
      <c r="D50">
        <v>10.0061</v>
      </c>
      <c r="E50">
        <v>2.27122</v>
      </c>
      <c r="F50">
        <v>10.255800000000001</v>
      </c>
      <c r="G50">
        <v>0</v>
      </c>
      <c r="H50">
        <v>1.24851</v>
      </c>
      <c r="I50">
        <v>0.5</v>
      </c>
      <c r="J50">
        <v>0.99</v>
      </c>
      <c r="K50">
        <v>0</v>
      </c>
      <c r="L50">
        <v>0</v>
      </c>
      <c r="M50">
        <v>3</v>
      </c>
      <c r="N50">
        <v>0</v>
      </c>
      <c r="O50" s="7" t="s">
        <v>28</v>
      </c>
      <c r="P50">
        <v>0</v>
      </c>
      <c r="Q50" s="7" t="s">
        <v>85</v>
      </c>
      <c r="R50">
        <v>0</v>
      </c>
      <c r="S50">
        <v>0</v>
      </c>
      <c r="T50">
        <v>1</v>
      </c>
      <c r="U50">
        <v>5.8999999999999997E-2</v>
      </c>
    </row>
    <row r="51" spans="1:21" x14ac:dyDescent="0.25">
      <c r="A51">
        <v>50</v>
      </c>
      <c r="B51">
        <v>757509101</v>
      </c>
      <c r="C51" s="7" t="s">
        <v>70</v>
      </c>
      <c r="D51">
        <v>10.183</v>
      </c>
      <c r="E51">
        <v>2.4422000000000001</v>
      </c>
      <c r="F51">
        <v>10.2272</v>
      </c>
      <c r="G51">
        <v>0</v>
      </c>
      <c r="H51">
        <v>0.22110099999999999</v>
      </c>
      <c r="I51">
        <v>0.5</v>
      </c>
      <c r="J51">
        <v>0.5</v>
      </c>
      <c r="K51">
        <v>0</v>
      </c>
      <c r="L51">
        <v>0</v>
      </c>
      <c r="M51">
        <v>3</v>
      </c>
      <c r="N51">
        <v>0</v>
      </c>
      <c r="O51" s="7" t="s">
        <v>28</v>
      </c>
      <c r="P51">
        <v>0</v>
      </c>
      <c r="Q51" s="7" t="s">
        <v>85</v>
      </c>
      <c r="R51">
        <v>0</v>
      </c>
      <c r="S51">
        <v>0</v>
      </c>
      <c r="T51">
        <v>1</v>
      </c>
      <c r="U51">
        <v>0.5</v>
      </c>
    </row>
    <row r="52" spans="1:21" x14ac:dyDescent="0.25">
      <c r="A52">
        <v>51</v>
      </c>
      <c r="B52">
        <v>752074527</v>
      </c>
      <c r="C52" s="7" t="s">
        <v>70</v>
      </c>
      <c r="D52">
        <v>10.3802</v>
      </c>
      <c r="E52">
        <v>2.4930400000000001</v>
      </c>
      <c r="F52">
        <v>10.429500000000001</v>
      </c>
      <c r="G52">
        <v>0</v>
      </c>
      <c r="H52">
        <v>0.24651899999999999</v>
      </c>
      <c r="I52">
        <v>0.5</v>
      </c>
      <c r="J52">
        <v>0.5</v>
      </c>
      <c r="K52">
        <v>0</v>
      </c>
      <c r="L52">
        <v>1.42279</v>
      </c>
      <c r="M52">
        <v>3</v>
      </c>
      <c r="N52">
        <v>0</v>
      </c>
      <c r="O52" s="7" t="s">
        <v>28</v>
      </c>
      <c r="P52">
        <v>0</v>
      </c>
      <c r="Q52" s="7" t="s">
        <v>85</v>
      </c>
      <c r="R52">
        <v>0</v>
      </c>
      <c r="S52">
        <v>0</v>
      </c>
      <c r="T52">
        <v>1</v>
      </c>
      <c r="U52">
        <v>0.5</v>
      </c>
    </row>
    <row r="53" spans="1:21" x14ac:dyDescent="0.25">
      <c r="A53">
        <v>52</v>
      </c>
      <c r="B53">
        <v>731272528</v>
      </c>
      <c r="C53" s="7" t="s">
        <v>70</v>
      </c>
      <c r="D53">
        <v>9.3801799999999993</v>
      </c>
      <c r="E53">
        <v>2.6391399999999998</v>
      </c>
      <c r="F53">
        <v>9.3801799999999993</v>
      </c>
      <c r="G53">
        <v>0</v>
      </c>
      <c r="H53">
        <v>-1.01</v>
      </c>
      <c r="I53">
        <v>0.5</v>
      </c>
      <c r="J53">
        <v>0</v>
      </c>
      <c r="K53">
        <v>0.49</v>
      </c>
      <c r="L53">
        <v>0</v>
      </c>
      <c r="M53">
        <v>3</v>
      </c>
      <c r="N53">
        <v>0</v>
      </c>
      <c r="O53" s="7" t="s">
        <v>28</v>
      </c>
      <c r="P53">
        <v>0.78051499999999996</v>
      </c>
      <c r="Q53" s="7" t="s">
        <v>85</v>
      </c>
      <c r="R53">
        <v>0</v>
      </c>
      <c r="S53">
        <v>0</v>
      </c>
      <c r="T53">
        <v>1</v>
      </c>
      <c r="U53">
        <v>1.78051</v>
      </c>
    </row>
    <row r="54" spans="1:21" x14ac:dyDescent="0.25">
      <c r="A54">
        <v>53</v>
      </c>
      <c r="B54">
        <v>936623480</v>
      </c>
      <c r="C54" s="7" t="s">
        <v>70</v>
      </c>
      <c r="D54">
        <v>9.2453599999999998</v>
      </c>
      <c r="E54">
        <v>2.4008600000000002</v>
      </c>
      <c r="F54">
        <v>9.2453599999999998</v>
      </c>
      <c r="G54">
        <v>0</v>
      </c>
      <c r="H54">
        <v>-0.14741000000000001</v>
      </c>
      <c r="I54">
        <v>0.5</v>
      </c>
      <c r="J54">
        <v>0.36036299999999999</v>
      </c>
      <c r="K54">
        <v>0.61704400000000004</v>
      </c>
      <c r="L54">
        <v>0</v>
      </c>
      <c r="M54">
        <v>3</v>
      </c>
      <c r="N54">
        <v>0</v>
      </c>
      <c r="O54" s="7" t="s">
        <v>28</v>
      </c>
      <c r="P54">
        <v>0</v>
      </c>
      <c r="Q54" s="7" t="s">
        <v>85</v>
      </c>
      <c r="R54">
        <v>0</v>
      </c>
      <c r="S54">
        <v>0</v>
      </c>
      <c r="T54">
        <v>1</v>
      </c>
      <c r="U54">
        <v>5.8999999999999997E-2</v>
      </c>
    </row>
    <row r="55" spans="1:21" x14ac:dyDescent="0.25">
      <c r="A55">
        <v>54</v>
      </c>
      <c r="B55">
        <v>695622944</v>
      </c>
      <c r="C55" s="7" t="s">
        <v>70</v>
      </c>
      <c r="D55">
        <v>9.2453599999999998</v>
      </c>
      <c r="E55">
        <v>2.4008600000000002</v>
      </c>
      <c r="F55">
        <v>9.2453599999999998</v>
      </c>
      <c r="G55">
        <v>0</v>
      </c>
      <c r="H55">
        <v>-1.23409E-2</v>
      </c>
      <c r="I55">
        <v>0</v>
      </c>
      <c r="J55">
        <v>0</v>
      </c>
      <c r="K55">
        <v>0.60470299999999999</v>
      </c>
      <c r="L55">
        <v>0</v>
      </c>
      <c r="M55">
        <v>3</v>
      </c>
      <c r="N55">
        <v>0</v>
      </c>
      <c r="O55" s="7" t="s">
        <v>28</v>
      </c>
      <c r="P55">
        <v>0</v>
      </c>
      <c r="Q55" s="7" t="s">
        <v>28</v>
      </c>
      <c r="R55">
        <v>0</v>
      </c>
      <c r="S55">
        <v>0</v>
      </c>
      <c r="T55">
        <v>0</v>
      </c>
      <c r="U55">
        <v>0</v>
      </c>
    </row>
    <row r="56" spans="1:21" x14ac:dyDescent="0.25">
      <c r="A56">
        <v>55</v>
      </c>
      <c r="B56">
        <v>820378914</v>
      </c>
      <c r="C56" s="7" t="s">
        <v>70</v>
      </c>
      <c r="D56">
        <v>10.4068</v>
      </c>
      <c r="E56">
        <v>2.4008600000000002</v>
      </c>
      <c r="F56">
        <v>10.6972</v>
      </c>
      <c r="G56">
        <v>0</v>
      </c>
      <c r="H56">
        <v>1.45181</v>
      </c>
      <c r="I56">
        <v>0</v>
      </c>
      <c r="J56">
        <v>0.60470299999999999</v>
      </c>
      <c r="K56">
        <v>0</v>
      </c>
      <c r="L56">
        <v>0.17407</v>
      </c>
      <c r="M56">
        <v>3</v>
      </c>
      <c r="N56">
        <v>0</v>
      </c>
      <c r="O56" s="7" t="s">
        <v>28</v>
      </c>
      <c r="P56">
        <v>0</v>
      </c>
      <c r="Q56" s="7" t="s">
        <v>28</v>
      </c>
      <c r="R56">
        <v>0</v>
      </c>
      <c r="S56">
        <v>0</v>
      </c>
      <c r="T56">
        <v>0</v>
      </c>
      <c r="U56">
        <v>0</v>
      </c>
    </row>
    <row r="57" spans="1:21" x14ac:dyDescent="0.25">
      <c r="A57">
        <v>56</v>
      </c>
      <c r="B57">
        <v>49883617</v>
      </c>
      <c r="C57" s="7" t="s">
        <v>70</v>
      </c>
      <c r="D57">
        <v>10.4068</v>
      </c>
      <c r="E57">
        <v>2.4305500000000002</v>
      </c>
      <c r="F57">
        <v>10.4068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3</v>
      </c>
      <c r="N57">
        <v>0</v>
      </c>
      <c r="O57" s="7" t="s">
        <v>28</v>
      </c>
      <c r="P57">
        <v>0.156663</v>
      </c>
      <c r="Q57" s="7" t="s">
        <v>28</v>
      </c>
      <c r="R57">
        <v>0</v>
      </c>
      <c r="S57">
        <v>0</v>
      </c>
      <c r="T57">
        <v>0</v>
      </c>
      <c r="U57">
        <v>0.156663</v>
      </c>
    </row>
    <row r="58" spans="1:21" x14ac:dyDescent="0.25">
      <c r="A58">
        <v>57</v>
      </c>
      <c r="B58">
        <v>327204046</v>
      </c>
      <c r="C58" s="7" t="s">
        <v>70</v>
      </c>
      <c r="D58">
        <v>10.4068</v>
      </c>
      <c r="E58">
        <v>2.45966</v>
      </c>
      <c r="F58">
        <v>10.4068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3</v>
      </c>
      <c r="N58">
        <v>0</v>
      </c>
      <c r="O58" s="7" t="s">
        <v>28</v>
      </c>
      <c r="P58">
        <v>0</v>
      </c>
      <c r="Q58" s="7" t="s">
        <v>28</v>
      </c>
      <c r="R58">
        <v>0</v>
      </c>
      <c r="S58">
        <v>0</v>
      </c>
      <c r="T58">
        <v>0</v>
      </c>
      <c r="U58">
        <v>0</v>
      </c>
    </row>
    <row r="59" spans="1:21" x14ac:dyDescent="0.25">
      <c r="A59">
        <v>58</v>
      </c>
      <c r="B59">
        <v>737990378</v>
      </c>
      <c r="C59" s="7" t="s">
        <v>70</v>
      </c>
      <c r="D59">
        <v>10.4068</v>
      </c>
      <c r="E59">
        <v>2.6405799999999999</v>
      </c>
      <c r="F59">
        <v>10.4068</v>
      </c>
      <c r="G59">
        <v>0</v>
      </c>
      <c r="H59">
        <v>0</v>
      </c>
      <c r="I59">
        <v>0</v>
      </c>
      <c r="J59">
        <v>0</v>
      </c>
      <c r="K59">
        <v>0</v>
      </c>
      <c r="L59">
        <v>1.1476200000000001</v>
      </c>
      <c r="M59">
        <v>3</v>
      </c>
      <c r="N59">
        <v>0</v>
      </c>
      <c r="O59" s="7" t="s">
        <v>28</v>
      </c>
      <c r="P59">
        <v>0</v>
      </c>
      <c r="Q59" s="7" t="s">
        <v>28</v>
      </c>
      <c r="R59">
        <v>0</v>
      </c>
      <c r="S59">
        <v>0</v>
      </c>
      <c r="T59">
        <v>0</v>
      </c>
      <c r="U59">
        <v>0</v>
      </c>
    </row>
    <row r="60" spans="1:21" x14ac:dyDescent="0.25">
      <c r="A60">
        <v>59</v>
      </c>
      <c r="B60">
        <v>605582596</v>
      </c>
      <c r="C60" s="7" t="s">
        <v>70</v>
      </c>
      <c r="D60">
        <v>10.663</v>
      </c>
      <c r="E60">
        <v>2.6405799999999999</v>
      </c>
      <c r="F60">
        <v>10.7271</v>
      </c>
      <c r="G60">
        <v>0</v>
      </c>
      <c r="H60">
        <v>0.32029200000000002</v>
      </c>
      <c r="I60">
        <v>0.5</v>
      </c>
      <c r="J60">
        <v>0.5</v>
      </c>
      <c r="K60">
        <v>0</v>
      </c>
      <c r="L60">
        <v>2.5947499999999999</v>
      </c>
      <c r="M60">
        <v>3</v>
      </c>
      <c r="N60">
        <v>0</v>
      </c>
      <c r="O60" s="7" t="s">
        <v>28</v>
      </c>
      <c r="P60">
        <v>3.2854399999999999E-2</v>
      </c>
      <c r="Q60" s="7" t="s">
        <v>86</v>
      </c>
      <c r="R60">
        <v>0</v>
      </c>
      <c r="S60">
        <v>0</v>
      </c>
      <c r="T60">
        <v>1</v>
      </c>
      <c r="U60">
        <v>1.03285</v>
      </c>
    </row>
    <row r="61" spans="1:21" x14ac:dyDescent="0.25">
      <c r="A61">
        <v>60</v>
      </c>
      <c r="B61">
        <v>577084075</v>
      </c>
      <c r="C61" s="7" t="s">
        <v>70</v>
      </c>
      <c r="D61">
        <v>10.2796</v>
      </c>
      <c r="E61">
        <v>2.6914500000000001</v>
      </c>
      <c r="F61">
        <v>10.2796</v>
      </c>
      <c r="G61">
        <v>0</v>
      </c>
      <c r="H61">
        <v>-0.391426</v>
      </c>
      <c r="I61">
        <v>1</v>
      </c>
      <c r="J61">
        <v>0.60062800000000005</v>
      </c>
      <c r="K61">
        <v>0.39138400000000001</v>
      </c>
      <c r="L61">
        <v>0</v>
      </c>
      <c r="M61">
        <v>3</v>
      </c>
      <c r="N61">
        <v>0</v>
      </c>
      <c r="O61" s="7" t="s">
        <v>28</v>
      </c>
      <c r="P61">
        <v>0.83528000000000002</v>
      </c>
      <c r="Q61" s="7" t="s">
        <v>87</v>
      </c>
      <c r="R61">
        <v>0</v>
      </c>
      <c r="S61">
        <v>0</v>
      </c>
      <c r="T61">
        <v>2</v>
      </c>
      <c r="U61">
        <v>2.83528</v>
      </c>
    </row>
    <row r="62" spans="1:21" x14ac:dyDescent="0.25">
      <c r="A62">
        <v>61</v>
      </c>
      <c r="B62">
        <v>578649092</v>
      </c>
      <c r="C62" s="7" t="s">
        <v>70</v>
      </c>
      <c r="D62">
        <v>10.5367</v>
      </c>
      <c r="E62">
        <v>2.5061499999999999</v>
      </c>
      <c r="F62">
        <v>10.5991</v>
      </c>
      <c r="G62">
        <v>0</v>
      </c>
      <c r="H62">
        <v>0.31223000000000001</v>
      </c>
      <c r="I62">
        <v>0.5</v>
      </c>
      <c r="J62">
        <v>0.52651499999999996</v>
      </c>
      <c r="K62">
        <v>0.357572</v>
      </c>
      <c r="L62">
        <v>0</v>
      </c>
      <c r="M62">
        <v>3</v>
      </c>
      <c r="N62">
        <v>0</v>
      </c>
      <c r="O62" s="7" t="s">
        <v>28</v>
      </c>
      <c r="P62">
        <v>0</v>
      </c>
      <c r="Q62" s="7" t="s">
        <v>86</v>
      </c>
      <c r="R62">
        <v>0</v>
      </c>
      <c r="S62">
        <v>0</v>
      </c>
      <c r="T62">
        <v>1</v>
      </c>
      <c r="U62">
        <v>0.64775400000000005</v>
      </c>
    </row>
    <row r="63" spans="1:21" x14ac:dyDescent="0.25">
      <c r="A63">
        <v>62</v>
      </c>
      <c r="B63">
        <v>454409803</v>
      </c>
      <c r="C63" s="7" t="s">
        <v>70</v>
      </c>
      <c r="D63">
        <v>11.456</v>
      </c>
      <c r="E63">
        <v>2.5061499999999999</v>
      </c>
      <c r="F63">
        <v>11.6859</v>
      </c>
      <c r="G63">
        <v>0</v>
      </c>
      <c r="H63">
        <v>1.1492100000000001</v>
      </c>
      <c r="I63">
        <v>0.5</v>
      </c>
      <c r="J63">
        <v>0.857572</v>
      </c>
      <c r="K63">
        <v>0</v>
      </c>
      <c r="L63">
        <v>1.0190399999999999</v>
      </c>
      <c r="M63">
        <v>3</v>
      </c>
      <c r="N63">
        <v>0</v>
      </c>
      <c r="O63" s="7" t="s">
        <v>28</v>
      </c>
      <c r="P63">
        <v>0</v>
      </c>
      <c r="Q63" s="7" t="s">
        <v>86</v>
      </c>
      <c r="R63">
        <v>0</v>
      </c>
      <c r="S63">
        <v>0</v>
      </c>
      <c r="T63">
        <v>1</v>
      </c>
      <c r="U63">
        <v>0.17818500000000001</v>
      </c>
    </row>
    <row r="64" spans="1:21" x14ac:dyDescent="0.25">
      <c r="A64">
        <v>63</v>
      </c>
      <c r="B64">
        <v>9834243</v>
      </c>
      <c r="C64" s="7" t="s">
        <v>70</v>
      </c>
      <c r="D64">
        <v>11.7148</v>
      </c>
      <c r="E64">
        <v>2.64697</v>
      </c>
      <c r="F64">
        <v>11.779500000000001</v>
      </c>
      <c r="G64">
        <v>0</v>
      </c>
      <c r="H64">
        <v>0.32348500000000002</v>
      </c>
      <c r="I64">
        <v>0.5</v>
      </c>
      <c r="J64">
        <v>0.5</v>
      </c>
      <c r="K64">
        <v>0</v>
      </c>
      <c r="L64">
        <v>0</v>
      </c>
      <c r="M64">
        <v>3</v>
      </c>
      <c r="N64">
        <v>0</v>
      </c>
      <c r="O64" s="7" t="s">
        <v>28</v>
      </c>
      <c r="P64">
        <v>0.41713899999999998</v>
      </c>
      <c r="Q64" s="7" t="s">
        <v>86</v>
      </c>
      <c r="R64">
        <v>0</v>
      </c>
      <c r="S64">
        <v>0</v>
      </c>
      <c r="T64">
        <v>1</v>
      </c>
      <c r="U64">
        <v>1.4171400000000001</v>
      </c>
    </row>
    <row r="65" spans="1:21" x14ac:dyDescent="0.25">
      <c r="A65">
        <v>64</v>
      </c>
      <c r="B65">
        <v>481639408</v>
      </c>
      <c r="C65" s="7" t="s">
        <v>70</v>
      </c>
      <c r="D65">
        <v>12.0152</v>
      </c>
      <c r="E65">
        <v>2.75082</v>
      </c>
      <c r="F65">
        <v>12.090199999999999</v>
      </c>
      <c r="G65">
        <v>0</v>
      </c>
      <c r="H65">
        <v>0.37541099999999999</v>
      </c>
      <c r="I65">
        <v>0.5</v>
      </c>
      <c r="J65">
        <v>0.5</v>
      </c>
      <c r="K65">
        <v>0</v>
      </c>
      <c r="L65">
        <v>0</v>
      </c>
      <c r="M65">
        <v>3</v>
      </c>
      <c r="N65">
        <v>0</v>
      </c>
      <c r="O65" s="7" t="s">
        <v>28</v>
      </c>
      <c r="P65">
        <v>0</v>
      </c>
      <c r="Q65" s="7" t="s">
        <v>86</v>
      </c>
      <c r="R65">
        <v>0</v>
      </c>
      <c r="S65">
        <v>0</v>
      </c>
      <c r="T65">
        <v>1</v>
      </c>
      <c r="U65">
        <v>0.5</v>
      </c>
    </row>
    <row r="66" spans="1:21" x14ac:dyDescent="0.25">
      <c r="A66">
        <v>65</v>
      </c>
      <c r="B66">
        <v>64469925</v>
      </c>
      <c r="C66" s="7" t="s">
        <v>70</v>
      </c>
      <c r="D66">
        <v>12.035</v>
      </c>
      <c r="E66">
        <v>2.75082</v>
      </c>
      <c r="F66">
        <v>12.039300000000001</v>
      </c>
      <c r="G66">
        <v>0</v>
      </c>
      <c r="H66">
        <v>2.16013E-2</v>
      </c>
      <c r="I66">
        <v>0.5</v>
      </c>
      <c r="J66">
        <v>0.372309</v>
      </c>
      <c r="K66">
        <v>0.125137</v>
      </c>
      <c r="L66">
        <v>0</v>
      </c>
      <c r="M66">
        <v>3</v>
      </c>
      <c r="N66">
        <v>0</v>
      </c>
      <c r="O66" s="7" t="s">
        <v>28</v>
      </c>
      <c r="P66">
        <v>0</v>
      </c>
      <c r="Q66" s="7" t="s">
        <v>86</v>
      </c>
      <c r="R66">
        <v>0</v>
      </c>
      <c r="S66">
        <v>0</v>
      </c>
      <c r="T66">
        <v>1</v>
      </c>
      <c r="U66">
        <v>0.5</v>
      </c>
    </row>
    <row r="67" spans="1:21" x14ac:dyDescent="0.25">
      <c r="A67">
        <v>66</v>
      </c>
      <c r="B67">
        <v>576255941</v>
      </c>
      <c r="C67" s="7" t="s">
        <v>70</v>
      </c>
      <c r="D67">
        <v>12.423400000000001</v>
      </c>
      <c r="E67">
        <v>2.6844199999999998</v>
      </c>
      <c r="F67">
        <v>12.520200000000001</v>
      </c>
      <c r="G67">
        <v>0</v>
      </c>
      <c r="H67">
        <v>0.48374200000000001</v>
      </c>
      <c r="I67">
        <v>0.5</v>
      </c>
      <c r="J67">
        <v>0.55325899999999995</v>
      </c>
      <c r="K67">
        <v>7.0440799999999998E-2</v>
      </c>
      <c r="L67">
        <v>0</v>
      </c>
      <c r="M67">
        <v>3</v>
      </c>
      <c r="N67">
        <v>0</v>
      </c>
      <c r="O67" s="7" t="s">
        <v>28</v>
      </c>
      <c r="P67">
        <v>0</v>
      </c>
      <c r="Q67" s="7" t="s">
        <v>86</v>
      </c>
      <c r="R67">
        <v>0</v>
      </c>
      <c r="S67">
        <v>0</v>
      </c>
      <c r="T67">
        <v>1</v>
      </c>
      <c r="U67">
        <v>0.387376</v>
      </c>
    </row>
    <row r="68" spans="1:21" x14ac:dyDescent="0.25">
      <c r="A68">
        <v>67</v>
      </c>
      <c r="B68">
        <v>97464052</v>
      </c>
      <c r="C68" s="7" t="s">
        <v>70</v>
      </c>
      <c r="D68">
        <v>12.8485</v>
      </c>
      <c r="E68">
        <v>2.6844199999999998</v>
      </c>
      <c r="F68">
        <v>12.954700000000001</v>
      </c>
      <c r="G68">
        <v>0</v>
      </c>
      <c r="H68">
        <v>0.53130299999999997</v>
      </c>
      <c r="I68">
        <v>0.5</v>
      </c>
      <c r="J68">
        <v>0.57044099999999998</v>
      </c>
      <c r="K68">
        <v>0</v>
      </c>
      <c r="L68">
        <v>0.12012</v>
      </c>
      <c r="M68">
        <v>3</v>
      </c>
      <c r="N68">
        <v>0</v>
      </c>
      <c r="O68" s="7" t="s">
        <v>28</v>
      </c>
      <c r="P68">
        <v>0</v>
      </c>
      <c r="Q68" s="7" t="s">
        <v>86</v>
      </c>
      <c r="R68">
        <v>0</v>
      </c>
      <c r="S68">
        <v>0</v>
      </c>
      <c r="T68">
        <v>1</v>
      </c>
      <c r="U68">
        <v>0.43660300000000002</v>
      </c>
    </row>
    <row r="69" spans="1:21" x14ac:dyDescent="0.25">
      <c r="A69">
        <v>68</v>
      </c>
      <c r="B69">
        <v>838240484</v>
      </c>
      <c r="C69" s="7" t="s">
        <v>70</v>
      </c>
      <c r="D69">
        <v>11.8485</v>
      </c>
      <c r="E69">
        <v>2.75366</v>
      </c>
      <c r="F69">
        <v>11.8485</v>
      </c>
      <c r="G69">
        <v>0</v>
      </c>
      <c r="H69">
        <v>-1.01</v>
      </c>
      <c r="I69">
        <v>0.5</v>
      </c>
      <c r="J69">
        <v>0</v>
      </c>
      <c r="K69">
        <v>0.49</v>
      </c>
      <c r="L69">
        <v>0</v>
      </c>
      <c r="M69">
        <v>3</v>
      </c>
      <c r="N69">
        <v>0</v>
      </c>
      <c r="O69" s="7" t="s">
        <v>28</v>
      </c>
      <c r="P69">
        <v>0</v>
      </c>
      <c r="Q69" s="7" t="s">
        <v>86</v>
      </c>
      <c r="R69">
        <v>0</v>
      </c>
      <c r="S69">
        <v>0</v>
      </c>
      <c r="T69">
        <v>1</v>
      </c>
      <c r="U69">
        <v>0.60810799999999998</v>
      </c>
    </row>
    <row r="70" spans="1:21" x14ac:dyDescent="0.25">
      <c r="A70">
        <v>69</v>
      </c>
      <c r="B70">
        <v>802090407</v>
      </c>
      <c r="C70" s="7" t="s">
        <v>70</v>
      </c>
      <c r="D70">
        <v>13.2294</v>
      </c>
      <c r="E70">
        <v>2.75366</v>
      </c>
      <c r="F70">
        <v>13.5746</v>
      </c>
      <c r="G70">
        <v>0</v>
      </c>
      <c r="H70">
        <v>1.7261200000000001</v>
      </c>
      <c r="I70">
        <v>0.5</v>
      </c>
      <c r="J70">
        <v>0.99</v>
      </c>
      <c r="K70">
        <v>0</v>
      </c>
      <c r="L70">
        <v>0</v>
      </c>
      <c r="M70">
        <v>3</v>
      </c>
      <c r="N70">
        <v>0</v>
      </c>
      <c r="O70" s="7" t="s">
        <v>28</v>
      </c>
      <c r="P70">
        <v>0</v>
      </c>
      <c r="Q70" s="7" t="s">
        <v>86</v>
      </c>
      <c r="R70">
        <v>0</v>
      </c>
      <c r="S70">
        <v>0</v>
      </c>
      <c r="T70">
        <v>1</v>
      </c>
      <c r="U70">
        <v>5.8999999999999997E-2</v>
      </c>
    </row>
    <row r="71" spans="1:21" x14ac:dyDescent="0.25">
      <c r="A71">
        <v>70</v>
      </c>
      <c r="B71">
        <v>432857668</v>
      </c>
      <c r="C71" s="7" t="s">
        <v>70</v>
      </c>
      <c r="D71">
        <v>13.5947</v>
      </c>
      <c r="E71">
        <v>2.9134099999999998</v>
      </c>
      <c r="F71">
        <v>13.6861</v>
      </c>
      <c r="G71">
        <v>0</v>
      </c>
      <c r="H71">
        <v>0.45670699999999997</v>
      </c>
      <c r="I71">
        <v>0.5</v>
      </c>
      <c r="J71">
        <v>0.5</v>
      </c>
      <c r="K71">
        <v>0</v>
      </c>
      <c r="L71">
        <v>0</v>
      </c>
      <c r="M71">
        <v>3</v>
      </c>
      <c r="N71">
        <v>0</v>
      </c>
      <c r="O71" s="7" t="s">
        <v>28</v>
      </c>
      <c r="P71">
        <v>0</v>
      </c>
      <c r="Q71" s="7" t="s">
        <v>86</v>
      </c>
      <c r="R71">
        <v>0</v>
      </c>
      <c r="S71">
        <v>0</v>
      </c>
      <c r="T71">
        <v>1</v>
      </c>
      <c r="U71">
        <v>0.5</v>
      </c>
    </row>
    <row r="72" spans="1:21" x14ac:dyDescent="0.25">
      <c r="A72">
        <v>71</v>
      </c>
      <c r="B72">
        <v>862982991</v>
      </c>
      <c r="C72" s="7" t="s">
        <v>70</v>
      </c>
      <c r="D72">
        <v>13.960100000000001</v>
      </c>
      <c r="E72">
        <v>2.9134099999999998</v>
      </c>
      <c r="F72">
        <v>14.051399999999999</v>
      </c>
      <c r="G72">
        <v>0</v>
      </c>
      <c r="H72">
        <v>0.45670699999999997</v>
      </c>
      <c r="I72">
        <v>0.5</v>
      </c>
      <c r="J72">
        <v>0.5</v>
      </c>
      <c r="K72">
        <v>0</v>
      </c>
      <c r="L72">
        <v>0.69970200000000005</v>
      </c>
      <c r="M72">
        <v>3</v>
      </c>
      <c r="N72">
        <v>0</v>
      </c>
      <c r="O72" s="7" t="s">
        <v>28</v>
      </c>
      <c r="P72">
        <v>0</v>
      </c>
      <c r="Q72" s="7" t="s">
        <v>86</v>
      </c>
      <c r="R72">
        <v>0</v>
      </c>
      <c r="S72">
        <v>0</v>
      </c>
      <c r="T72">
        <v>1</v>
      </c>
      <c r="U72">
        <v>0.5</v>
      </c>
    </row>
    <row r="73" spans="1:21" x14ac:dyDescent="0.25">
      <c r="A73">
        <v>72</v>
      </c>
      <c r="B73">
        <v>506005329</v>
      </c>
      <c r="C73" s="7" t="s">
        <v>70</v>
      </c>
      <c r="D73">
        <v>14.3255</v>
      </c>
      <c r="E73">
        <v>2.9134099999999998</v>
      </c>
      <c r="F73">
        <v>14.4168</v>
      </c>
      <c r="G73">
        <v>0</v>
      </c>
      <c r="H73">
        <v>0.45670699999999997</v>
      </c>
      <c r="I73">
        <v>0.5</v>
      </c>
      <c r="J73">
        <v>0.5</v>
      </c>
      <c r="K73">
        <v>0</v>
      </c>
      <c r="L73">
        <v>3.11557</v>
      </c>
      <c r="M73">
        <v>3</v>
      </c>
      <c r="N73">
        <v>0</v>
      </c>
      <c r="O73" s="7" t="s">
        <v>28</v>
      </c>
      <c r="P73">
        <v>0.12973199999999999</v>
      </c>
      <c r="Q73" s="7" t="s">
        <v>86</v>
      </c>
      <c r="R73">
        <v>0</v>
      </c>
      <c r="S73">
        <v>0</v>
      </c>
      <c r="T73">
        <v>1</v>
      </c>
      <c r="U73">
        <v>1.1297299999999999</v>
      </c>
    </row>
    <row r="74" spans="1:21" x14ac:dyDescent="0.25">
      <c r="A74">
        <v>73</v>
      </c>
      <c r="B74">
        <v>506080158</v>
      </c>
      <c r="C74" s="7" t="s">
        <v>70</v>
      </c>
      <c r="D74">
        <v>15.4216</v>
      </c>
      <c r="E74">
        <v>2.9134099999999998</v>
      </c>
      <c r="F74">
        <v>15.695600000000001</v>
      </c>
      <c r="G74">
        <v>0</v>
      </c>
      <c r="H74">
        <v>1.37012</v>
      </c>
      <c r="I74">
        <v>1.5</v>
      </c>
      <c r="J74">
        <v>1.5</v>
      </c>
      <c r="K74">
        <v>0</v>
      </c>
      <c r="L74">
        <v>1.42862</v>
      </c>
      <c r="M74">
        <v>3</v>
      </c>
      <c r="N74">
        <v>0</v>
      </c>
      <c r="O74" s="7" t="s">
        <v>28</v>
      </c>
      <c r="P74">
        <v>0.30400899999999997</v>
      </c>
      <c r="Q74" s="7" t="s">
        <v>88</v>
      </c>
      <c r="R74">
        <v>0</v>
      </c>
      <c r="S74">
        <v>0</v>
      </c>
      <c r="T74">
        <v>3</v>
      </c>
      <c r="U74">
        <v>3.3040099999999999</v>
      </c>
    </row>
    <row r="75" spans="1:21" x14ac:dyDescent="0.25">
      <c r="A75">
        <v>74</v>
      </c>
      <c r="B75">
        <v>837796974</v>
      </c>
      <c r="C75" s="7" t="s">
        <v>70</v>
      </c>
      <c r="D75">
        <v>16.517700000000001</v>
      </c>
      <c r="E75">
        <v>2.9134099999999998</v>
      </c>
      <c r="F75">
        <v>16.791699999999999</v>
      </c>
      <c r="G75">
        <v>0</v>
      </c>
      <c r="H75">
        <v>1.37012</v>
      </c>
      <c r="I75">
        <v>1.5</v>
      </c>
      <c r="J75">
        <v>1.5</v>
      </c>
      <c r="K75">
        <v>0</v>
      </c>
      <c r="L75">
        <v>1.66439</v>
      </c>
      <c r="M75">
        <v>3</v>
      </c>
      <c r="N75">
        <v>0</v>
      </c>
      <c r="O75" s="7" t="s">
        <v>28</v>
      </c>
      <c r="P75">
        <v>0</v>
      </c>
      <c r="Q75" s="7" t="s">
        <v>88</v>
      </c>
      <c r="R75">
        <v>0</v>
      </c>
      <c r="S75">
        <v>0</v>
      </c>
      <c r="T75">
        <v>3</v>
      </c>
      <c r="U75">
        <v>2.7857599999999998</v>
      </c>
    </row>
    <row r="76" spans="1:21" x14ac:dyDescent="0.25">
      <c r="A76">
        <v>75</v>
      </c>
      <c r="B76">
        <v>300223173</v>
      </c>
      <c r="C76" s="7" t="s">
        <v>70</v>
      </c>
      <c r="D76">
        <v>17.8735</v>
      </c>
      <c r="E76">
        <v>3.1298499999999998</v>
      </c>
      <c r="F76">
        <v>18.212399999999999</v>
      </c>
      <c r="G76">
        <v>0</v>
      </c>
      <c r="H76">
        <v>1.69478</v>
      </c>
      <c r="I76">
        <v>1.5</v>
      </c>
      <c r="J76">
        <v>1.5</v>
      </c>
      <c r="K76">
        <v>0</v>
      </c>
      <c r="L76">
        <v>0.42404399999999998</v>
      </c>
      <c r="M76">
        <v>3</v>
      </c>
      <c r="N76">
        <v>0</v>
      </c>
      <c r="O76" s="7" t="s">
        <v>28</v>
      </c>
      <c r="P76">
        <v>0</v>
      </c>
      <c r="Q76" s="7" t="s">
        <v>88</v>
      </c>
      <c r="R76">
        <v>0</v>
      </c>
      <c r="S76">
        <v>0</v>
      </c>
      <c r="T76">
        <v>3</v>
      </c>
      <c r="U76">
        <v>2.9979499999999999</v>
      </c>
    </row>
    <row r="77" spans="1:21" x14ac:dyDescent="0.25">
      <c r="A77">
        <v>76</v>
      </c>
      <c r="B77">
        <v>766130737</v>
      </c>
      <c r="C77" s="7" t="s">
        <v>70</v>
      </c>
      <c r="D77">
        <v>18.7774</v>
      </c>
      <c r="E77">
        <v>3.1298499999999998</v>
      </c>
      <c r="F77">
        <v>19.003299999999999</v>
      </c>
      <c r="G77">
        <v>0</v>
      </c>
      <c r="H77">
        <v>1.12985</v>
      </c>
      <c r="I77">
        <v>1</v>
      </c>
      <c r="J77">
        <v>1</v>
      </c>
      <c r="K77">
        <v>0</v>
      </c>
      <c r="L77">
        <v>0.80415599999999998</v>
      </c>
      <c r="M77">
        <v>3</v>
      </c>
      <c r="N77">
        <v>0</v>
      </c>
      <c r="O77" s="7" t="s">
        <v>28</v>
      </c>
      <c r="P77">
        <v>0</v>
      </c>
      <c r="Q77" s="7" t="s">
        <v>89</v>
      </c>
      <c r="R77">
        <v>0</v>
      </c>
      <c r="S77">
        <v>0</v>
      </c>
      <c r="T77">
        <v>2</v>
      </c>
      <c r="U77">
        <v>1.88164</v>
      </c>
    </row>
    <row r="78" spans="1:21" x14ac:dyDescent="0.25">
      <c r="A78">
        <v>77</v>
      </c>
      <c r="B78">
        <v>490787890</v>
      </c>
      <c r="C78" s="7" t="s">
        <v>70</v>
      </c>
      <c r="D78">
        <v>16.7774</v>
      </c>
      <c r="E78">
        <v>3.1298499999999998</v>
      </c>
      <c r="F78">
        <v>16.7774</v>
      </c>
      <c r="G78">
        <v>0</v>
      </c>
      <c r="H78">
        <v>-2.02</v>
      </c>
      <c r="I78">
        <v>1</v>
      </c>
      <c r="J78">
        <v>0</v>
      </c>
      <c r="K78">
        <v>0.98</v>
      </c>
      <c r="L78">
        <v>0</v>
      </c>
      <c r="M78">
        <v>3</v>
      </c>
      <c r="N78">
        <v>0</v>
      </c>
      <c r="O78" s="7" t="s">
        <v>28</v>
      </c>
      <c r="P78">
        <v>0</v>
      </c>
      <c r="Q78" s="7" t="s">
        <v>89</v>
      </c>
      <c r="R78">
        <v>0</v>
      </c>
      <c r="S78">
        <v>0</v>
      </c>
      <c r="T78">
        <v>2</v>
      </c>
      <c r="U78">
        <v>1.72374</v>
      </c>
    </row>
    <row r="79" spans="1:21" x14ac:dyDescent="0.25">
      <c r="A79">
        <v>78</v>
      </c>
      <c r="B79">
        <v>186812278</v>
      </c>
      <c r="C79" s="7" t="s">
        <v>70</v>
      </c>
      <c r="D79">
        <v>17.188300000000002</v>
      </c>
      <c r="E79">
        <v>2.8609300000000002</v>
      </c>
      <c r="F79">
        <v>17.286200000000001</v>
      </c>
      <c r="G79">
        <v>0</v>
      </c>
      <c r="H79">
        <v>0.48980600000000002</v>
      </c>
      <c r="I79">
        <v>0.5</v>
      </c>
      <c r="J79">
        <v>0.52740200000000004</v>
      </c>
      <c r="K79">
        <v>0.93354599999999999</v>
      </c>
      <c r="L79">
        <v>0</v>
      </c>
      <c r="M79">
        <v>3</v>
      </c>
      <c r="N79">
        <v>0</v>
      </c>
      <c r="O79" s="7" t="s">
        <v>28</v>
      </c>
      <c r="P79">
        <v>0</v>
      </c>
      <c r="Q79" s="7" t="s">
        <v>90</v>
      </c>
      <c r="R79">
        <v>0</v>
      </c>
      <c r="S79">
        <v>0</v>
      </c>
      <c r="T79">
        <v>1</v>
      </c>
      <c r="U79">
        <v>0.11799999999999999</v>
      </c>
    </row>
    <row r="80" spans="1:21" x14ac:dyDescent="0.25">
      <c r="A80">
        <v>79</v>
      </c>
      <c r="B80">
        <v>702691503</v>
      </c>
      <c r="C80" s="7" t="s">
        <v>70</v>
      </c>
      <c r="D80">
        <v>17.188300000000002</v>
      </c>
      <c r="E80">
        <v>2.8609300000000002</v>
      </c>
      <c r="F80">
        <v>17.188300000000002</v>
      </c>
      <c r="G80">
        <v>0</v>
      </c>
      <c r="H80">
        <v>-1.8670900000000001E-2</v>
      </c>
      <c r="I80">
        <v>0</v>
      </c>
      <c r="J80">
        <v>0</v>
      </c>
      <c r="K80">
        <v>0.91487499999999999</v>
      </c>
      <c r="L80">
        <v>0</v>
      </c>
      <c r="M80">
        <v>3</v>
      </c>
      <c r="N80">
        <v>0</v>
      </c>
      <c r="O80" s="7" t="s">
        <v>28</v>
      </c>
      <c r="P80">
        <v>0</v>
      </c>
      <c r="Q80" s="7" t="s">
        <v>28</v>
      </c>
      <c r="R80">
        <v>0</v>
      </c>
      <c r="S80">
        <v>0</v>
      </c>
      <c r="T80">
        <v>0</v>
      </c>
      <c r="U80">
        <v>0</v>
      </c>
    </row>
    <row r="81" spans="1:21" x14ac:dyDescent="0.25">
      <c r="A81">
        <v>80</v>
      </c>
      <c r="B81">
        <v>302667780</v>
      </c>
      <c r="C81" s="7" t="s">
        <v>70</v>
      </c>
      <c r="D81">
        <v>17.188300000000002</v>
      </c>
      <c r="E81">
        <v>2.8609300000000002</v>
      </c>
      <c r="F81">
        <v>17.188300000000002</v>
      </c>
      <c r="G81">
        <v>0</v>
      </c>
      <c r="H81">
        <v>-1.8297500000000001E-2</v>
      </c>
      <c r="I81">
        <v>0</v>
      </c>
      <c r="J81">
        <v>0</v>
      </c>
      <c r="K81">
        <v>0.89657799999999999</v>
      </c>
      <c r="L81">
        <v>0</v>
      </c>
      <c r="M81">
        <v>3</v>
      </c>
      <c r="N81">
        <v>0</v>
      </c>
      <c r="O81" s="7" t="s">
        <v>28</v>
      </c>
      <c r="P81">
        <v>0</v>
      </c>
      <c r="Q81" s="7" t="s">
        <v>28</v>
      </c>
      <c r="R81">
        <v>0</v>
      </c>
      <c r="S81">
        <v>0</v>
      </c>
      <c r="T81">
        <v>0</v>
      </c>
      <c r="U81">
        <v>0</v>
      </c>
    </row>
    <row r="82" spans="1:21" x14ac:dyDescent="0.25">
      <c r="A82">
        <v>81</v>
      </c>
      <c r="B82">
        <v>91319182</v>
      </c>
      <c r="C82" s="7" t="s">
        <v>70</v>
      </c>
      <c r="D82">
        <v>19.240300000000001</v>
      </c>
      <c r="E82">
        <v>2.8609300000000002</v>
      </c>
      <c r="F82">
        <v>19.753299999999999</v>
      </c>
      <c r="G82">
        <v>0</v>
      </c>
      <c r="H82">
        <v>2.5650400000000002</v>
      </c>
      <c r="I82">
        <v>0</v>
      </c>
      <c r="J82">
        <v>0.89657799999999999</v>
      </c>
      <c r="K82">
        <v>0</v>
      </c>
      <c r="L82">
        <v>0</v>
      </c>
      <c r="M82">
        <v>3</v>
      </c>
      <c r="N82">
        <v>0</v>
      </c>
      <c r="O82" s="7" t="s">
        <v>28</v>
      </c>
      <c r="P82">
        <v>0</v>
      </c>
      <c r="Q82" s="7" t="s">
        <v>28</v>
      </c>
      <c r="R82">
        <v>0</v>
      </c>
      <c r="S82">
        <v>0</v>
      </c>
      <c r="T82">
        <v>0</v>
      </c>
      <c r="U82">
        <v>0</v>
      </c>
    </row>
    <row r="83" spans="1:21" x14ac:dyDescent="0.25">
      <c r="A83">
        <v>82</v>
      </c>
      <c r="B83">
        <v>402367222</v>
      </c>
      <c r="C83" s="7" t="s">
        <v>70</v>
      </c>
      <c r="D83">
        <v>19.240300000000001</v>
      </c>
      <c r="E83">
        <v>2.9732699999999999</v>
      </c>
      <c r="F83">
        <v>19.240300000000001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3</v>
      </c>
      <c r="N83">
        <v>0</v>
      </c>
      <c r="O83" s="7" t="s">
        <v>28</v>
      </c>
      <c r="P83">
        <v>0</v>
      </c>
      <c r="Q83" s="7" t="s">
        <v>28</v>
      </c>
      <c r="R83">
        <v>0</v>
      </c>
      <c r="S83">
        <v>0</v>
      </c>
      <c r="T83">
        <v>0</v>
      </c>
      <c r="U83">
        <v>0</v>
      </c>
    </row>
    <row r="84" spans="1:21" x14ac:dyDescent="0.25">
      <c r="A84">
        <v>83</v>
      </c>
      <c r="B84">
        <v>79197749</v>
      </c>
      <c r="C84" s="7" t="s">
        <v>70</v>
      </c>
      <c r="D84">
        <v>19.240300000000001</v>
      </c>
      <c r="E84">
        <v>3.19184</v>
      </c>
      <c r="F84">
        <v>19.240300000000001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3</v>
      </c>
      <c r="N84">
        <v>0</v>
      </c>
      <c r="O84" s="7" t="s">
        <v>28</v>
      </c>
      <c r="P84">
        <v>0</v>
      </c>
      <c r="Q84" s="7" t="s">
        <v>28</v>
      </c>
      <c r="R84">
        <v>0</v>
      </c>
      <c r="S84">
        <v>0</v>
      </c>
      <c r="T84">
        <v>0</v>
      </c>
      <c r="U84">
        <v>0</v>
      </c>
    </row>
    <row r="85" spans="1:21" x14ac:dyDescent="0.25">
      <c r="A85">
        <v>84</v>
      </c>
      <c r="B85">
        <v>704068245</v>
      </c>
      <c r="C85" s="7" t="s">
        <v>70</v>
      </c>
      <c r="D85">
        <v>19.240300000000001</v>
      </c>
      <c r="E85">
        <v>3.3126699999999998</v>
      </c>
      <c r="F85">
        <v>19.240300000000001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3</v>
      </c>
      <c r="N85">
        <v>0</v>
      </c>
      <c r="O85" s="7" t="s">
        <v>28</v>
      </c>
      <c r="P85">
        <v>0</v>
      </c>
      <c r="Q85" s="7" t="s">
        <v>28</v>
      </c>
      <c r="R85">
        <v>0</v>
      </c>
      <c r="S85">
        <v>0</v>
      </c>
      <c r="T85">
        <v>0</v>
      </c>
      <c r="U85">
        <v>0</v>
      </c>
    </row>
    <row r="86" spans="1:21" x14ac:dyDescent="0.25">
      <c r="A86">
        <v>85</v>
      </c>
      <c r="B86">
        <v>422263071</v>
      </c>
      <c r="C86" s="7" t="s">
        <v>70</v>
      </c>
      <c r="D86">
        <v>19.240300000000001</v>
      </c>
      <c r="E86">
        <v>3.3126699999999998</v>
      </c>
      <c r="F86">
        <v>19.240300000000001</v>
      </c>
      <c r="G86">
        <v>0</v>
      </c>
      <c r="H86">
        <v>0</v>
      </c>
      <c r="I86">
        <v>0</v>
      </c>
      <c r="J86">
        <v>0</v>
      </c>
      <c r="K86">
        <v>0</v>
      </c>
      <c r="L86">
        <v>0.46820600000000001</v>
      </c>
      <c r="M86">
        <v>3</v>
      </c>
      <c r="N86">
        <v>0</v>
      </c>
      <c r="O86" s="7" t="s">
        <v>28</v>
      </c>
      <c r="P86">
        <v>0</v>
      </c>
      <c r="Q86" s="7" t="s">
        <v>28</v>
      </c>
      <c r="R86">
        <v>0</v>
      </c>
      <c r="S86">
        <v>0</v>
      </c>
      <c r="T86">
        <v>0</v>
      </c>
      <c r="U86">
        <v>0</v>
      </c>
    </row>
    <row r="87" spans="1:21" x14ac:dyDescent="0.25">
      <c r="A87">
        <v>86</v>
      </c>
      <c r="B87">
        <v>459418317</v>
      </c>
      <c r="C87" s="7" t="s">
        <v>70</v>
      </c>
      <c r="D87">
        <v>19.240300000000001</v>
      </c>
      <c r="E87">
        <v>3.3126699999999998</v>
      </c>
      <c r="F87">
        <v>19.240300000000001</v>
      </c>
      <c r="G87">
        <v>0</v>
      </c>
      <c r="H87">
        <v>0</v>
      </c>
      <c r="I87">
        <v>0</v>
      </c>
      <c r="J87">
        <v>0</v>
      </c>
      <c r="K87">
        <v>0</v>
      </c>
      <c r="L87">
        <v>1.2030700000000001</v>
      </c>
      <c r="M87">
        <v>3</v>
      </c>
      <c r="N87">
        <v>0</v>
      </c>
      <c r="O87" s="7" t="s">
        <v>28</v>
      </c>
      <c r="P87">
        <v>0.42138500000000001</v>
      </c>
      <c r="Q87" s="7" t="s">
        <v>28</v>
      </c>
      <c r="R87">
        <v>0</v>
      </c>
      <c r="S87">
        <v>0</v>
      </c>
      <c r="T87">
        <v>0</v>
      </c>
      <c r="U87">
        <v>0.42138500000000001</v>
      </c>
    </row>
    <row r="88" spans="1:21" x14ac:dyDescent="0.25">
      <c r="A88">
        <v>87</v>
      </c>
      <c r="B88">
        <v>341241262</v>
      </c>
      <c r="C88" s="7" t="s">
        <v>70</v>
      </c>
      <c r="D88">
        <v>19.7654</v>
      </c>
      <c r="E88">
        <v>3.3126699999999998</v>
      </c>
      <c r="F88">
        <v>19.896599999999999</v>
      </c>
      <c r="G88">
        <v>0</v>
      </c>
      <c r="H88">
        <v>0.65633600000000003</v>
      </c>
      <c r="I88">
        <v>0.5</v>
      </c>
      <c r="J88">
        <v>0.5</v>
      </c>
      <c r="K88">
        <v>0</v>
      </c>
      <c r="L88">
        <v>3.3376199999999998</v>
      </c>
      <c r="M88">
        <v>3</v>
      </c>
      <c r="N88">
        <v>0</v>
      </c>
      <c r="O88" s="7" t="s">
        <v>28</v>
      </c>
      <c r="P88">
        <v>8.2763900000000001E-2</v>
      </c>
      <c r="Q88" s="7" t="s">
        <v>91</v>
      </c>
      <c r="R88">
        <v>0</v>
      </c>
      <c r="S88">
        <v>0</v>
      </c>
      <c r="T88">
        <v>1</v>
      </c>
      <c r="U88">
        <v>1.0827599999999999</v>
      </c>
    </row>
    <row r="89" spans="1:21" x14ac:dyDescent="0.25">
      <c r="A89">
        <v>88</v>
      </c>
      <c r="B89">
        <v>962936925</v>
      </c>
      <c r="C89" s="7" t="s">
        <v>70</v>
      </c>
      <c r="D89">
        <v>20.666499999999999</v>
      </c>
      <c r="E89">
        <v>3.3126699999999998</v>
      </c>
      <c r="F89">
        <v>20.890499999999999</v>
      </c>
      <c r="G89">
        <v>0</v>
      </c>
      <c r="H89">
        <v>1.1200600000000001</v>
      </c>
      <c r="I89">
        <v>1.5</v>
      </c>
      <c r="J89">
        <v>1.2452700000000001</v>
      </c>
      <c r="K89">
        <v>0.24964</v>
      </c>
      <c r="L89">
        <v>0</v>
      </c>
      <c r="M89">
        <v>3</v>
      </c>
      <c r="N89">
        <v>0</v>
      </c>
      <c r="O89" s="7" t="s">
        <v>28</v>
      </c>
      <c r="P89">
        <v>0.50385999999999997</v>
      </c>
      <c r="Q89" s="7" t="s">
        <v>92</v>
      </c>
      <c r="R89">
        <v>0</v>
      </c>
      <c r="S89">
        <v>0</v>
      </c>
      <c r="T89">
        <v>3</v>
      </c>
      <c r="U89">
        <v>3.50386</v>
      </c>
    </row>
    <row r="90" spans="1:21" x14ac:dyDescent="0.25">
      <c r="A90">
        <v>89</v>
      </c>
      <c r="B90">
        <v>870353475</v>
      </c>
      <c r="C90" s="7" t="s">
        <v>70</v>
      </c>
      <c r="D90">
        <v>20.232099999999999</v>
      </c>
      <c r="E90">
        <v>3.2709700000000002</v>
      </c>
      <c r="F90">
        <v>20.232099999999999</v>
      </c>
      <c r="G90">
        <v>0</v>
      </c>
      <c r="H90">
        <v>-0.44986500000000001</v>
      </c>
      <c r="I90">
        <v>1</v>
      </c>
      <c r="J90">
        <v>0.47862199999999999</v>
      </c>
      <c r="K90">
        <v>0.75559799999999999</v>
      </c>
      <c r="L90">
        <v>0</v>
      </c>
      <c r="M90">
        <v>3</v>
      </c>
      <c r="N90">
        <v>0</v>
      </c>
      <c r="O90" s="7" t="s">
        <v>28</v>
      </c>
      <c r="P90">
        <v>0</v>
      </c>
      <c r="Q90" s="7" t="s">
        <v>93</v>
      </c>
      <c r="R90">
        <v>0</v>
      </c>
      <c r="S90">
        <v>0</v>
      </c>
      <c r="T90">
        <v>2</v>
      </c>
      <c r="U90">
        <v>1.27532</v>
      </c>
    </row>
    <row r="91" spans="1:21" x14ac:dyDescent="0.25">
      <c r="A91">
        <v>90</v>
      </c>
      <c r="B91">
        <v>445570690</v>
      </c>
      <c r="C91" s="7" t="s">
        <v>70</v>
      </c>
      <c r="D91">
        <v>22.436299999999999</v>
      </c>
      <c r="E91">
        <v>2.9908800000000002</v>
      </c>
      <c r="F91">
        <v>22.987400000000001</v>
      </c>
      <c r="G91">
        <v>0</v>
      </c>
      <c r="H91">
        <v>2.7553399999999999</v>
      </c>
      <c r="I91">
        <v>0.5</v>
      </c>
      <c r="J91">
        <v>1.2556</v>
      </c>
      <c r="K91">
        <v>0</v>
      </c>
      <c r="L91">
        <v>0</v>
      </c>
      <c r="M91">
        <v>3</v>
      </c>
      <c r="N91">
        <v>0</v>
      </c>
      <c r="O91" s="7" t="s">
        <v>28</v>
      </c>
      <c r="P91">
        <v>0</v>
      </c>
      <c r="Q91" s="7" t="s">
        <v>94</v>
      </c>
      <c r="R91">
        <v>0</v>
      </c>
      <c r="S91">
        <v>0</v>
      </c>
      <c r="T91">
        <v>1</v>
      </c>
      <c r="U91">
        <v>0.31996200000000002</v>
      </c>
    </row>
    <row r="92" spans="1:21" x14ac:dyDescent="0.25">
      <c r="A92">
        <v>91</v>
      </c>
      <c r="B92">
        <v>125574090</v>
      </c>
      <c r="C92" s="7" t="s">
        <v>70</v>
      </c>
      <c r="D92">
        <v>22.8933</v>
      </c>
      <c r="E92">
        <v>3.1424500000000002</v>
      </c>
      <c r="F92">
        <v>23.0076</v>
      </c>
      <c r="G92">
        <v>0</v>
      </c>
      <c r="H92">
        <v>0.57122399999999995</v>
      </c>
      <c r="I92">
        <v>0.5</v>
      </c>
      <c r="J92">
        <v>0.5</v>
      </c>
      <c r="K92">
        <v>0</v>
      </c>
      <c r="L92">
        <v>0.12012</v>
      </c>
      <c r="M92">
        <v>3</v>
      </c>
      <c r="N92">
        <v>0</v>
      </c>
      <c r="O92" s="7" t="s">
        <v>28</v>
      </c>
      <c r="P92">
        <v>0</v>
      </c>
      <c r="Q92" s="7" t="s">
        <v>94</v>
      </c>
      <c r="R92">
        <v>0</v>
      </c>
      <c r="S92">
        <v>0</v>
      </c>
      <c r="T92">
        <v>1</v>
      </c>
      <c r="U92">
        <v>0.5</v>
      </c>
    </row>
    <row r="93" spans="1:21" x14ac:dyDescent="0.25">
      <c r="A93">
        <v>92</v>
      </c>
      <c r="B93">
        <v>62447300</v>
      </c>
      <c r="C93" s="7" t="s">
        <v>70</v>
      </c>
      <c r="D93">
        <v>23.430800000000001</v>
      </c>
      <c r="E93">
        <v>3.3437600000000001</v>
      </c>
      <c r="F93">
        <v>23.565200000000001</v>
      </c>
      <c r="G93">
        <v>0</v>
      </c>
      <c r="H93">
        <v>0.67188099999999995</v>
      </c>
      <c r="I93">
        <v>0.5</v>
      </c>
      <c r="J93">
        <v>0.5</v>
      </c>
      <c r="K93">
        <v>0</v>
      </c>
      <c r="L93">
        <v>0</v>
      </c>
      <c r="M93">
        <v>3</v>
      </c>
      <c r="N93">
        <v>0</v>
      </c>
      <c r="O93" s="7" t="s">
        <v>28</v>
      </c>
      <c r="P93">
        <v>0</v>
      </c>
      <c r="Q93" s="7" t="s">
        <v>94</v>
      </c>
      <c r="R93">
        <v>0</v>
      </c>
      <c r="S93">
        <v>0</v>
      </c>
      <c r="T93">
        <v>1</v>
      </c>
      <c r="U93">
        <v>0.60810799999999998</v>
      </c>
    </row>
    <row r="94" spans="1:21" x14ac:dyDescent="0.25">
      <c r="A94">
        <v>93</v>
      </c>
      <c r="B94">
        <v>861976170</v>
      </c>
      <c r="C94" s="7" t="s">
        <v>70</v>
      </c>
      <c r="D94">
        <v>23.968299999999999</v>
      </c>
      <c r="E94">
        <v>3.3437600000000001</v>
      </c>
      <c r="F94">
        <v>24.102699999999999</v>
      </c>
      <c r="G94">
        <v>0</v>
      </c>
      <c r="H94">
        <v>0.67188099999999995</v>
      </c>
      <c r="I94">
        <v>0.5</v>
      </c>
      <c r="J94">
        <v>0.5</v>
      </c>
      <c r="K94">
        <v>0</v>
      </c>
      <c r="L94">
        <v>0</v>
      </c>
      <c r="M94">
        <v>3</v>
      </c>
      <c r="N94">
        <v>0</v>
      </c>
      <c r="O94" s="7" t="s">
        <v>28</v>
      </c>
      <c r="P94">
        <v>0</v>
      </c>
      <c r="Q94" s="7" t="s">
        <v>94</v>
      </c>
      <c r="R94">
        <v>0</v>
      </c>
      <c r="S94">
        <v>0</v>
      </c>
      <c r="T94">
        <v>1</v>
      </c>
      <c r="U94">
        <v>0.5</v>
      </c>
    </row>
    <row r="95" spans="1:21" x14ac:dyDescent="0.25">
      <c r="A95">
        <v>94</v>
      </c>
      <c r="B95">
        <v>130599393</v>
      </c>
      <c r="C95" s="7" t="s">
        <v>70</v>
      </c>
      <c r="D95">
        <v>24.505800000000001</v>
      </c>
      <c r="E95">
        <v>3.3437600000000001</v>
      </c>
      <c r="F95">
        <v>24.6402</v>
      </c>
      <c r="G95">
        <v>0</v>
      </c>
      <c r="H95">
        <v>0.67188099999999995</v>
      </c>
      <c r="I95">
        <v>0.5</v>
      </c>
      <c r="J95">
        <v>0.5</v>
      </c>
      <c r="K95">
        <v>0</v>
      </c>
      <c r="L95">
        <v>2.5216599999999998</v>
      </c>
      <c r="M95">
        <v>3</v>
      </c>
      <c r="N95">
        <v>0</v>
      </c>
      <c r="O95" s="7" t="s">
        <v>28</v>
      </c>
      <c r="P95">
        <v>0</v>
      </c>
      <c r="Q95" s="7" t="s">
        <v>94</v>
      </c>
      <c r="R95">
        <v>0</v>
      </c>
      <c r="S95">
        <v>0</v>
      </c>
      <c r="T95">
        <v>1</v>
      </c>
      <c r="U95">
        <v>0.5</v>
      </c>
    </row>
    <row r="96" spans="1:21" x14ac:dyDescent="0.25">
      <c r="A96">
        <v>95</v>
      </c>
      <c r="B96">
        <v>606449881</v>
      </c>
      <c r="C96" s="7" t="s">
        <v>70</v>
      </c>
      <c r="D96">
        <v>25.466000000000001</v>
      </c>
      <c r="E96">
        <v>3.3815499999999998</v>
      </c>
      <c r="F96">
        <v>25.7058</v>
      </c>
      <c r="G96">
        <v>0</v>
      </c>
      <c r="H96">
        <v>1.1988799999999999</v>
      </c>
      <c r="I96">
        <v>1</v>
      </c>
      <c r="J96">
        <v>0.946299</v>
      </c>
      <c r="K96">
        <v>5.2626699999999998E-2</v>
      </c>
      <c r="L96">
        <v>0</v>
      </c>
      <c r="M96">
        <v>3</v>
      </c>
      <c r="N96">
        <v>0</v>
      </c>
      <c r="O96" s="7" t="s">
        <v>28</v>
      </c>
      <c r="P96">
        <v>0.76949000000000001</v>
      </c>
      <c r="Q96" s="7" t="s">
        <v>95</v>
      </c>
      <c r="R96">
        <v>0</v>
      </c>
      <c r="S96">
        <v>0</v>
      </c>
      <c r="T96">
        <v>2</v>
      </c>
      <c r="U96">
        <v>2.7694899999999998</v>
      </c>
    </row>
    <row r="97" spans="1:21" x14ac:dyDescent="0.25">
      <c r="A97">
        <v>96</v>
      </c>
      <c r="B97">
        <v>933213130</v>
      </c>
      <c r="C97" s="7" t="s">
        <v>70</v>
      </c>
      <c r="D97">
        <v>25.6416</v>
      </c>
      <c r="E97">
        <v>3.3815499999999998</v>
      </c>
      <c r="F97">
        <v>25.6846</v>
      </c>
      <c r="G97">
        <v>0</v>
      </c>
      <c r="H97">
        <v>0.21473</v>
      </c>
      <c r="I97">
        <v>0.5</v>
      </c>
      <c r="J97">
        <v>0.36036000000000001</v>
      </c>
      <c r="K97">
        <v>0.18842100000000001</v>
      </c>
      <c r="L97">
        <v>0</v>
      </c>
      <c r="M97">
        <v>3</v>
      </c>
      <c r="N97">
        <v>0</v>
      </c>
      <c r="O97" s="7" t="s">
        <v>28</v>
      </c>
      <c r="P97">
        <v>0</v>
      </c>
      <c r="Q97" s="7" t="s">
        <v>96</v>
      </c>
      <c r="R97">
        <v>0</v>
      </c>
      <c r="S97">
        <v>0</v>
      </c>
      <c r="T97">
        <v>1</v>
      </c>
      <c r="U97">
        <v>0.95263600000000004</v>
      </c>
    </row>
    <row r="98" spans="1:21" x14ac:dyDescent="0.25">
      <c r="A98">
        <v>97</v>
      </c>
      <c r="B98">
        <v>841486551</v>
      </c>
      <c r="C98" s="7" t="s">
        <v>70</v>
      </c>
      <c r="D98">
        <v>26.704000000000001</v>
      </c>
      <c r="E98">
        <v>3.3815499999999998</v>
      </c>
      <c r="F98">
        <v>26.9696</v>
      </c>
      <c r="G98">
        <v>0</v>
      </c>
      <c r="H98">
        <v>1.3279300000000001</v>
      </c>
      <c r="I98">
        <v>0.5</v>
      </c>
      <c r="J98">
        <v>0.68842099999999995</v>
      </c>
      <c r="K98">
        <v>0</v>
      </c>
      <c r="L98">
        <v>7.9665799999999995E-2</v>
      </c>
      <c r="M98">
        <v>3</v>
      </c>
      <c r="N98">
        <v>0</v>
      </c>
      <c r="O98" s="7" t="s">
        <v>28</v>
      </c>
      <c r="P98">
        <v>0</v>
      </c>
      <c r="Q98" s="7" t="s">
        <v>96</v>
      </c>
      <c r="R98">
        <v>0</v>
      </c>
      <c r="S98">
        <v>0</v>
      </c>
      <c r="T98">
        <v>1</v>
      </c>
      <c r="U98">
        <v>0.33042100000000002</v>
      </c>
    </row>
    <row r="99" spans="1:21" x14ac:dyDescent="0.25">
      <c r="A99">
        <v>98</v>
      </c>
      <c r="B99">
        <v>15594369</v>
      </c>
      <c r="C99" s="7" t="s">
        <v>70</v>
      </c>
      <c r="D99">
        <v>27.390599999999999</v>
      </c>
      <c r="E99">
        <v>3.7164999999999999</v>
      </c>
      <c r="F99">
        <v>27.562200000000001</v>
      </c>
      <c r="G99">
        <v>0</v>
      </c>
      <c r="H99">
        <v>0.85824900000000004</v>
      </c>
      <c r="I99">
        <v>0.5</v>
      </c>
      <c r="J99">
        <v>0.5</v>
      </c>
      <c r="K99">
        <v>0</v>
      </c>
      <c r="L99">
        <v>1.8595799999999999E-2</v>
      </c>
      <c r="M99">
        <v>3</v>
      </c>
      <c r="N99">
        <v>0</v>
      </c>
      <c r="O99" s="7" t="s">
        <v>28</v>
      </c>
      <c r="P99">
        <v>0</v>
      </c>
      <c r="Q99" s="7" t="s">
        <v>96</v>
      </c>
      <c r="R99">
        <v>0</v>
      </c>
      <c r="S99">
        <v>0</v>
      </c>
      <c r="T99">
        <v>1</v>
      </c>
      <c r="U99">
        <v>0.57169899999999996</v>
      </c>
    </row>
    <row r="100" spans="1:21" x14ac:dyDescent="0.25">
      <c r="A100">
        <v>99</v>
      </c>
      <c r="B100">
        <v>768189608</v>
      </c>
      <c r="C100" s="7" t="s">
        <v>70</v>
      </c>
      <c r="D100">
        <v>26.390599999999999</v>
      </c>
      <c r="E100">
        <v>3.7164999999999999</v>
      </c>
      <c r="F100">
        <v>26.390599999999999</v>
      </c>
      <c r="G100">
        <v>0</v>
      </c>
      <c r="H100">
        <v>-1.01</v>
      </c>
      <c r="I100">
        <v>0.5</v>
      </c>
      <c r="J100">
        <v>0</v>
      </c>
      <c r="K100">
        <v>0.49</v>
      </c>
      <c r="L100">
        <v>0</v>
      </c>
      <c r="M100">
        <v>3</v>
      </c>
      <c r="N100">
        <v>0</v>
      </c>
      <c r="O100" s="7" t="s">
        <v>28</v>
      </c>
      <c r="P100">
        <v>0</v>
      </c>
      <c r="Q100" s="7" t="s">
        <v>96</v>
      </c>
      <c r="R100">
        <v>0</v>
      </c>
      <c r="S100">
        <v>0</v>
      </c>
      <c r="T100">
        <v>1</v>
      </c>
      <c r="U100">
        <v>0.51673599999999997</v>
      </c>
    </row>
    <row r="101" spans="1:21" x14ac:dyDescent="0.25">
      <c r="A101">
        <v>100</v>
      </c>
      <c r="B101">
        <v>911298003</v>
      </c>
      <c r="C101" s="7" t="s">
        <v>70</v>
      </c>
      <c r="D101">
        <v>28.463899999999999</v>
      </c>
      <c r="E101">
        <v>3.6279300000000001</v>
      </c>
      <c r="F101">
        <v>28.982199999999999</v>
      </c>
      <c r="G101">
        <v>0</v>
      </c>
      <c r="H101">
        <v>2.59165</v>
      </c>
      <c r="I101">
        <v>0.5</v>
      </c>
      <c r="J101">
        <v>0.99</v>
      </c>
      <c r="K101">
        <v>0</v>
      </c>
      <c r="L101">
        <v>0.12131599999999999</v>
      </c>
      <c r="M101">
        <v>3</v>
      </c>
      <c r="N101">
        <v>0</v>
      </c>
      <c r="O101" s="7" t="s">
        <v>28</v>
      </c>
      <c r="P101">
        <v>0</v>
      </c>
      <c r="Q101" s="7" t="s">
        <v>96</v>
      </c>
      <c r="R101">
        <v>0</v>
      </c>
      <c r="S101">
        <v>0</v>
      </c>
      <c r="T101">
        <v>1</v>
      </c>
      <c r="U101">
        <v>5.8999999999999997E-2</v>
      </c>
    </row>
    <row r="102" spans="1:21" x14ac:dyDescent="0.25">
      <c r="A102">
        <v>101</v>
      </c>
      <c r="B102">
        <v>637640609</v>
      </c>
      <c r="C102" s="7" t="s">
        <v>70</v>
      </c>
      <c r="D102">
        <v>29.115100000000002</v>
      </c>
      <c r="E102">
        <v>3.6279300000000001</v>
      </c>
      <c r="F102">
        <v>29.277899999999999</v>
      </c>
      <c r="G102">
        <v>0</v>
      </c>
      <c r="H102">
        <v>0.81396400000000002</v>
      </c>
      <c r="I102">
        <v>0.5</v>
      </c>
      <c r="J102">
        <v>0.5</v>
      </c>
      <c r="K102">
        <v>0</v>
      </c>
      <c r="L102">
        <v>1.3018000000000001</v>
      </c>
      <c r="M102">
        <v>3</v>
      </c>
      <c r="N102">
        <v>0</v>
      </c>
      <c r="O102" s="7" t="s">
        <v>28</v>
      </c>
      <c r="P102">
        <v>0</v>
      </c>
      <c r="Q102" s="7" t="s">
        <v>96</v>
      </c>
      <c r="R102">
        <v>0</v>
      </c>
      <c r="S102">
        <v>0</v>
      </c>
      <c r="T102">
        <v>1</v>
      </c>
      <c r="U102">
        <v>0.60918399999999995</v>
      </c>
    </row>
    <row r="103" spans="1:21" x14ac:dyDescent="0.25">
      <c r="A103">
        <v>102</v>
      </c>
      <c r="B103">
        <v>742098497</v>
      </c>
      <c r="C103" s="7" t="s">
        <v>70</v>
      </c>
      <c r="D103">
        <v>29.766200000000001</v>
      </c>
      <c r="E103">
        <v>3.6279300000000001</v>
      </c>
      <c r="F103">
        <v>29.928999999999998</v>
      </c>
      <c r="G103">
        <v>0</v>
      </c>
      <c r="H103">
        <v>0.81396400000000002</v>
      </c>
      <c r="I103">
        <v>0.5</v>
      </c>
      <c r="J103">
        <v>0.5</v>
      </c>
      <c r="K103">
        <v>0</v>
      </c>
      <c r="L103">
        <v>2.9062299999999999</v>
      </c>
      <c r="M103">
        <v>3</v>
      </c>
      <c r="N103">
        <v>0</v>
      </c>
      <c r="O103" s="7" t="s">
        <v>28</v>
      </c>
      <c r="P103">
        <v>0.67162200000000005</v>
      </c>
      <c r="Q103" s="7" t="s">
        <v>96</v>
      </c>
      <c r="R103">
        <v>0</v>
      </c>
      <c r="S103">
        <v>0</v>
      </c>
      <c r="T103">
        <v>1</v>
      </c>
      <c r="U103">
        <v>1.6716200000000001</v>
      </c>
    </row>
    <row r="104" spans="1:21" x14ac:dyDescent="0.25">
      <c r="A104">
        <v>103</v>
      </c>
      <c r="B104">
        <v>874457708</v>
      </c>
      <c r="C104" s="7" t="s">
        <v>70</v>
      </c>
      <c r="D104">
        <v>30.5123</v>
      </c>
      <c r="E104">
        <v>3.6279300000000001</v>
      </c>
      <c r="F104">
        <v>30.6968</v>
      </c>
      <c r="G104">
        <v>0</v>
      </c>
      <c r="H104">
        <v>0.92219600000000002</v>
      </c>
      <c r="I104">
        <v>1.5</v>
      </c>
      <c r="J104">
        <v>1.08341</v>
      </c>
      <c r="K104">
        <v>0.40826000000000001</v>
      </c>
      <c r="L104">
        <v>0</v>
      </c>
      <c r="M104">
        <v>3</v>
      </c>
      <c r="N104">
        <v>0</v>
      </c>
      <c r="O104" s="7" t="s">
        <v>28</v>
      </c>
      <c r="P104">
        <v>0.115605</v>
      </c>
      <c r="Q104" s="7" t="s">
        <v>97</v>
      </c>
      <c r="R104">
        <v>0</v>
      </c>
      <c r="S104">
        <v>0</v>
      </c>
      <c r="T104">
        <v>3</v>
      </c>
      <c r="U104">
        <v>3.1156100000000002</v>
      </c>
    </row>
    <row r="105" spans="1:21" x14ac:dyDescent="0.25">
      <c r="A105">
        <v>104</v>
      </c>
      <c r="B105">
        <v>80630140</v>
      </c>
      <c r="C105" s="7" t="s">
        <v>70</v>
      </c>
      <c r="D105">
        <v>28.5123</v>
      </c>
      <c r="E105">
        <v>3.6279300000000001</v>
      </c>
      <c r="F105">
        <v>28.5123</v>
      </c>
      <c r="G105">
        <v>0</v>
      </c>
      <c r="H105">
        <v>-2.0281699999999998</v>
      </c>
      <c r="I105">
        <v>1</v>
      </c>
      <c r="J105">
        <v>0</v>
      </c>
      <c r="K105">
        <v>1.38009</v>
      </c>
      <c r="L105">
        <v>0</v>
      </c>
      <c r="M105">
        <v>3</v>
      </c>
      <c r="N105">
        <v>0</v>
      </c>
      <c r="O105" s="7" t="s">
        <v>28</v>
      </c>
      <c r="P105">
        <v>0</v>
      </c>
      <c r="Q105" s="7" t="s">
        <v>98</v>
      </c>
      <c r="R105">
        <v>0</v>
      </c>
      <c r="S105">
        <v>0</v>
      </c>
      <c r="T105">
        <v>2</v>
      </c>
      <c r="U105">
        <v>1.1325700000000001</v>
      </c>
    </row>
    <row r="106" spans="1:21" x14ac:dyDescent="0.25">
      <c r="A106">
        <v>105</v>
      </c>
      <c r="B106">
        <v>682691133</v>
      </c>
      <c r="C106" s="7" t="s">
        <v>70</v>
      </c>
      <c r="D106">
        <v>32.517800000000001</v>
      </c>
      <c r="E106">
        <v>3.6279300000000001</v>
      </c>
      <c r="F106">
        <v>33.519199999999998</v>
      </c>
      <c r="G106">
        <v>0</v>
      </c>
      <c r="H106">
        <v>5.0068799999999998</v>
      </c>
      <c r="I106">
        <v>0</v>
      </c>
      <c r="J106">
        <v>1.38009</v>
      </c>
      <c r="K106">
        <v>0</v>
      </c>
      <c r="L106">
        <v>0</v>
      </c>
      <c r="M106">
        <v>3</v>
      </c>
      <c r="N106">
        <v>0</v>
      </c>
      <c r="O106" s="7" t="s">
        <v>28</v>
      </c>
      <c r="P106">
        <v>0</v>
      </c>
      <c r="Q106" s="7" t="s">
        <v>28</v>
      </c>
      <c r="R106">
        <v>0</v>
      </c>
      <c r="S106">
        <v>0</v>
      </c>
      <c r="T106">
        <v>0</v>
      </c>
      <c r="U106">
        <v>0</v>
      </c>
    </row>
    <row r="107" spans="1:21" x14ac:dyDescent="0.25">
      <c r="A107">
        <v>106</v>
      </c>
      <c r="B107">
        <v>427865688</v>
      </c>
      <c r="C107" s="7" t="s">
        <v>70</v>
      </c>
      <c r="D107">
        <v>32.517800000000001</v>
      </c>
      <c r="E107">
        <v>3.7899400000000001</v>
      </c>
      <c r="F107">
        <v>32.517800000000001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3</v>
      </c>
      <c r="N107">
        <v>0</v>
      </c>
      <c r="O107" s="7" t="s">
        <v>28</v>
      </c>
      <c r="P107">
        <v>0</v>
      </c>
      <c r="Q107" s="7" t="s">
        <v>28</v>
      </c>
      <c r="R107">
        <v>0</v>
      </c>
      <c r="S107">
        <v>0</v>
      </c>
      <c r="T107">
        <v>0</v>
      </c>
      <c r="U107">
        <v>0</v>
      </c>
    </row>
    <row r="108" spans="1:21" x14ac:dyDescent="0.25">
      <c r="A108">
        <v>107</v>
      </c>
      <c r="B108">
        <v>166444688</v>
      </c>
      <c r="C108" s="7" t="s">
        <v>70</v>
      </c>
      <c r="D108">
        <v>32.517800000000001</v>
      </c>
      <c r="E108">
        <v>3.7899400000000001</v>
      </c>
      <c r="F108">
        <v>32.517800000000001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0.36036000000000001</v>
      </c>
      <c r="M108">
        <v>3</v>
      </c>
      <c r="N108">
        <v>0</v>
      </c>
      <c r="O108" s="7" t="s">
        <v>28</v>
      </c>
      <c r="P108">
        <v>0</v>
      </c>
      <c r="Q108" s="7" t="s">
        <v>28</v>
      </c>
      <c r="R108">
        <v>0</v>
      </c>
      <c r="S108">
        <v>0</v>
      </c>
      <c r="T108">
        <v>0</v>
      </c>
      <c r="U108">
        <v>0</v>
      </c>
    </row>
    <row r="109" spans="1:21" x14ac:dyDescent="0.25">
      <c r="A109">
        <v>108</v>
      </c>
      <c r="B109">
        <v>153095289</v>
      </c>
      <c r="C109" s="7" t="s">
        <v>70</v>
      </c>
      <c r="D109">
        <v>32.517800000000001</v>
      </c>
      <c r="E109">
        <v>3.7899400000000001</v>
      </c>
      <c r="F109">
        <v>32.517800000000001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3</v>
      </c>
      <c r="N109">
        <v>0</v>
      </c>
      <c r="O109" s="7" t="s">
        <v>28</v>
      </c>
      <c r="P109">
        <v>0.324324</v>
      </c>
      <c r="Q109" s="7" t="s">
        <v>28</v>
      </c>
      <c r="R109">
        <v>0</v>
      </c>
      <c r="S109">
        <v>0</v>
      </c>
      <c r="T109">
        <v>0</v>
      </c>
      <c r="U109">
        <v>0.324324</v>
      </c>
    </row>
    <row r="110" spans="1:21" x14ac:dyDescent="0.25">
      <c r="A110">
        <v>109</v>
      </c>
      <c r="B110">
        <v>501975820</v>
      </c>
      <c r="C110" s="7" t="s">
        <v>70</v>
      </c>
      <c r="D110">
        <v>32.517800000000001</v>
      </c>
      <c r="E110">
        <v>3.9350299999999998</v>
      </c>
      <c r="F110">
        <v>32.517800000000001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1.59443</v>
      </c>
      <c r="M110">
        <v>3</v>
      </c>
      <c r="N110">
        <v>0</v>
      </c>
      <c r="O110" s="7" t="s">
        <v>28</v>
      </c>
      <c r="P110">
        <v>0</v>
      </c>
      <c r="Q110" s="7" t="s">
        <v>28</v>
      </c>
      <c r="R110">
        <v>0</v>
      </c>
      <c r="S110">
        <v>0</v>
      </c>
      <c r="T110">
        <v>0</v>
      </c>
      <c r="U110">
        <v>0</v>
      </c>
    </row>
    <row r="111" spans="1:21" x14ac:dyDescent="0.25">
      <c r="A111">
        <v>110</v>
      </c>
      <c r="B111">
        <v>17106968</v>
      </c>
      <c r="C111" s="7" t="s">
        <v>70</v>
      </c>
      <c r="D111">
        <v>31.517800000000001</v>
      </c>
      <c r="E111">
        <v>3.9350299999999998</v>
      </c>
      <c r="F111">
        <v>31.517800000000001</v>
      </c>
      <c r="G111">
        <v>0</v>
      </c>
      <c r="H111">
        <v>-1.01</v>
      </c>
      <c r="I111">
        <v>0.5</v>
      </c>
      <c r="J111">
        <v>0</v>
      </c>
      <c r="K111">
        <v>0.49</v>
      </c>
      <c r="L111">
        <v>0</v>
      </c>
      <c r="M111">
        <v>3</v>
      </c>
      <c r="N111">
        <v>0</v>
      </c>
      <c r="O111" s="7" t="s">
        <v>28</v>
      </c>
      <c r="P111">
        <v>0.43499100000000002</v>
      </c>
      <c r="Q111" s="7" t="s">
        <v>72</v>
      </c>
      <c r="R111">
        <v>0</v>
      </c>
      <c r="S111">
        <v>0</v>
      </c>
      <c r="T111">
        <v>1</v>
      </c>
      <c r="U111">
        <v>1.43499</v>
      </c>
    </row>
    <row r="112" spans="1:21" x14ac:dyDescent="0.25">
      <c r="A112">
        <v>111</v>
      </c>
      <c r="B112">
        <v>593269862</v>
      </c>
      <c r="C112" s="7" t="s">
        <v>70</v>
      </c>
      <c r="D112">
        <v>33.731699999999996</v>
      </c>
      <c r="E112">
        <v>3.8054100000000002</v>
      </c>
      <c r="F112">
        <v>34.285200000000003</v>
      </c>
      <c r="G112">
        <v>0</v>
      </c>
      <c r="H112">
        <v>2.76735</v>
      </c>
      <c r="I112">
        <v>0.5</v>
      </c>
      <c r="J112">
        <v>0.99</v>
      </c>
      <c r="K112">
        <v>0</v>
      </c>
      <c r="L112">
        <v>1.3236399999999999</v>
      </c>
      <c r="M112">
        <v>3</v>
      </c>
      <c r="N112">
        <v>0</v>
      </c>
      <c r="O112" s="7" t="s">
        <v>28</v>
      </c>
      <c r="P112">
        <v>0</v>
      </c>
      <c r="Q112" s="7" t="s">
        <v>72</v>
      </c>
      <c r="R112">
        <v>0</v>
      </c>
      <c r="S112">
        <v>0</v>
      </c>
      <c r="T112">
        <v>1</v>
      </c>
      <c r="U112">
        <v>5.8999999999999997E-2</v>
      </c>
    </row>
    <row r="113" spans="1:21" x14ac:dyDescent="0.25">
      <c r="A113">
        <v>112</v>
      </c>
      <c r="B113">
        <v>992393856</v>
      </c>
      <c r="C113" s="7" t="s">
        <v>70</v>
      </c>
      <c r="D113">
        <v>34.490299999999998</v>
      </c>
      <c r="E113">
        <v>3.89636</v>
      </c>
      <c r="F113">
        <v>34.679900000000004</v>
      </c>
      <c r="G113">
        <v>0</v>
      </c>
      <c r="H113">
        <v>0.94818100000000005</v>
      </c>
      <c r="I113">
        <v>0.5</v>
      </c>
      <c r="J113">
        <v>0.5</v>
      </c>
      <c r="K113">
        <v>0</v>
      </c>
      <c r="L113">
        <v>0.25202200000000002</v>
      </c>
      <c r="M113">
        <v>3</v>
      </c>
      <c r="N113">
        <v>0</v>
      </c>
      <c r="O113" s="7" t="s">
        <v>28</v>
      </c>
      <c r="P113">
        <v>0.69128000000000001</v>
      </c>
      <c r="Q113" s="7" t="s">
        <v>72</v>
      </c>
      <c r="R113">
        <v>0</v>
      </c>
      <c r="S113">
        <v>0</v>
      </c>
      <c r="T113">
        <v>1</v>
      </c>
      <c r="U113">
        <v>1.6912799999999999</v>
      </c>
    </row>
    <row r="114" spans="1:21" x14ac:dyDescent="0.25">
      <c r="A114">
        <v>113</v>
      </c>
      <c r="B114">
        <v>816240382</v>
      </c>
      <c r="C114" s="7" t="s">
        <v>70</v>
      </c>
      <c r="D114">
        <v>33.490299999999998</v>
      </c>
      <c r="E114">
        <v>4.2851699999999999</v>
      </c>
      <c r="F114">
        <v>33.490299999999998</v>
      </c>
      <c r="G114">
        <v>0</v>
      </c>
      <c r="H114">
        <v>-1.01</v>
      </c>
      <c r="I114">
        <v>0.5</v>
      </c>
      <c r="J114">
        <v>0</v>
      </c>
      <c r="K114">
        <v>0.49</v>
      </c>
      <c r="L114">
        <v>0</v>
      </c>
      <c r="M114">
        <v>3</v>
      </c>
      <c r="N114">
        <v>0</v>
      </c>
      <c r="O114" s="7" t="s">
        <v>28</v>
      </c>
      <c r="P114">
        <v>0</v>
      </c>
      <c r="Q114" s="7" t="s">
        <v>72</v>
      </c>
      <c r="R114">
        <v>0</v>
      </c>
      <c r="S114">
        <v>0</v>
      </c>
      <c r="T114">
        <v>1</v>
      </c>
      <c r="U114">
        <v>0.72682000000000002</v>
      </c>
    </row>
    <row r="115" spans="1:21" x14ac:dyDescent="0.25">
      <c r="A115">
        <v>114</v>
      </c>
      <c r="B115">
        <v>91888968</v>
      </c>
      <c r="C115" s="7" t="s">
        <v>70</v>
      </c>
      <c r="D115">
        <v>32.490299999999998</v>
      </c>
      <c r="E115">
        <v>4.0585699999999996</v>
      </c>
      <c r="F115">
        <v>32.490299999999998</v>
      </c>
      <c r="G115">
        <v>0</v>
      </c>
      <c r="H115">
        <v>-1.0198</v>
      </c>
      <c r="I115">
        <v>0.5</v>
      </c>
      <c r="J115">
        <v>0</v>
      </c>
      <c r="K115">
        <v>0.97019999999999995</v>
      </c>
      <c r="L115">
        <v>0</v>
      </c>
      <c r="M115">
        <v>3</v>
      </c>
      <c r="N115">
        <v>0</v>
      </c>
      <c r="O115" s="7" t="s">
        <v>28</v>
      </c>
      <c r="P115">
        <v>0</v>
      </c>
      <c r="Q115" s="7" t="s">
        <v>72</v>
      </c>
      <c r="R115">
        <v>0</v>
      </c>
      <c r="S115">
        <v>0</v>
      </c>
      <c r="T115">
        <v>1</v>
      </c>
      <c r="U115">
        <v>5.8999999999999997E-2</v>
      </c>
    </row>
    <row r="116" spans="1:21" x14ac:dyDescent="0.25">
      <c r="A116">
        <v>115</v>
      </c>
      <c r="B116">
        <v>471092618</v>
      </c>
      <c r="C116" s="7" t="s">
        <v>70</v>
      </c>
      <c r="D116">
        <v>35.5578</v>
      </c>
      <c r="E116">
        <v>3.9521600000000001</v>
      </c>
      <c r="F116">
        <v>36.3247</v>
      </c>
      <c r="G116">
        <v>0</v>
      </c>
      <c r="H116">
        <v>3.83439</v>
      </c>
      <c r="I116">
        <v>0</v>
      </c>
      <c r="J116">
        <v>0.97019999999999995</v>
      </c>
      <c r="K116">
        <v>0</v>
      </c>
      <c r="L116">
        <v>0.66802300000000003</v>
      </c>
      <c r="M116">
        <v>3</v>
      </c>
      <c r="N116">
        <v>0</v>
      </c>
      <c r="O116" s="7" t="s">
        <v>28</v>
      </c>
      <c r="P116">
        <v>0</v>
      </c>
      <c r="Q116" s="7" t="s">
        <v>28</v>
      </c>
      <c r="R116">
        <v>0</v>
      </c>
      <c r="S116">
        <v>0</v>
      </c>
      <c r="T116">
        <v>0</v>
      </c>
      <c r="U116">
        <v>0</v>
      </c>
    </row>
    <row r="117" spans="1:21" x14ac:dyDescent="0.25">
      <c r="A117">
        <v>116</v>
      </c>
      <c r="B117">
        <v>317043351</v>
      </c>
      <c r="C117" s="7" t="s">
        <v>70</v>
      </c>
      <c r="D117">
        <v>35.5578</v>
      </c>
      <c r="E117">
        <v>4.2728200000000003</v>
      </c>
      <c r="F117">
        <v>35.5578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0.14033999999999999</v>
      </c>
      <c r="M117">
        <v>3</v>
      </c>
      <c r="N117">
        <v>0</v>
      </c>
      <c r="O117" s="7" t="s">
        <v>28</v>
      </c>
      <c r="P117">
        <v>0.60121999999999998</v>
      </c>
      <c r="Q117" s="7" t="s">
        <v>28</v>
      </c>
      <c r="R117">
        <v>0</v>
      </c>
      <c r="S117">
        <v>0</v>
      </c>
      <c r="T117">
        <v>0</v>
      </c>
      <c r="U117">
        <v>0.60121999999999998</v>
      </c>
    </row>
    <row r="118" spans="1:21" x14ac:dyDescent="0.25">
      <c r="A118">
        <v>117</v>
      </c>
      <c r="B118">
        <v>805962990</v>
      </c>
      <c r="C118" s="7" t="s">
        <v>70</v>
      </c>
      <c r="D118">
        <v>35.5578</v>
      </c>
      <c r="E118">
        <v>4.2728200000000003</v>
      </c>
      <c r="F118">
        <v>35.5578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3.40951</v>
      </c>
      <c r="M118">
        <v>3</v>
      </c>
      <c r="N118">
        <v>0</v>
      </c>
      <c r="O118" s="7" t="s">
        <v>28</v>
      </c>
      <c r="P118">
        <v>0.126306</v>
      </c>
      <c r="Q118" s="7" t="s">
        <v>28</v>
      </c>
      <c r="R118">
        <v>0</v>
      </c>
      <c r="S118">
        <v>0</v>
      </c>
      <c r="T118">
        <v>0</v>
      </c>
      <c r="U118">
        <v>0.126306</v>
      </c>
    </row>
    <row r="119" spans="1:21" x14ac:dyDescent="0.25">
      <c r="A119">
        <v>118</v>
      </c>
      <c r="B119">
        <v>920954217</v>
      </c>
      <c r="C119" s="7" t="s">
        <v>70</v>
      </c>
      <c r="D119">
        <v>38.285200000000003</v>
      </c>
      <c r="E119">
        <v>4.2728200000000003</v>
      </c>
      <c r="F119">
        <v>38.966999999999999</v>
      </c>
      <c r="G119">
        <v>0</v>
      </c>
      <c r="H119">
        <v>3.40923</v>
      </c>
      <c r="I119">
        <v>1.5</v>
      </c>
      <c r="J119">
        <v>1.5</v>
      </c>
      <c r="K119">
        <v>0</v>
      </c>
      <c r="L119">
        <v>1.05532</v>
      </c>
      <c r="M119">
        <v>3</v>
      </c>
      <c r="N119">
        <v>0</v>
      </c>
      <c r="O119" s="7" t="s">
        <v>28</v>
      </c>
      <c r="P119">
        <v>6.8560399999999994E-2</v>
      </c>
      <c r="Q119" s="7" t="s">
        <v>99</v>
      </c>
      <c r="R119">
        <v>0</v>
      </c>
      <c r="S119">
        <v>0</v>
      </c>
      <c r="T119">
        <v>3</v>
      </c>
      <c r="U119">
        <v>3.0685600000000002</v>
      </c>
    </row>
    <row r="120" spans="1:21" x14ac:dyDescent="0.25">
      <c r="A120">
        <v>119</v>
      </c>
      <c r="B120">
        <v>856769218</v>
      </c>
      <c r="C120" s="7" t="s">
        <v>70</v>
      </c>
      <c r="D120">
        <v>35.285200000000003</v>
      </c>
      <c r="E120">
        <v>4.2728200000000003</v>
      </c>
      <c r="F120">
        <v>35.285200000000003</v>
      </c>
      <c r="G120">
        <v>0</v>
      </c>
      <c r="H120">
        <v>-3.03</v>
      </c>
      <c r="I120">
        <v>1.5</v>
      </c>
      <c r="J120">
        <v>0</v>
      </c>
      <c r="K120">
        <v>1.47</v>
      </c>
      <c r="L120">
        <v>0</v>
      </c>
      <c r="M120">
        <v>3</v>
      </c>
      <c r="N120">
        <v>0</v>
      </c>
      <c r="O120" s="7" t="s">
        <v>28</v>
      </c>
      <c r="P120">
        <v>0</v>
      </c>
      <c r="Q120" s="7" t="s">
        <v>99</v>
      </c>
      <c r="R120">
        <v>0</v>
      </c>
      <c r="S120">
        <v>0</v>
      </c>
      <c r="T120">
        <v>3</v>
      </c>
      <c r="U120">
        <v>2.4497800000000001</v>
      </c>
    </row>
    <row r="121" spans="1:21" x14ac:dyDescent="0.25">
      <c r="A121">
        <v>120</v>
      </c>
      <c r="B121">
        <v>796631172</v>
      </c>
      <c r="C121" s="7" t="s">
        <v>70</v>
      </c>
      <c r="D121">
        <v>40.684100000000001</v>
      </c>
      <c r="E121">
        <v>3.9333399999999998</v>
      </c>
      <c r="F121">
        <v>42.033799999999999</v>
      </c>
      <c r="G121">
        <v>0</v>
      </c>
      <c r="H121">
        <v>6.7486800000000002</v>
      </c>
      <c r="I121">
        <v>0.5</v>
      </c>
      <c r="J121">
        <v>1.97</v>
      </c>
      <c r="K121">
        <v>0</v>
      </c>
      <c r="L121">
        <v>0</v>
      </c>
      <c r="M121">
        <v>3</v>
      </c>
      <c r="N121">
        <v>0</v>
      </c>
      <c r="O121" s="7" t="s">
        <v>28</v>
      </c>
      <c r="P121">
        <v>0</v>
      </c>
      <c r="Q121" s="7" t="s">
        <v>100</v>
      </c>
      <c r="R121">
        <v>0</v>
      </c>
      <c r="S121">
        <v>0</v>
      </c>
      <c r="T121">
        <v>1</v>
      </c>
      <c r="U121">
        <v>0.17699999999999999</v>
      </c>
    </row>
    <row r="122" spans="1:21" x14ac:dyDescent="0.25">
      <c r="A122">
        <v>121</v>
      </c>
      <c r="B122">
        <v>714076111</v>
      </c>
      <c r="C122" s="7" t="s">
        <v>70</v>
      </c>
      <c r="D122">
        <v>41.582900000000002</v>
      </c>
      <c r="E122">
        <v>4.2469099999999997</v>
      </c>
      <c r="F122">
        <v>41.807600000000001</v>
      </c>
      <c r="G122">
        <v>0</v>
      </c>
      <c r="H122">
        <v>1.1234599999999999</v>
      </c>
      <c r="I122">
        <v>0.5</v>
      </c>
      <c r="J122">
        <v>0.5</v>
      </c>
      <c r="K122">
        <v>0</v>
      </c>
      <c r="L122">
        <v>0</v>
      </c>
      <c r="M122">
        <v>3</v>
      </c>
      <c r="N122">
        <v>0</v>
      </c>
      <c r="O122" s="7" t="s">
        <v>28</v>
      </c>
      <c r="P122">
        <v>0</v>
      </c>
      <c r="Q122" s="7" t="s">
        <v>100</v>
      </c>
      <c r="R122">
        <v>0</v>
      </c>
      <c r="S122">
        <v>0</v>
      </c>
      <c r="T122">
        <v>1</v>
      </c>
      <c r="U122">
        <v>0.5</v>
      </c>
    </row>
    <row r="123" spans="1:21" x14ac:dyDescent="0.25">
      <c r="A123">
        <v>122</v>
      </c>
      <c r="B123">
        <v>97631309</v>
      </c>
      <c r="C123" s="7" t="s">
        <v>70</v>
      </c>
      <c r="D123">
        <v>42.4816</v>
      </c>
      <c r="E123">
        <v>4.2469099999999997</v>
      </c>
      <c r="F123">
        <v>42.706299999999999</v>
      </c>
      <c r="G123">
        <v>0</v>
      </c>
      <c r="H123">
        <v>1.1234599999999999</v>
      </c>
      <c r="I123">
        <v>0.5</v>
      </c>
      <c r="J123">
        <v>0.5</v>
      </c>
      <c r="K123">
        <v>0</v>
      </c>
      <c r="L123">
        <v>0.61111300000000002</v>
      </c>
      <c r="M123">
        <v>3</v>
      </c>
      <c r="N123">
        <v>0</v>
      </c>
      <c r="O123" s="7" t="s">
        <v>28</v>
      </c>
      <c r="P123">
        <v>0</v>
      </c>
      <c r="Q123" s="7" t="s">
        <v>100</v>
      </c>
      <c r="R123">
        <v>0</v>
      </c>
      <c r="S123">
        <v>0</v>
      </c>
      <c r="T123">
        <v>1</v>
      </c>
      <c r="U123">
        <v>0.5</v>
      </c>
    </row>
    <row r="124" spans="1:21" x14ac:dyDescent="0.25">
      <c r="A124">
        <v>123</v>
      </c>
      <c r="B124">
        <v>450675632</v>
      </c>
      <c r="C124" s="7" t="s">
        <v>70</v>
      </c>
      <c r="D124">
        <v>41.4816</v>
      </c>
      <c r="E124">
        <v>4.2469099999999997</v>
      </c>
      <c r="F124">
        <v>41.4816</v>
      </c>
      <c r="G124">
        <v>0</v>
      </c>
      <c r="H124">
        <v>-1.01</v>
      </c>
      <c r="I124">
        <v>0.5</v>
      </c>
      <c r="J124">
        <v>0</v>
      </c>
      <c r="K124">
        <v>0.49</v>
      </c>
      <c r="L124">
        <v>0</v>
      </c>
      <c r="M124">
        <v>3</v>
      </c>
      <c r="N124">
        <v>0</v>
      </c>
      <c r="O124" s="7" t="s">
        <v>28</v>
      </c>
      <c r="P124">
        <v>5.0001499999999997E-2</v>
      </c>
      <c r="Q124" s="7" t="s">
        <v>100</v>
      </c>
      <c r="R124">
        <v>0</v>
      </c>
      <c r="S124">
        <v>0</v>
      </c>
      <c r="T124">
        <v>1</v>
      </c>
      <c r="U124">
        <v>1.05</v>
      </c>
    </row>
    <row r="125" spans="1:21" x14ac:dyDescent="0.25">
      <c r="A125">
        <v>124</v>
      </c>
      <c r="B125">
        <v>200322327</v>
      </c>
      <c r="C125" s="7" t="s">
        <v>70</v>
      </c>
      <c r="D125">
        <v>43.732100000000003</v>
      </c>
      <c r="E125">
        <v>4.1832599999999998</v>
      </c>
      <c r="F125">
        <v>44.2943</v>
      </c>
      <c r="G125">
        <v>0</v>
      </c>
      <c r="H125">
        <v>2.8111100000000002</v>
      </c>
      <c r="I125">
        <v>0.5</v>
      </c>
      <c r="J125">
        <v>0.91141300000000003</v>
      </c>
      <c r="K125">
        <v>7.7015200000000006E-2</v>
      </c>
      <c r="L125">
        <v>0</v>
      </c>
      <c r="M125">
        <v>3</v>
      </c>
      <c r="N125">
        <v>0</v>
      </c>
      <c r="O125" s="7" t="s">
        <v>28</v>
      </c>
      <c r="P125">
        <v>0</v>
      </c>
      <c r="Q125" s="7" t="s">
        <v>100</v>
      </c>
      <c r="R125">
        <v>0</v>
      </c>
      <c r="S125">
        <v>0</v>
      </c>
      <c r="T125">
        <v>1</v>
      </c>
      <c r="U125">
        <v>5.8999999999999997E-2</v>
      </c>
    </row>
    <row r="126" spans="1:21" x14ac:dyDescent="0.25">
      <c r="A126">
        <v>125</v>
      </c>
      <c r="B126">
        <v>139257017</v>
      </c>
      <c r="C126" s="7" t="s">
        <v>70</v>
      </c>
      <c r="D126">
        <v>44.863100000000003</v>
      </c>
      <c r="E126">
        <v>4.1832599999999998</v>
      </c>
      <c r="F126">
        <v>45.145899999999997</v>
      </c>
      <c r="G126">
        <v>0</v>
      </c>
      <c r="H126">
        <v>1.4137999999999999</v>
      </c>
      <c r="I126">
        <v>0.5</v>
      </c>
      <c r="J126">
        <v>0.57701499999999994</v>
      </c>
      <c r="K126">
        <v>0</v>
      </c>
      <c r="L126">
        <v>0.68267</v>
      </c>
      <c r="M126">
        <v>3</v>
      </c>
      <c r="N126">
        <v>0</v>
      </c>
      <c r="O126" s="7" t="s">
        <v>28</v>
      </c>
      <c r="P126">
        <v>0</v>
      </c>
      <c r="Q126" s="7" t="s">
        <v>100</v>
      </c>
      <c r="R126">
        <v>0</v>
      </c>
      <c r="S126">
        <v>0</v>
      </c>
      <c r="T126">
        <v>1</v>
      </c>
      <c r="U126">
        <v>0.43068600000000001</v>
      </c>
    </row>
    <row r="127" spans="1:21" x14ac:dyDescent="0.25">
      <c r="A127">
        <v>126</v>
      </c>
      <c r="B127">
        <v>707597789</v>
      </c>
      <c r="C127" s="7" t="s">
        <v>70</v>
      </c>
      <c r="D127">
        <v>45.856299999999997</v>
      </c>
      <c r="E127">
        <v>4.4829800000000004</v>
      </c>
      <c r="F127">
        <v>46.104599999999998</v>
      </c>
      <c r="G127">
        <v>0</v>
      </c>
      <c r="H127">
        <v>1.24149</v>
      </c>
      <c r="I127">
        <v>0.5</v>
      </c>
      <c r="J127">
        <v>0.5</v>
      </c>
      <c r="K127">
        <v>0</v>
      </c>
      <c r="L127">
        <v>0.821322</v>
      </c>
      <c r="M127">
        <v>3</v>
      </c>
      <c r="N127">
        <v>0</v>
      </c>
      <c r="O127" s="7" t="s">
        <v>28</v>
      </c>
      <c r="P127">
        <v>0.114403</v>
      </c>
      <c r="Q127" s="7" t="s">
        <v>100</v>
      </c>
      <c r="R127">
        <v>0</v>
      </c>
      <c r="S127">
        <v>0</v>
      </c>
      <c r="T127">
        <v>1</v>
      </c>
      <c r="U127">
        <v>1.1144000000000001</v>
      </c>
    </row>
    <row r="128" spans="1:21" x14ac:dyDescent="0.25">
      <c r="A128">
        <v>127</v>
      </c>
      <c r="B128">
        <v>698675811</v>
      </c>
      <c r="C128" s="7" t="s">
        <v>70</v>
      </c>
      <c r="D128">
        <v>46.849499999999999</v>
      </c>
      <c r="E128">
        <v>4.4829800000000004</v>
      </c>
      <c r="F128">
        <v>47.097799999999999</v>
      </c>
      <c r="G128">
        <v>0</v>
      </c>
      <c r="H128">
        <v>1.24149</v>
      </c>
      <c r="I128">
        <v>0.5</v>
      </c>
      <c r="J128">
        <v>0.5</v>
      </c>
      <c r="K128">
        <v>0</v>
      </c>
      <c r="L128">
        <v>1.25691</v>
      </c>
      <c r="M128">
        <v>3</v>
      </c>
      <c r="N128">
        <v>0</v>
      </c>
      <c r="O128" s="7" t="s">
        <v>28</v>
      </c>
      <c r="P128">
        <v>0.23919000000000001</v>
      </c>
      <c r="Q128" s="7" t="s">
        <v>100</v>
      </c>
      <c r="R128">
        <v>0</v>
      </c>
      <c r="S128">
        <v>0</v>
      </c>
      <c r="T128">
        <v>1</v>
      </c>
      <c r="U128">
        <v>1.23919</v>
      </c>
    </row>
    <row r="129" spans="1:21" x14ac:dyDescent="0.25">
      <c r="A129">
        <v>128</v>
      </c>
      <c r="B129">
        <v>889808781</v>
      </c>
      <c r="C129" s="7" t="s">
        <v>70</v>
      </c>
      <c r="D129">
        <v>47.842700000000001</v>
      </c>
      <c r="E129">
        <v>4.4829800000000004</v>
      </c>
      <c r="F129">
        <v>48.091000000000001</v>
      </c>
      <c r="G129">
        <v>0</v>
      </c>
      <c r="H129">
        <v>1.24149</v>
      </c>
      <c r="I129">
        <v>0.5</v>
      </c>
      <c r="J129">
        <v>0.5</v>
      </c>
      <c r="K129">
        <v>0</v>
      </c>
      <c r="L129">
        <v>1.16794</v>
      </c>
      <c r="M129">
        <v>3</v>
      </c>
      <c r="N129">
        <v>0</v>
      </c>
      <c r="O129" s="7" t="s">
        <v>28</v>
      </c>
      <c r="P129">
        <v>0.63122199999999995</v>
      </c>
      <c r="Q129" s="7" t="s">
        <v>100</v>
      </c>
      <c r="R129">
        <v>0</v>
      </c>
      <c r="S129">
        <v>0</v>
      </c>
      <c r="T129">
        <v>1</v>
      </c>
      <c r="U129">
        <v>1.6312199999999999</v>
      </c>
    </row>
    <row r="130" spans="1:21" x14ac:dyDescent="0.25">
      <c r="A130">
        <v>129</v>
      </c>
      <c r="B130">
        <v>166225787</v>
      </c>
      <c r="C130" s="7" t="s">
        <v>70</v>
      </c>
      <c r="D130">
        <v>48.835900000000002</v>
      </c>
      <c r="E130">
        <v>4.4829800000000004</v>
      </c>
      <c r="F130">
        <v>49.084200000000003</v>
      </c>
      <c r="G130">
        <v>0</v>
      </c>
      <c r="H130">
        <v>1.24149</v>
      </c>
      <c r="I130">
        <v>0.5</v>
      </c>
      <c r="J130">
        <v>0.5</v>
      </c>
      <c r="K130">
        <v>0</v>
      </c>
      <c r="L130">
        <v>1.11117</v>
      </c>
      <c r="M130">
        <v>3</v>
      </c>
      <c r="N130">
        <v>0</v>
      </c>
      <c r="O130" s="7" t="s">
        <v>28</v>
      </c>
      <c r="P130">
        <v>0.55114700000000005</v>
      </c>
      <c r="Q130" s="7" t="s">
        <v>100</v>
      </c>
      <c r="R130">
        <v>0</v>
      </c>
      <c r="S130">
        <v>0</v>
      </c>
      <c r="T130">
        <v>1</v>
      </c>
      <c r="U130">
        <v>1.55115</v>
      </c>
    </row>
    <row r="131" spans="1:21" x14ac:dyDescent="0.25">
      <c r="A131">
        <v>130</v>
      </c>
      <c r="B131">
        <v>79692009</v>
      </c>
      <c r="C131" s="7" t="s">
        <v>70</v>
      </c>
      <c r="D131">
        <v>48.825400000000002</v>
      </c>
      <c r="E131">
        <v>4.4829800000000004</v>
      </c>
      <c r="F131">
        <v>48.825400000000002</v>
      </c>
      <c r="G131">
        <v>0</v>
      </c>
      <c r="H131">
        <v>-1.6099200000000001E-2</v>
      </c>
      <c r="I131">
        <v>0.5</v>
      </c>
      <c r="J131">
        <v>0.220721</v>
      </c>
      <c r="K131">
        <v>0.27369399999999999</v>
      </c>
      <c r="L131">
        <v>0</v>
      </c>
      <c r="M131">
        <v>3</v>
      </c>
      <c r="N131">
        <v>0</v>
      </c>
      <c r="O131" s="7" t="s">
        <v>28</v>
      </c>
      <c r="P131">
        <v>0.50004899999999997</v>
      </c>
      <c r="Q131" s="7" t="s">
        <v>100</v>
      </c>
      <c r="R131">
        <v>0</v>
      </c>
      <c r="S131">
        <v>0</v>
      </c>
      <c r="T131">
        <v>1</v>
      </c>
      <c r="U131">
        <v>1.5000500000000001</v>
      </c>
    </row>
    <row r="132" spans="1:21" x14ac:dyDescent="0.25">
      <c r="A132">
        <v>131</v>
      </c>
      <c r="B132">
        <v>700289104</v>
      </c>
      <c r="C132" s="7" t="s">
        <v>70</v>
      </c>
      <c r="D132">
        <v>48.608400000000003</v>
      </c>
      <c r="E132">
        <v>4.34558</v>
      </c>
      <c r="F132">
        <v>48.608400000000003</v>
      </c>
      <c r="G132">
        <v>0</v>
      </c>
      <c r="H132">
        <v>-0.22888900000000001</v>
      </c>
      <c r="I132">
        <v>0.5</v>
      </c>
      <c r="J132">
        <v>0.18017900000000001</v>
      </c>
      <c r="K132">
        <v>0.58164499999999997</v>
      </c>
      <c r="L132">
        <v>0</v>
      </c>
      <c r="M132">
        <v>3</v>
      </c>
      <c r="N132">
        <v>0</v>
      </c>
      <c r="O132" s="7" t="s">
        <v>28</v>
      </c>
      <c r="P132">
        <v>0</v>
      </c>
      <c r="Q132" s="7" t="s">
        <v>100</v>
      </c>
      <c r="R132">
        <v>0</v>
      </c>
      <c r="S132">
        <v>0</v>
      </c>
      <c r="T132">
        <v>1</v>
      </c>
      <c r="U132">
        <v>0.25367600000000001</v>
      </c>
    </row>
    <row r="133" spans="1:21" x14ac:dyDescent="0.25">
      <c r="A133">
        <v>132</v>
      </c>
      <c r="B133">
        <v>786519094</v>
      </c>
      <c r="C133" s="7" t="s">
        <v>70</v>
      </c>
      <c r="D133">
        <v>50.630400000000002</v>
      </c>
      <c r="E133">
        <v>4.34558</v>
      </c>
      <c r="F133">
        <v>51.136000000000003</v>
      </c>
      <c r="G133">
        <v>0</v>
      </c>
      <c r="H133">
        <v>2.5275799999999999</v>
      </c>
      <c r="I133">
        <v>0</v>
      </c>
      <c r="J133">
        <v>0.58164499999999997</v>
      </c>
      <c r="K133">
        <v>0</v>
      </c>
      <c r="L133">
        <v>0</v>
      </c>
      <c r="M133">
        <v>3</v>
      </c>
      <c r="N133">
        <v>0</v>
      </c>
      <c r="O133" s="7" t="s">
        <v>28</v>
      </c>
      <c r="P133">
        <v>0</v>
      </c>
      <c r="Q133" s="7" t="s">
        <v>28</v>
      </c>
      <c r="R133">
        <v>0</v>
      </c>
      <c r="S133">
        <v>0</v>
      </c>
      <c r="T133">
        <v>0</v>
      </c>
      <c r="U133">
        <v>0</v>
      </c>
    </row>
    <row r="134" spans="1:21" x14ac:dyDescent="0.25">
      <c r="A134">
        <v>133</v>
      </c>
      <c r="B134">
        <v>817579004</v>
      </c>
      <c r="C134" s="7" t="s">
        <v>70</v>
      </c>
      <c r="D134">
        <v>50.630400000000002</v>
      </c>
      <c r="E134">
        <v>4.7716599999999998</v>
      </c>
      <c r="F134">
        <v>50.630400000000002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1.04257</v>
      </c>
      <c r="M134">
        <v>3</v>
      </c>
      <c r="N134">
        <v>0</v>
      </c>
      <c r="O134" s="7" t="s">
        <v>28</v>
      </c>
      <c r="P134">
        <v>0</v>
      </c>
      <c r="Q134" s="7" t="s">
        <v>28</v>
      </c>
      <c r="R134">
        <v>0</v>
      </c>
      <c r="S134">
        <v>0</v>
      </c>
      <c r="T134">
        <v>0</v>
      </c>
      <c r="U134">
        <v>0</v>
      </c>
    </row>
    <row r="135" spans="1:21" x14ac:dyDescent="0.25">
      <c r="A135">
        <v>134</v>
      </c>
      <c r="B135">
        <v>862707412</v>
      </c>
      <c r="C135" s="7" t="s">
        <v>70</v>
      </c>
      <c r="D135">
        <v>50.630400000000002</v>
      </c>
      <c r="E135">
        <v>4.7716599999999998</v>
      </c>
      <c r="F135">
        <v>50.630400000000002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3</v>
      </c>
      <c r="N135">
        <v>0</v>
      </c>
      <c r="O135" s="7" t="s">
        <v>28</v>
      </c>
      <c r="P135">
        <v>0.93831600000000004</v>
      </c>
      <c r="Q135" s="7" t="s">
        <v>28</v>
      </c>
      <c r="R135">
        <v>0</v>
      </c>
      <c r="S135">
        <v>0</v>
      </c>
      <c r="T135">
        <v>0</v>
      </c>
      <c r="U135">
        <v>0.93831600000000004</v>
      </c>
    </row>
    <row r="136" spans="1:21" x14ac:dyDescent="0.25">
      <c r="A136">
        <v>135</v>
      </c>
      <c r="B136">
        <v>608022599</v>
      </c>
      <c r="C136" s="7" t="s">
        <v>70</v>
      </c>
      <c r="D136">
        <v>50.630400000000002</v>
      </c>
      <c r="E136">
        <v>4.7716599999999998</v>
      </c>
      <c r="F136">
        <v>50.630400000000002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0.54054100000000005</v>
      </c>
      <c r="M136">
        <v>3</v>
      </c>
      <c r="N136">
        <v>0</v>
      </c>
      <c r="O136" s="7" t="s">
        <v>28</v>
      </c>
      <c r="P136">
        <v>0</v>
      </c>
      <c r="Q136" s="7" t="s">
        <v>28</v>
      </c>
      <c r="R136">
        <v>0</v>
      </c>
      <c r="S136">
        <v>0</v>
      </c>
      <c r="T136">
        <v>0</v>
      </c>
      <c r="U136">
        <v>0</v>
      </c>
    </row>
    <row r="137" spans="1:21" x14ac:dyDescent="0.25">
      <c r="A137">
        <v>136</v>
      </c>
      <c r="B137">
        <v>183592588</v>
      </c>
      <c r="C137" s="7" t="s">
        <v>70</v>
      </c>
      <c r="D137">
        <v>50.630400000000002</v>
      </c>
      <c r="E137">
        <v>4.7716599999999998</v>
      </c>
      <c r="F137">
        <v>50.630400000000002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2.5617999999999999</v>
      </c>
      <c r="M137">
        <v>3</v>
      </c>
      <c r="N137">
        <v>0</v>
      </c>
      <c r="O137" s="7" t="s">
        <v>28</v>
      </c>
      <c r="P137">
        <v>0.48648599999999997</v>
      </c>
      <c r="Q137" s="7" t="s">
        <v>28</v>
      </c>
      <c r="R137">
        <v>0</v>
      </c>
      <c r="S137">
        <v>0</v>
      </c>
      <c r="T137">
        <v>0</v>
      </c>
      <c r="U137">
        <v>0.48648599999999997</v>
      </c>
    </row>
    <row r="138" spans="1:21" x14ac:dyDescent="0.25">
      <c r="A138">
        <v>137</v>
      </c>
      <c r="B138">
        <v>624743927</v>
      </c>
      <c r="C138" s="7" t="s">
        <v>70</v>
      </c>
      <c r="D138">
        <v>52.847799999999999</v>
      </c>
      <c r="E138">
        <v>4.7716599999999998</v>
      </c>
      <c r="F138">
        <v>53.402099999999997</v>
      </c>
      <c r="G138">
        <v>0</v>
      </c>
      <c r="H138">
        <v>2.7716500000000002</v>
      </c>
      <c r="I138">
        <v>1</v>
      </c>
      <c r="J138">
        <v>1</v>
      </c>
      <c r="K138">
        <v>0</v>
      </c>
      <c r="L138">
        <v>0.433342</v>
      </c>
      <c r="M138">
        <v>3</v>
      </c>
      <c r="N138">
        <v>0</v>
      </c>
      <c r="O138" s="7" t="s">
        <v>28</v>
      </c>
      <c r="P138">
        <v>0.30562</v>
      </c>
      <c r="Q138" s="7" t="s">
        <v>101</v>
      </c>
      <c r="R138">
        <v>0</v>
      </c>
      <c r="S138">
        <v>0</v>
      </c>
      <c r="T138">
        <v>2</v>
      </c>
      <c r="U138">
        <v>2.3056199999999998</v>
      </c>
    </row>
    <row r="139" spans="1:21" x14ac:dyDescent="0.25">
      <c r="A139">
        <v>138</v>
      </c>
      <c r="B139">
        <v>290088913</v>
      </c>
      <c r="C139" s="7" t="s">
        <v>70</v>
      </c>
      <c r="D139">
        <v>53.164700000000003</v>
      </c>
      <c r="E139">
        <v>4.7716599999999998</v>
      </c>
      <c r="F139">
        <v>53.241399999999999</v>
      </c>
      <c r="G139">
        <v>0</v>
      </c>
      <c r="H139">
        <v>0.38365300000000002</v>
      </c>
      <c r="I139">
        <v>1</v>
      </c>
      <c r="J139">
        <v>0.501633</v>
      </c>
      <c r="K139">
        <v>0.4884</v>
      </c>
      <c r="L139">
        <v>0</v>
      </c>
      <c r="M139">
        <v>3</v>
      </c>
      <c r="N139">
        <v>0</v>
      </c>
      <c r="O139" s="7" t="s">
        <v>28</v>
      </c>
      <c r="P139">
        <v>0</v>
      </c>
      <c r="Q139" s="7" t="s">
        <v>101</v>
      </c>
      <c r="R139">
        <v>0</v>
      </c>
      <c r="S139">
        <v>0</v>
      </c>
      <c r="T139">
        <v>2</v>
      </c>
      <c r="U139">
        <v>1.39001</v>
      </c>
    </row>
    <row r="140" spans="1:21" x14ac:dyDescent="0.25">
      <c r="A140">
        <v>139</v>
      </c>
      <c r="B140">
        <v>130908304</v>
      </c>
      <c r="C140" s="7" t="s">
        <v>70</v>
      </c>
      <c r="D140">
        <v>52.355499999999999</v>
      </c>
      <c r="E140">
        <v>4.7081</v>
      </c>
      <c r="F140">
        <v>52.355499999999999</v>
      </c>
      <c r="G140">
        <v>0</v>
      </c>
      <c r="H140">
        <v>-0.82808800000000005</v>
      </c>
      <c r="I140">
        <v>0.5</v>
      </c>
      <c r="J140">
        <v>4.05405E-2</v>
      </c>
      <c r="K140">
        <v>0.92890200000000001</v>
      </c>
      <c r="L140">
        <v>0</v>
      </c>
      <c r="M140">
        <v>3</v>
      </c>
      <c r="N140">
        <v>0</v>
      </c>
      <c r="O140" s="7" t="s">
        <v>28</v>
      </c>
      <c r="P140">
        <v>0</v>
      </c>
      <c r="Q140" s="7" t="s">
        <v>102</v>
      </c>
      <c r="R140">
        <v>0</v>
      </c>
      <c r="S140">
        <v>0</v>
      </c>
      <c r="T140">
        <v>1</v>
      </c>
      <c r="U140">
        <v>0.56044000000000005</v>
      </c>
    </row>
    <row r="141" spans="1:21" x14ac:dyDescent="0.25">
      <c r="A141">
        <v>140</v>
      </c>
      <c r="B141">
        <v>196763317</v>
      </c>
      <c r="C141" s="7" t="s">
        <v>70</v>
      </c>
      <c r="D141">
        <v>52.355499999999999</v>
      </c>
      <c r="E141">
        <v>4.7081</v>
      </c>
      <c r="F141">
        <v>52.355499999999999</v>
      </c>
      <c r="G141">
        <v>0</v>
      </c>
      <c r="H141">
        <v>-1.8578000000000001E-2</v>
      </c>
      <c r="I141">
        <v>0</v>
      </c>
      <c r="J141">
        <v>0</v>
      </c>
      <c r="K141">
        <v>0.91032400000000002</v>
      </c>
      <c r="L141">
        <v>0</v>
      </c>
      <c r="M141">
        <v>3</v>
      </c>
      <c r="N141">
        <v>0</v>
      </c>
      <c r="O141" s="7" t="s">
        <v>28</v>
      </c>
      <c r="P141">
        <v>0</v>
      </c>
      <c r="Q141" s="7" t="s">
        <v>28</v>
      </c>
      <c r="R141">
        <v>0</v>
      </c>
      <c r="S141">
        <v>0</v>
      </c>
      <c r="T141">
        <v>0</v>
      </c>
      <c r="U141">
        <v>0</v>
      </c>
    </row>
    <row r="142" spans="1:21" x14ac:dyDescent="0.25">
      <c r="A142">
        <v>141</v>
      </c>
      <c r="B142">
        <v>384506102</v>
      </c>
      <c r="C142" s="7" t="s">
        <v>70</v>
      </c>
      <c r="D142">
        <v>55.784199999999998</v>
      </c>
      <c r="E142">
        <v>4.7081</v>
      </c>
      <c r="F142">
        <v>56.641399999999997</v>
      </c>
      <c r="G142">
        <v>0</v>
      </c>
      <c r="H142">
        <v>4.2858900000000002</v>
      </c>
      <c r="I142">
        <v>0</v>
      </c>
      <c r="J142">
        <v>0.91032400000000002</v>
      </c>
      <c r="K142">
        <v>0</v>
      </c>
      <c r="L142">
        <v>1.1730499999999999</v>
      </c>
      <c r="M142">
        <v>3</v>
      </c>
      <c r="N142">
        <v>0</v>
      </c>
      <c r="O142" s="7" t="s">
        <v>28</v>
      </c>
      <c r="P142">
        <v>0</v>
      </c>
      <c r="Q142" s="7" t="s">
        <v>28</v>
      </c>
      <c r="R142">
        <v>0</v>
      </c>
      <c r="S142">
        <v>0</v>
      </c>
      <c r="T142">
        <v>0</v>
      </c>
      <c r="U142">
        <v>0</v>
      </c>
    </row>
    <row r="143" spans="1:21" x14ac:dyDescent="0.25">
      <c r="A143">
        <v>142</v>
      </c>
      <c r="B143">
        <v>249204111</v>
      </c>
      <c r="C143" s="7" t="s">
        <v>70</v>
      </c>
      <c r="D143">
        <v>54.784199999999998</v>
      </c>
      <c r="E143">
        <v>4.73611</v>
      </c>
      <c r="F143">
        <v>54.784199999999998</v>
      </c>
      <c r="G143">
        <v>0</v>
      </c>
      <c r="H143">
        <v>-1.01</v>
      </c>
      <c r="I143">
        <v>0.5</v>
      </c>
      <c r="J143">
        <v>0</v>
      </c>
      <c r="K143">
        <v>0.49</v>
      </c>
      <c r="L143">
        <v>0</v>
      </c>
      <c r="M143">
        <v>3</v>
      </c>
      <c r="N143">
        <v>0</v>
      </c>
      <c r="O143" s="7" t="s">
        <v>28</v>
      </c>
      <c r="P143">
        <v>5.5742199999999999E-2</v>
      </c>
      <c r="Q143" s="7" t="s">
        <v>103</v>
      </c>
      <c r="R143">
        <v>0</v>
      </c>
      <c r="S143">
        <v>0</v>
      </c>
      <c r="T143">
        <v>1</v>
      </c>
      <c r="U143">
        <v>1.0557399999999999</v>
      </c>
    </row>
    <row r="144" spans="1:21" x14ac:dyDescent="0.25">
      <c r="A144">
        <v>143</v>
      </c>
      <c r="B144">
        <v>382602851</v>
      </c>
      <c r="C144" s="7" t="s">
        <v>70</v>
      </c>
      <c r="D144">
        <v>57.735199999999999</v>
      </c>
      <c r="E144">
        <v>4.73611</v>
      </c>
      <c r="F144">
        <v>58.472999999999999</v>
      </c>
      <c r="G144">
        <v>0</v>
      </c>
      <c r="H144">
        <v>3.6887500000000002</v>
      </c>
      <c r="I144">
        <v>0.5</v>
      </c>
      <c r="J144">
        <v>0.99</v>
      </c>
      <c r="K144">
        <v>0</v>
      </c>
      <c r="L144">
        <v>0.57673200000000002</v>
      </c>
      <c r="M144">
        <v>3</v>
      </c>
      <c r="N144">
        <v>0</v>
      </c>
      <c r="O144" s="7" t="s">
        <v>28</v>
      </c>
      <c r="P144">
        <v>0</v>
      </c>
      <c r="Q144" s="7" t="s">
        <v>103</v>
      </c>
      <c r="R144">
        <v>0</v>
      </c>
      <c r="S144">
        <v>0</v>
      </c>
      <c r="T144">
        <v>1</v>
      </c>
      <c r="U144">
        <v>5.8999999999999997E-2</v>
      </c>
    </row>
    <row r="145" spans="1:21" x14ac:dyDescent="0.25">
      <c r="A145">
        <v>144</v>
      </c>
      <c r="B145">
        <v>216083730</v>
      </c>
      <c r="C145" s="7" t="s">
        <v>70</v>
      </c>
      <c r="D145">
        <v>58.8324</v>
      </c>
      <c r="E145">
        <v>4.7429699999999997</v>
      </c>
      <c r="F145">
        <v>59.106699999999996</v>
      </c>
      <c r="G145">
        <v>0</v>
      </c>
      <c r="H145">
        <v>1.3714900000000001</v>
      </c>
      <c r="I145">
        <v>0.5</v>
      </c>
      <c r="J145">
        <v>0.5</v>
      </c>
      <c r="K145">
        <v>0</v>
      </c>
      <c r="L145">
        <v>1.2415799999999999</v>
      </c>
      <c r="M145">
        <v>3</v>
      </c>
      <c r="N145">
        <v>0</v>
      </c>
      <c r="O145" s="7" t="s">
        <v>28</v>
      </c>
      <c r="P145">
        <v>1.9059199999999998E-2</v>
      </c>
      <c r="Q145" s="7" t="s">
        <v>103</v>
      </c>
      <c r="R145">
        <v>0</v>
      </c>
      <c r="S145">
        <v>0</v>
      </c>
      <c r="T145">
        <v>1</v>
      </c>
      <c r="U145">
        <v>1.0190600000000001</v>
      </c>
    </row>
    <row r="146" spans="1:21" x14ac:dyDescent="0.25">
      <c r="A146">
        <v>145</v>
      </c>
      <c r="B146">
        <v>968375681</v>
      </c>
      <c r="C146" s="7" t="s">
        <v>70</v>
      </c>
      <c r="D146">
        <v>59.9711</v>
      </c>
      <c r="E146">
        <v>4.8466100000000001</v>
      </c>
      <c r="F146">
        <v>60.255699999999997</v>
      </c>
      <c r="G146">
        <v>0</v>
      </c>
      <c r="H146">
        <v>1.4233100000000001</v>
      </c>
      <c r="I146">
        <v>0.5</v>
      </c>
      <c r="J146">
        <v>0.5</v>
      </c>
      <c r="K146">
        <v>0</v>
      </c>
      <c r="L146">
        <v>0</v>
      </c>
      <c r="M146">
        <v>3</v>
      </c>
      <c r="N146">
        <v>0</v>
      </c>
      <c r="O146" s="7" t="s">
        <v>28</v>
      </c>
      <c r="P146">
        <v>0.61741800000000002</v>
      </c>
      <c r="Q146" s="7" t="s">
        <v>103</v>
      </c>
      <c r="R146">
        <v>0</v>
      </c>
      <c r="S146">
        <v>0</v>
      </c>
      <c r="T146">
        <v>1</v>
      </c>
      <c r="U146">
        <v>1.6174200000000001</v>
      </c>
    </row>
    <row r="147" spans="1:21" x14ac:dyDescent="0.25">
      <c r="A147">
        <v>146</v>
      </c>
      <c r="B147">
        <v>459662802</v>
      </c>
      <c r="C147" s="7" t="s">
        <v>70</v>
      </c>
      <c r="D147">
        <v>61.250500000000002</v>
      </c>
      <c r="E147">
        <v>5.1985400000000004</v>
      </c>
      <c r="F147">
        <v>61.570300000000003</v>
      </c>
      <c r="G147">
        <v>0</v>
      </c>
      <c r="H147">
        <v>1.59927</v>
      </c>
      <c r="I147">
        <v>0.5</v>
      </c>
      <c r="J147">
        <v>0.5</v>
      </c>
      <c r="K147">
        <v>0</v>
      </c>
      <c r="L147">
        <v>0.42227500000000001</v>
      </c>
      <c r="M147">
        <v>3</v>
      </c>
      <c r="N147">
        <v>0</v>
      </c>
      <c r="O147" s="7" t="s">
        <v>28</v>
      </c>
      <c r="P147">
        <v>0</v>
      </c>
      <c r="Q147" s="7" t="s">
        <v>103</v>
      </c>
      <c r="R147">
        <v>0</v>
      </c>
      <c r="S147">
        <v>0</v>
      </c>
      <c r="T147">
        <v>1</v>
      </c>
      <c r="U147">
        <v>0.5</v>
      </c>
    </row>
    <row r="148" spans="1:21" x14ac:dyDescent="0.25">
      <c r="A148">
        <v>147</v>
      </c>
      <c r="B148">
        <v>223676795</v>
      </c>
      <c r="C148" s="7" t="s">
        <v>70</v>
      </c>
      <c r="D148">
        <v>62.529899999999998</v>
      </c>
      <c r="E148">
        <v>5.1985400000000004</v>
      </c>
      <c r="F148">
        <v>62.849800000000002</v>
      </c>
      <c r="G148">
        <v>0</v>
      </c>
      <c r="H148">
        <v>1.59927</v>
      </c>
      <c r="I148">
        <v>0.5</v>
      </c>
      <c r="J148">
        <v>0.5</v>
      </c>
      <c r="K148">
        <v>0</v>
      </c>
      <c r="L148">
        <v>1.04457</v>
      </c>
      <c r="M148">
        <v>3</v>
      </c>
      <c r="N148">
        <v>0</v>
      </c>
      <c r="O148" s="7" t="s">
        <v>28</v>
      </c>
      <c r="P148">
        <v>0</v>
      </c>
      <c r="Q148" s="7" t="s">
        <v>103</v>
      </c>
      <c r="R148">
        <v>0</v>
      </c>
      <c r="S148">
        <v>0</v>
      </c>
      <c r="T148">
        <v>1</v>
      </c>
      <c r="U148">
        <v>0.88004700000000002</v>
      </c>
    </row>
    <row r="149" spans="1:21" x14ac:dyDescent="0.25">
      <c r="A149">
        <v>148</v>
      </c>
      <c r="B149">
        <v>460567039</v>
      </c>
      <c r="C149" s="7" t="s">
        <v>70</v>
      </c>
      <c r="D149">
        <v>63.8093</v>
      </c>
      <c r="E149">
        <v>5.1985400000000004</v>
      </c>
      <c r="F149">
        <v>64.129199999999997</v>
      </c>
      <c r="G149">
        <v>0</v>
      </c>
      <c r="H149">
        <v>1.59927</v>
      </c>
      <c r="I149">
        <v>0.5</v>
      </c>
      <c r="J149">
        <v>0.5</v>
      </c>
      <c r="K149">
        <v>0</v>
      </c>
      <c r="L149">
        <v>0.184476</v>
      </c>
      <c r="M149">
        <v>3</v>
      </c>
      <c r="N149">
        <v>0</v>
      </c>
      <c r="O149" s="7" t="s">
        <v>28</v>
      </c>
      <c r="P149">
        <v>0.440112</v>
      </c>
      <c r="Q149" s="7" t="s">
        <v>103</v>
      </c>
      <c r="R149">
        <v>0</v>
      </c>
      <c r="S149">
        <v>0</v>
      </c>
      <c r="T149">
        <v>1</v>
      </c>
      <c r="U149">
        <v>1.44011</v>
      </c>
    </row>
    <row r="150" spans="1:21" x14ac:dyDescent="0.25">
      <c r="A150">
        <v>149</v>
      </c>
      <c r="B150">
        <v>536723214</v>
      </c>
      <c r="C150" s="7" t="s">
        <v>70</v>
      </c>
      <c r="D150">
        <v>63.746000000000002</v>
      </c>
      <c r="E150">
        <v>5.1985400000000004</v>
      </c>
      <c r="F150">
        <v>63.746000000000002</v>
      </c>
      <c r="G150">
        <v>0</v>
      </c>
      <c r="H150">
        <v>-6.9722800000000001E-2</v>
      </c>
      <c r="I150">
        <v>0.5</v>
      </c>
      <c r="J150">
        <v>0.18018000000000001</v>
      </c>
      <c r="K150">
        <v>0.31342300000000001</v>
      </c>
      <c r="L150">
        <v>0</v>
      </c>
      <c r="M150">
        <v>3</v>
      </c>
      <c r="N150">
        <v>0</v>
      </c>
      <c r="O150" s="7" t="s">
        <v>28</v>
      </c>
      <c r="P150">
        <v>0</v>
      </c>
      <c r="Q150" s="7" t="s">
        <v>103</v>
      </c>
      <c r="R150">
        <v>0</v>
      </c>
      <c r="S150">
        <v>0</v>
      </c>
      <c r="T150">
        <v>1</v>
      </c>
      <c r="U150">
        <v>0.66602799999999995</v>
      </c>
    </row>
    <row r="151" spans="1:21" x14ac:dyDescent="0.25">
      <c r="A151">
        <v>150</v>
      </c>
      <c r="B151">
        <v>175172006</v>
      </c>
      <c r="C151" s="7" t="s">
        <v>70</v>
      </c>
      <c r="D151">
        <v>63.035499999999999</v>
      </c>
      <c r="E151">
        <v>5.1985400000000004</v>
      </c>
      <c r="F151">
        <v>63.035499999999999</v>
      </c>
      <c r="G151">
        <v>0</v>
      </c>
      <c r="H151">
        <v>-0.72561500000000001</v>
      </c>
      <c r="I151">
        <v>0.5</v>
      </c>
      <c r="J151">
        <v>5.56964E-2</v>
      </c>
      <c r="K151">
        <v>0.74257200000000001</v>
      </c>
      <c r="L151">
        <v>0</v>
      </c>
      <c r="M151">
        <v>3</v>
      </c>
      <c r="N151">
        <v>0</v>
      </c>
      <c r="O151" s="7" t="s">
        <v>28</v>
      </c>
      <c r="P151">
        <v>0</v>
      </c>
      <c r="Q151" s="7" t="s">
        <v>103</v>
      </c>
      <c r="R151">
        <v>0</v>
      </c>
      <c r="S151">
        <v>0</v>
      </c>
      <c r="T151">
        <v>1</v>
      </c>
      <c r="U151">
        <v>0.217919</v>
      </c>
    </row>
    <row r="152" spans="1:21" x14ac:dyDescent="0.25">
      <c r="A152">
        <v>151</v>
      </c>
      <c r="B152">
        <v>562379494</v>
      </c>
      <c r="C152" s="7" t="s">
        <v>70</v>
      </c>
      <c r="D152">
        <v>63.035499999999999</v>
      </c>
      <c r="E152">
        <v>5.1985400000000004</v>
      </c>
      <c r="F152">
        <v>63.035499999999999</v>
      </c>
      <c r="G152">
        <v>0</v>
      </c>
      <c r="H152">
        <v>-1.4851400000000001E-2</v>
      </c>
      <c r="I152">
        <v>0</v>
      </c>
      <c r="J152">
        <v>0</v>
      </c>
      <c r="K152">
        <v>0.72772099999999995</v>
      </c>
      <c r="L152">
        <v>0</v>
      </c>
      <c r="M152">
        <v>3</v>
      </c>
      <c r="N152">
        <v>0</v>
      </c>
      <c r="O152" s="7" t="s">
        <v>28</v>
      </c>
      <c r="P152">
        <v>0</v>
      </c>
      <c r="Q152" s="7" t="s">
        <v>28</v>
      </c>
      <c r="R152">
        <v>0</v>
      </c>
      <c r="S152">
        <v>0</v>
      </c>
      <c r="T152">
        <v>0</v>
      </c>
      <c r="U152">
        <v>0</v>
      </c>
    </row>
    <row r="153" spans="1:21" x14ac:dyDescent="0.25">
      <c r="A153">
        <v>152</v>
      </c>
      <c r="B153">
        <v>614657114</v>
      </c>
      <c r="C153" s="7" t="s">
        <v>70</v>
      </c>
      <c r="D153">
        <v>66.061999999999998</v>
      </c>
      <c r="E153">
        <v>5.1985400000000004</v>
      </c>
      <c r="F153">
        <v>66.818600000000004</v>
      </c>
      <c r="G153">
        <v>0</v>
      </c>
      <c r="H153">
        <v>3.7830900000000001</v>
      </c>
      <c r="I153">
        <v>0</v>
      </c>
      <c r="J153">
        <v>0.72772099999999995</v>
      </c>
      <c r="K153">
        <v>0</v>
      </c>
      <c r="L153">
        <v>0</v>
      </c>
      <c r="M153">
        <v>3</v>
      </c>
      <c r="N153">
        <v>0</v>
      </c>
      <c r="O153" s="7" t="s">
        <v>28</v>
      </c>
      <c r="P153">
        <v>0</v>
      </c>
      <c r="Q153" s="7" t="s">
        <v>28</v>
      </c>
      <c r="R153">
        <v>0</v>
      </c>
      <c r="S153">
        <v>0</v>
      </c>
      <c r="T153">
        <v>0</v>
      </c>
      <c r="U153">
        <v>0</v>
      </c>
    </row>
    <row r="154" spans="1:21" x14ac:dyDescent="0.25">
      <c r="A154">
        <v>153</v>
      </c>
      <c r="B154">
        <v>500777399</v>
      </c>
      <c r="C154" s="7" t="s">
        <v>70</v>
      </c>
      <c r="D154">
        <v>66.061999999999998</v>
      </c>
      <c r="E154">
        <v>5.5769799999999998</v>
      </c>
      <c r="F154">
        <v>66.061999999999998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3</v>
      </c>
      <c r="N154">
        <v>0</v>
      </c>
      <c r="O154" s="7" t="s">
        <v>28</v>
      </c>
      <c r="P154">
        <v>0</v>
      </c>
      <c r="Q154" s="7" t="s">
        <v>28</v>
      </c>
      <c r="R154">
        <v>0</v>
      </c>
      <c r="S154">
        <v>0</v>
      </c>
      <c r="T154">
        <v>0</v>
      </c>
      <c r="U154">
        <v>0</v>
      </c>
    </row>
    <row r="155" spans="1:21" x14ac:dyDescent="0.25">
      <c r="A155">
        <v>154</v>
      </c>
      <c r="B155">
        <v>918325665</v>
      </c>
      <c r="C155" s="7" t="s">
        <v>70</v>
      </c>
      <c r="D155">
        <v>66.061999999999998</v>
      </c>
      <c r="E155">
        <v>5.5769799999999998</v>
      </c>
      <c r="F155">
        <v>66.061999999999998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3</v>
      </c>
      <c r="N155">
        <v>0</v>
      </c>
      <c r="O155" s="7" t="s">
        <v>28</v>
      </c>
      <c r="P155">
        <v>0</v>
      </c>
      <c r="Q155" s="7" t="s">
        <v>28</v>
      </c>
      <c r="R155">
        <v>0</v>
      </c>
      <c r="S155">
        <v>0</v>
      </c>
      <c r="T155">
        <v>0</v>
      </c>
      <c r="U155">
        <v>0</v>
      </c>
    </row>
    <row r="156" spans="1:21" x14ac:dyDescent="0.25">
      <c r="A156">
        <v>155</v>
      </c>
      <c r="B156">
        <v>976454076</v>
      </c>
      <c r="C156" s="7" t="s">
        <v>70</v>
      </c>
      <c r="D156">
        <v>66.061999999999998</v>
      </c>
      <c r="E156">
        <v>5.5769799999999998</v>
      </c>
      <c r="F156">
        <v>66.061999999999998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1.2012</v>
      </c>
      <c r="M156">
        <v>3</v>
      </c>
      <c r="N156">
        <v>0</v>
      </c>
      <c r="O156" s="7" t="s">
        <v>28</v>
      </c>
      <c r="P156">
        <v>0</v>
      </c>
      <c r="Q156" s="7" t="s">
        <v>28</v>
      </c>
      <c r="R156">
        <v>0</v>
      </c>
      <c r="S156">
        <v>0</v>
      </c>
      <c r="T156">
        <v>0</v>
      </c>
      <c r="U156">
        <v>0</v>
      </c>
    </row>
    <row r="157" spans="1:21" x14ac:dyDescent="0.25">
      <c r="A157">
        <v>156</v>
      </c>
      <c r="B157">
        <v>339606783</v>
      </c>
      <c r="C157" s="7" t="s">
        <v>70</v>
      </c>
      <c r="D157">
        <v>67.492800000000003</v>
      </c>
      <c r="E157">
        <v>5.5769799999999998</v>
      </c>
      <c r="F157">
        <v>67.850499999999997</v>
      </c>
      <c r="G157">
        <v>0</v>
      </c>
      <c r="H157">
        <v>1.7884899999999999</v>
      </c>
      <c r="I157">
        <v>0.5</v>
      </c>
      <c r="J157">
        <v>0.5</v>
      </c>
      <c r="K157">
        <v>0</v>
      </c>
      <c r="L157">
        <v>2.5312000000000001</v>
      </c>
      <c r="M157">
        <v>3</v>
      </c>
      <c r="N157">
        <v>0</v>
      </c>
      <c r="O157" s="7" t="s">
        <v>28</v>
      </c>
      <c r="P157">
        <v>8.1081100000000003E-2</v>
      </c>
      <c r="Q157" s="7" t="s">
        <v>104</v>
      </c>
      <c r="R157">
        <v>0</v>
      </c>
      <c r="S157">
        <v>0</v>
      </c>
      <c r="T157">
        <v>1</v>
      </c>
      <c r="U157">
        <v>1.08108</v>
      </c>
    </row>
    <row r="158" spans="1:21" x14ac:dyDescent="0.25">
      <c r="A158">
        <v>157</v>
      </c>
      <c r="B158">
        <v>623132091</v>
      </c>
      <c r="C158" s="7" t="s">
        <v>70</v>
      </c>
      <c r="D158">
        <v>65.492800000000003</v>
      </c>
      <c r="E158">
        <v>5.5769799999999998</v>
      </c>
      <c r="F158">
        <v>65.492800000000003</v>
      </c>
      <c r="G158">
        <v>0</v>
      </c>
      <c r="H158">
        <v>-2.02</v>
      </c>
      <c r="I158">
        <v>1</v>
      </c>
      <c r="J158">
        <v>0</v>
      </c>
      <c r="K158">
        <v>0.98</v>
      </c>
      <c r="L158">
        <v>0</v>
      </c>
      <c r="M158">
        <v>3</v>
      </c>
      <c r="N158">
        <v>0</v>
      </c>
      <c r="O158" s="7" t="s">
        <v>28</v>
      </c>
      <c r="P158">
        <v>0.77807899999999997</v>
      </c>
      <c r="Q158" s="7" t="s">
        <v>105</v>
      </c>
      <c r="R158">
        <v>0</v>
      </c>
      <c r="S158">
        <v>0</v>
      </c>
      <c r="T158">
        <v>2</v>
      </c>
      <c r="U158">
        <v>2.7780800000000001</v>
      </c>
    </row>
    <row r="159" spans="1:21" x14ac:dyDescent="0.25">
      <c r="A159">
        <v>158</v>
      </c>
      <c r="B159">
        <v>698350577</v>
      </c>
      <c r="C159" s="7" t="s">
        <v>70</v>
      </c>
      <c r="D159">
        <v>70.286600000000007</v>
      </c>
      <c r="E159">
        <v>5.43018</v>
      </c>
      <c r="F159">
        <v>71.483999999999995</v>
      </c>
      <c r="G159">
        <v>0</v>
      </c>
      <c r="H159">
        <v>5.9873900000000004</v>
      </c>
      <c r="I159">
        <v>0.5</v>
      </c>
      <c r="J159">
        <v>1.28748</v>
      </c>
      <c r="K159">
        <v>0.18867200000000001</v>
      </c>
      <c r="L159">
        <v>0</v>
      </c>
      <c r="M159">
        <v>3</v>
      </c>
      <c r="N159">
        <v>0</v>
      </c>
      <c r="O159" s="7" t="s">
        <v>28</v>
      </c>
      <c r="P159">
        <v>0</v>
      </c>
      <c r="Q159" s="7" t="s">
        <v>106</v>
      </c>
      <c r="R159">
        <v>0</v>
      </c>
      <c r="S159">
        <v>0</v>
      </c>
      <c r="T159">
        <v>1</v>
      </c>
      <c r="U159">
        <v>0.11799999999999999</v>
      </c>
    </row>
    <row r="160" spans="1:21" x14ac:dyDescent="0.25">
      <c r="A160">
        <v>159</v>
      </c>
      <c r="B160">
        <v>716478456</v>
      </c>
      <c r="C160" s="7" t="s">
        <v>70</v>
      </c>
      <c r="D160">
        <v>69.286600000000007</v>
      </c>
      <c r="E160">
        <v>5.43018</v>
      </c>
      <c r="F160">
        <v>69.286600000000007</v>
      </c>
      <c r="G160">
        <v>0</v>
      </c>
      <c r="H160">
        <v>-1.0137700000000001</v>
      </c>
      <c r="I160">
        <v>0.5</v>
      </c>
      <c r="J160">
        <v>0</v>
      </c>
      <c r="K160">
        <v>0.67489900000000003</v>
      </c>
      <c r="L160">
        <v>0</v>
      </c>
      <c r="M160">
        <v>3</v>
      </c>
      <c r="N160">
        <v>0</v>
      </c>
      <c r="O160" s="7" t="s">
        <v>28</v>
      </c>
      <c r="P160">
        <v>0</v>
      </c>
      <c r="Q160" s="7" t="s">
        <v>106</v>
      </c>
      <c r="R160">
        <v>0</v>
      </c>
      <c r="S160">
        <v>0</v>
      </c>
      <c r="T160">
        <v>1</v>
      </c>
      <c r="U160">
        <v>0.33019500000000002</v>
      </c>
    </row>
    <row r="161" spans="1:21" x14ac:dyDescent="0.25">
      <c r="A161">
        <v>160</v>
      </c>
      <c r="B161">
        <v>448812350</v>
      </c>
      <c r="C161" s="7" t="s">
        <v>70</v>
      </c>
      <c r="D161">
        <v>72.218400000000003</v>
      </c>
      <c r="E161">
        <v>5.43018</v>
      </c>
      <c r="F161">
        <v>72.951400000000007</v>
      </c>
      <c r="G161">
        <v>0</v>
      </c>
      <c r="H161">
        <v>3.6648200000000002</v>
      </c>
      <c r="I161">
        <v>0</v>
      </c>
      <c r="J161">
        <v>0.67489900000000003</v>
      </c>
      <c r="K161">
        <v>0</v>
      </c>
      <c r="L161">
        <v>0.54054100000000005</v>
      </c>
      <c r="M161">
        <v>3</v>
      </c>
      <c r="N161">
        <v>0</v>
      </c>
      <c r="O161" s="7" t="s">
        <v>28</v>
      </c>
      <c r="P161">
        <v>0</v>
      </c>
      <c r="Q161" s="7" t="s">
        <v>28</v>
      </c>
      <c r="R161">
        <v>0</v>
      </c>
      <c r="S161">
        <v>0</v>
      </c>
      <c r="T161">
        <v>0</v>
      </c>
      <c r="U161">
        <v>0</v>
      </c>
    </row>
    <row r="162" spans="1:21" x14ac:dyDescent="0.25">
      <c r="A162">
        <v>161</v>
      </c>
      <c r="B162">
        <v>738870838</v>
      </c>
      <c r="C162" s="7" t="s">
        <v>70</v>
      </c>
      <c r="D162">
        <v>72.218400000000003</v>
      </c>
      <c r="E162">
        <v>5.8025700000000002</v>
      </c>
      <c r="F162">
        <v>72.218400000000003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0.62292199999999998</v>
      </c>
      <c r="M162">
        <v>3</v>
      </c>
      <c r="N162">
        <v>0</v>
      </c>
      <c r="O162" s="7" t="s">
        <v>28</v>
      </c>
      <c r="P162">
        <v>0.48648599999999997</v>
      </c>
      <c r="Q162" s="7" t="s">
        <v>28</v>
      </c>
      <c r="R162">
        <v>0</v>
      </c>
      <c r="S162">
        <v>0</v>
      </c>
      <c r="T162">
        <v>0</v>
      </c>
      <c r="U162">
        <v>0.48648599999999997</v>
      </c>
    </row>
    <row r="163" spans="1:21" x14ac:dyDescent="0.25">
      <c r="A163">
        <v>162</v>
      </c>
      <c r="B163">
        <v>265364271</v>
      </c>
      <c r="C163" s="7" t="s">
        <v>70</v>
      </c>
      <c r="D163">
        <v>72.218400000000003</v>
      </c>
      <c r="E163">
        <v>5.8025700000000002</v>
      </c>
      <c r="F163">
        <v>72.218400000000003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3</v>
      </c>
      <c r="N163">
        <v>0</v>
      </c>
      <c r="O163" s="7" t="s">
        <v>28</v>
      </c>
      <c r="P163">
        <v>0.56062999999999996</v>
      </c>
      <c r="Q163" s="7" t="s">
        <v>28</v>
      </c>
      <c r="R163">
        <v>0</v>
      </c>
      <c r="S163">
        <v>0</v>
      </c>
      <c r="T163">
        <v>0</v>
      </c>
      <c r="U163">
        <v>0.56062999999999996</v>
      </c>
    </row>
    <row r="164" spans="1:21" x14ac:dyDescent="0.25">
      <c r="A164">
        <v>163</v>
      </c>
      <c r="B164">
        <v>21022628</v>
      </c>
      <c r="C164" s="7" t="s">
        <v>70</v>
      </c>
      <c r="D164">
        <v>72.218400000000003</v>
      </c>
      <c r="E164">
        <v>5.8025700000000002</v>
      </c>
      <c r="F164">
        <v>72.218400000000003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3</v>
      </c>
      <c r="N164">
        <v>0</v>
      </c>
      <c r="O164" s="7" t="s">
        <v>28</v>
      </c>
      <c r="P164">
        <v>0</v>
      </c>
      <c r="Q164" s="7" t="s">
        <v>28</v>
      </c>
      <c r="R164">
        <v>0</v>
      </c>
      <c r="S164">
        <v>0</v>
      </c>
      <c r="T164">
        <v>0</v>
      </c>
      <c r="U164">
        <v>0</v>
      </c>
    </row>
    <row r="165" spans="1:21" x14ac:dyDescent="0.25">
      <c r="A165">
        <v>164</v>
      </c>
      <c r="B165">
        <v>526565930</v>
      </c>
      <c r="C165" s="7" t="s">
        <v>70</v>
      </c>
      <c r="D165">
        <v>72.218400000000003</v>
      </c>
      <c r="E165">
        <v>5.8025700000000002</v>
      </c>
      <c r="F165">
        <v>72.218400000000003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3</v>
      </c>
      <c r="N165">
        <v>0</v>
      </c>
      <c r="O165" s="7" t="s">
        <v>28</v>
      </c>
      <c r="P165">
        <v>0</v>
      </c>
      <c r="Q165" s="7" t="s">
        <v>28</v>
      </c>
      <c r="R165">
        <v>0</v>
      </c>
      <c r="S165">
        <v>0</v>
      </c>
      <c r="T165">
        <v>0</v>
      </c>
      <c r="U165">
        <v>0</v>
      </c>
    </row>
    <row r="166" spans="1:21" x14ac:dyDescent="0.25">
      <c r="A166">
        <v>165</v>
      </c>
      <c r="B166">
        <v>446557523</v>
      </c>
      <c r="C166" s="7" t="s">
        <v>70</v>
      </c>
      <c r="D166">
        <v>72.218400000000003</v>
      </c>
      <c r="E166">
        <v>5.8494200000000003</v>
      </c>
      <c r="F166">
        <v>72.218400000000003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</v>
      </c>
      <c r="N166">
        <v>0</v>
      </c>
      <c r="O166" s="7" t="s">
        <v>28</v>
      </c>
      <c r="P166">
        <v>0</v>
      </c>
      <c r="Q166" s="7" t="s">
        <v>28</v>
      </c>
      <c r="R166">
        <v>0</v>
      </c>
      <c r="S166">
        <v>0</v>
      </c>
      <c r="T166">
        <v>0</v>
      </c>
      <c r="U166">
        <v>0</v>
      </c>
    </row>
    <row r="167" spans="1:21" x14ac:dyDescent="0.25">
      <c r="A167">
        <v>166</v>
      </c>
      <c r="B167">
        <v>296096629</v>
      </c>
      <c r="C167" s="7" t="s">
        <v>70</v>
      </c>
      <c r="D167">
        <v>72.218400000000003</v>
      </c>
      <c r="E167">
        <v>6.3939199999999996</v>
      </c>
      <c r="F167">
        <v>72.218400000000003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0.36036000000000001</v>
      </c>
      <c r="M167">
        <v>3</v>
      </c>
      <c r="N167">
        <v>0</v>
      </c>
      <c r="O167" s="7" t="s">
        <v>28</v>
      </c>
      <c r="P167">
        <v>0</v>
      </c>
      <c r="Q167" s="7" t="s">
        <v>28</v>
      </c>
      <c r="R167">
        <v>0</v>
      </c>
      <c r="S167">
        <v>0</v>
      </c>
      <c r="T167">
        <v>0</v>
      </c>
      <c r="U167">
        <v>0</v>
      </c>
    </row>
    <row r="168" spans="1:21" x14ac:dyDescent="0.25">
      <c r="A168">
        <v>167</v>
      </c>
      <c r="B168">
        <v>908430668</v>
      </c>
      <c r="C168" s="7" t="s">
        <v>70</v>
      </c>
      <c r="D168">
        <v>72.218400000000003</v>
      </c>
      <c r="E168">
        <v>6.3939199999999996</v>
      </c>
      <c r="F168">
        <v>72.218400000000003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</v>
      </c>
      <c r="N168">
        <v>0</v>
      </c>
      <c r="O168" s="7" t="s">
        <v>28</v>
      </c>
      <c r="P168">
        <v>0.324324</v>
      </c>
      <c r="Q168" s="7" t="s">
        <v>28</v>
      </c>
      <c r="R168">
        <v>0</v>
      </c>
      <c r="S168">
        <v>0</v>
      </c>
      <c r="T168">
        <v>0</v>
      </c>
      <c r="U168">
        <v>0.324324</v>
      </c>
    </row>
    <row r="169" spans="1:21" x14ac:dyDescent="0.25">
      <c r="A169">
        <v>168</v>
      </c>
      <c r="B169">
        <v>14912060</v>
      </c>
      <c r="C169" s="7" t="s">
        <v>70</v>
      </c>
      <c r="D169">
        <v>72.218400000000003</v>
      </c>
      <c r="E169">
        <v>6.3939199999999996</v>
      </c>
      <c r="F169">
        <v>72.218400000000003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0.94362100000000004</v>
      </c>
      <c r="M169">
        <v>3</v>
      </c>
      <c r="N169">
        <v>0</v>
      </c>
      <c r="O169" s="7" t="s">
        <v>28</v>
      </c>
      <c r="P169">
        <v>0</v>
      </c>
      <c r="Q169" s="7" t="s">
        <v>28</v>
      </c>
      <c r="R169">
        <v>0</v>
      </c>
      <c r="S169">
        <v>0</v>
      </c>
      <c r="T169">
        <v>0</v>
      </c>
      <c r="U169">
        <v>0</v>
      </c>
    </row>
    <row r="170" spans="1:21" x14ac:dyDescent="0.25">
      <c r="A170">
        <v>169</v>
      </c>
      <c r="B170">
        <v>54699858</v>
      </c>
      <c r="C170" s="7" t="s">
        <v>70</v>
      </c>
      <c r="D170">
        <v>72.218400000000003</v>
      </c>
      <c r="E170">
        <v>6.3939199999999996</v>
      </c>
      <c r="F170">
        <v>72.218400000000003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0.36036000000000001</v>
      </c>
      <c r="M170">
        <v>3</v>
      </c>
      <c r="N170">
        <v>0</v>
      </c>
      <c r="O170" s="7" t="s">
        <v>28</v>
      </c>
      <c r="P170">
        <v>0.84925799999999996</v>
      </c>
      <c r="Q170" s="7" t="s">
        <v>28</v>
      </c>
      <c r="R170">
        <v>0</v>
      </c>
      <c r="S170">
        <v>0</v>
      </c>
      <c r="T170">
        <v>0</v>
      </c>
      <c r="U170">
        <v>0.84925799999999996</v>
      </c>
    </row>
    <row r="171" spans="1:21" x14ac:dyDescent="0.25">
      <c r="A171">
        <v>170</v>
      </c>
      <c r="B171">
        <v>525725169</v>
      </c>
      <c r="C171" s="7" t="s">
        <v>70</v>
      </c>
      <c r="D171">
        <v>72.218400000000003</v>
      </c>
      <c r="E171">
        <v>6.3939199999999996</v>
      </c>
      <c r="F171">
        <v>72.218400000000003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3</v>
      </c>
      <c r="N171">
        <v>0</v>
      </c>
      <c r="O171" s="7" t="s">
        <v>28</v>
      </c>
      <c r="P171">
        <v>0.324324</v>
      </c>
      <c r="Q171" s="7" t="s">
        <v>28</v>
      </c>
      <c r="R171">
        <v>0</v>
      </c>
      <c r="S171">
        <v>0</v>
      </c>
      <c r="T171">
        <v>0</v>
      </c>
      <c r="U171">
        <v>0.324324</v>
      </c>
    </row>
    <row r="172" spans="1:21" x14ac:dyDescent="0.25">
      <c r="A172">
        <v>171</v>
      </c>
      <c r="B172">
        <v>683881335</v>
      </c>
      <c r="C172" s="7" t="s">
        <v>70</v>
      </c>
      <c r="D172">
        <v>72.218400000000003</v>
      </c>
      <c r="E172">
        <v>6.3939199999999996</v>
      </c>
      <c r="F172">
        <v>72.218400000000003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0.78725900000000004</v>
      </c>
      <c r="M172">
        <v>3</v>
      </c>
      <c r="N172">
        <v>0</v>
      </c>
      <c r="O172" s="7" t="s">
        <v>28</v>
      </c>
      <c r="P172">
        <v>0</v>
      </c>
      <c r="Q172" s="7" t="s">
        <v>28</v>
      </c>
      <c r="R172">
        <v>0</v>
      </c>
      <c r="S172">
        <v>0</v>
      </c>
      <c r="T172">
        <v>0</v>
      </c>
      <c r="U172">
        <v>0</v>
      </c>
    </row>
    <row r="173" spans="1:21" x14ac:dyDescent="0.25">
      <c r="A173">
        <v>172</v>
      </c>
      <c r="B173">
        <v>639354202</v>
      </c>
      <c r="C173" s="7" t="s">
        <v>70</v>
      </c>
      <c r="D173">
        <v>72.218400000000003</v>
      </c>
      <c r="E173">
        <v>6.3939199999999996</v>
      </c>
      <c r="F173">
        <v>72.218400000000003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3</v>
      </c>
      <c r="N173">
        <v>0</v>
      </c>
      <c r="O173" s="7" t="s">
        <v>28</v>
      </c>
      <c r="P173">
        <v>0.70853299999999997</v>
      </c>
      <c r="Q173" s="7" t="s">
        <v>28</v>
      </c>
      <c r="R173">
        <v>0</v>
      </c>
      <c r="S173">
        <v>0</v>
      </c>
      <c r="T173">
        <v>0</v>
      </c>
      <c r="U173">
        <v>0.70853299999999997</v>
      </c>
    </row>
    <row r="174" spans="1:21" x14ac:dyDescent="0.25">
      <c r="A174">
        <v>173</v>
      </c>
      <c r="B174">
        <v>993476526</v>
      </c>
      <c r="C174" s="7" t="s">
        <v>70</v>
      </c>
      <c r="D174">
        <v>72.218400000000003</v>
      </c>
      <c r="E174">
        <v>6.3939199999999996</v>
      </c>
      <c r="F174">
        <v>72.218400000000003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3.0919300000000001</v>
      </c>
      <c r="M174">
        <v>3</v>
      </c>
      <c r="N174">
        <v>0</v>
      </c>
      <c r="O174" s="7" t="s">
        <v>28</v>
      </c>
      <c r="P174">
        <v>0</v>
      </c>
      <c r="Q174" s="7" t="s">
        <v>28</v>
      </c>
      <c r="R174">
        <v>0</v>
      </c>
      <c r="S174">
        <v>0</v>
      </c>
      <c r="T174">
        <v>0</v>
      </c>
      <c r="U174">
        <v>0</v>
      </c>
    </row>
    <row r="175" spans="1:21" x14ac:dyDescent="0.25">
      <c r="A175">
        <v>174</v>
      </c>
      <c r="B175">
        <v>904089024</v>
      </c>
      <c r="C175" s="7" t="s">
        <v>70</v>
      </c>
      <c r="D175">
        <v>75.733500000000006</v>
      </c>
      <c r="E175">
        <v>6.3939199999999996</v>
      </c>
      <c r="F175">
        <v>76.612300000000005</v>
      </c>
      <c r="G175">
        <v>0</v>
      </c>
      <c r="H175">
        <v>4.3939199999999996</v>
      </c>
      <c r="I175">
        <v>1</v>
      </c>
      <c r="J175">
        <v>1</v>
      </c>
      <c r="K175">
        <v>0</v>
      </c>
      <c r="L175">
        <v>1.05105</v>
      </c>
      <c r="M175">
        <v>3</v>
      </c>
      <c r="N175">
        <v>0</v>
      </c>
      <c r="O175" s="7" t="s">
        <v>28</v>
      </c>
      <c r="P175">
        <v>0.78273400000000004</v>
      </c>
      <c r="Q175" s="7" t="s">
        <v>107</v>
      </c>
      <c r="R175">
        <v>0</v>
      </c>
      <c r="S175">
        <v>0</v>
      </c>
      <c r="T175">
        <v>2</v>
      </c>
      <c r="U175">
        <v>2.7827299999999999</v>
      </c>
    </row>
    <row r="176" spans="1:21" x14ac:dyDescent="0.25">
      <c r="A176">
        <v>175</v>
      </c>
      <c r="B176">
        <v>867878819</v>
      </c>
      <c r="C176" s="7" t="s">
        <v>70</v>
      </c>
      <c r="D176">
        <v>73.733500000000006</v>
      </c>
      <c r="E176">
        <v>6.3939199999999996</v>
      </c>
      <c r="F176">
        <v>73.733500000000006</v>
      </c>
      <c r="G176">
        <v>0</v>
      </c>
      <c r="H176">
        <v>-2.02</v>
      </c>
      <c r="I176">
        <v>1</v>
      </c>
      <c r="J176">
        <v>0</v>
      </c>
      <c r="K176">
        <v>0.98</v>
      </c>
      <c r="L176">
        <v>0</v>
      </c>
      <c r="M176">
        <v>3</v>
      </c>
      <c r="N176">
        <v>0</v>
      </c>
      <c r="O176" s="7" t="s">
        <v>28</v>
      </c>
      <c r="P176">
        <v>0</v>
      </c>
      <c r="Q176" s="7" t="s">
        <v>107</v>
      </c>
      <c r="R176">
        <v>0</v>
      </c>
      <c r="S176">
        <v>0</v>
      </c>
      <c r="T176">
        <v>2</v>
      </c>
      <c r="U176">
        <v>1.9459500000000001</v>
      </c>
    </row>
    <row r="177" spans="1:21" x14ac:dyDescent="0.25">
      <c r="A177">
        <v>176</v>
      </c>
      <c r="B177">
        <v>372226432</v>
      </c>
      <c r="C177" s="7" t="s">
        <v>70</v>
      </c>
      <c r="D177">
        <v>77.970699999999994</v>
      </c>
      <c r="E177">
        <v>5.8154199999999996</v>
      </c>
      <c r="F177">
        <v>79.028000000000006</v>
      </c>
      <c r="G177">
        <v>0</v>
      </c>
      <c r="H177">
        <v>5.28653</v>
      </c>
      <c r="I177">
        <v>0.5</v>
      </c>
      <c r="J177">
        <v>1.0823799999999999</v>
      </c>
      <c r="K177">
        <v>0.38967099999999999</v>
      </c>
      <c r="L177">
        <v>0</v>
      </c>
      <c r="M177">
        <v>3</v>
      </c>
      <c r="N177">
        <v>0</v>
      </c>
      <c r="O177" s="7" t="s">
        <v>28</v>
      </c>
      <c r="P177">
        <v>0</v>
      </c>
      <c r="Q177" s="7" t="s">
        <v>108</v>
      </c>
      <c r="R177">
        <v>0</v>
      </c>
      <c r="S177">
        <v>0</v>
      </c>
      <c r="T177">
        <v>1</v>
      </c>
      <c r="U177">
        <v>0.11799999999999999</v>
      </c>
    </row>
    <row r="178" spans="1:21" x14ac:dyDescent="0.25">
      <c r="A178">
        <v>177</v>
      </c>
      <c r="B178">
        <v>302752054</v>
      </c>
      <c r="C178" s="7" t="s">
        <v>70</v>
      </c>
      <c r="D178">
        <v>81.309799999999996</v>
      </c>
      <c r="E178">
        <v>5.8154199999999996</v>
      </c>
      <c r="F178">
        <v>82.144499999999994</v>
      </c>
      <c r="G178">
        <v>0</v>
      </c>
      <c r="H178">
        <v>4.1738099999999996</v>
      </c>
      <c r="I178">
        <v>0.5</v>
      </c>
      <c r="J178">
        <v>0.88967099999999999</v>
      </c>
      <c r="K178">
        <v>0</v>
      </c>
      <c r="L178">
        <v>0</v>
      </c>
      <c r="M178">
        <v>3</v>
      </c>
      <c r="N178">
        <v>0</v>
      </c>
      <c r="O178" s="7" t="s">
        <v>28</v>
      </c>
      <c r="P178">
        <v>0</v>
      </c>
      <c r="Q178" s="7" t="s">
        <v>108</v>
      </c>
      <c r="R178">
        <v>0</v>
      </c>
      <c r="S178">
        <v>0</v>
      </c>
      <c r="T178">
        <v>1</v>
      </c>
      <c r="U178">
        <v>0.14929600000000001</v>
      </c>
    </row>
    <row r="179" spans="1:21" x14ac:dyDescent="0.25">
      <c r="A179">
        <v>178</v>
      </c>
      <c r="B179">
        <v>896792023</v>
      </c>
      <c r="C179" s="7" t="s">
        <v>70</v>
      </c>
      <c r="D179">
        <v>82.890299999999996</v>
      </c>
      <c r="E179">
        <v>5.9512600000000004</v>
      </c>
      <c r="F179">
        <v>83.285399999999996</v>
      </c>
      <c r="G179">
        <v>0</v>
      </c>
      <c r="H179">
        <v>1.97563</v>
      </c>
      <c r="I179">
        <v>0.5</v>
      </c>
      <c r="J179">
        <v>0.5</v>
      </c>
      <c r="K179">
        <v>0</v>
      </c>
      <c r="L179">
        <v>0</v>
      </c>
      <c r="M179">
        <v>3</v>
      </c>
      <c r="N179">
        <v>0</v>
      </c>
      <c r="O179" s="7" t="s">
        <v>28</v>
      </c>
      <c r="P179">
        <v>0</v>
      </c>
      <c r="Q179" s="7" t="s">
        <v>108</v>
      </c>
      <c r="R179">
        <v>0</v>
      </c>
      <c r="S179">
        <v>0</v>
      </c>
      <c r="T179">
        <v>1</v>
      </c>
      <c r="U179">
        <v>0.5</v>
      </c>
    </row>
    <row r="180" spans="1:21" x14ac:dyDescent="0.25">
      <c r="A180">
        <v>179</v>
      </c>
      <c r="B180">
        <v>370659053</v>
      </c>
      <c r="C180" s="7" t="s">
        <v>70</v>
      </c>
      <c r="D180">
        <v>84.589200000000005</v>
      </c>
      <c r="E180">
        <v>6.2473000000000001</v>
      </c>
      <c r="F180">
        <v>85.013900000000007</v>
      </c>
      <c r="G180">
        <v>0</v>
      </c>
      <c r="H180">
        <v>2.12365</v>
      </c>
      <c r="I180">
        <v>0.5</v>
      </c>
      <c r="J180">
        <v>0.5</v>
      </c>
      <c r="K180">
        <v>0</v>
      </c>
      <c r="L180">
        <v>1.23872</v>
      </c>
      <c r="M180">
        <v>3</v>
      </c>
      <c r="N180">
        <v>0</v>
      </c>
      <c r="O180" s="7" t="s">
        <v>28</v>
      </c>
      <c r="P180">
        <v>0</v>
      </c>
      <c r="Q180" s="7" t="s">
        <v>108</v>
      </c>
      <c r="R180">
        <v>0</v>
      </c>
      <c r="S180">
        <v>0</v>
      </c>
      <c r="T180">
        <v>1</v>
      </c>
      <c r="U180">
        <v>0.5</v>
      </c>
    </row>
    <row r="181" spans="1:21" x14ac:dyDescent="0.25">
      <c r="A181">
        <v>180</v>
      </c>
      <c r="B181">
        <v>639266381</v>
      </c>
      <c r="C181" s="7" t="s">
        <v>70</v>
      </c>
      <c r="D181">
        <v>86.4208</v>
      </c>
      <c r="E181">
        <v>6.5788799999999998</v>
      </c>
      <c r="F181">
        <v>86.878600000000006</v>
      </c>
      <c r="G181">
        <v>0</v>
      </c>
      <c r="H181">
        <v>2.2894399999999999</v>
      </c>
      <c r="I181">
        <v>0.5</v>
      </c>
      <c r="J181">
        <v>0.5</v>
      </c>
      <c r="K181">
        <v>0</v>
      </c>
      <c r="L181">
        <v>0.36505100000000001</v>
      </c>
      <c r="M181">
        <v>3</v>
      </c>
      <c r="N181">
        <v>0</v>
      </c>
      <c r="O181" s="7" t="s">
        <v>28</v>
      </c>
      <c r="P181">
        <v>0.61484700000000003</v>
      </c>
      <c r="Q181" s="7" t="s">
        <v>108</v>
      </c>
      <c r="R181">
        <v>0</v>
      </c>
      <c r="S181">
        <v>0</v>
      </c>
      <c r="T181">
        <v>1</v>
      </c>
      <c r="U181">
        <v>1.6148499999999999</v>
      </c>
    </row>
    <row r="182" spans="1:21" x14ac:dyDescent="0.25">
      <c r="A182">
        <v>181</v>
      </c>
      <c r="B182">
        <v>236331067</v>
      </c>
      <c r="C182" s="7" t="s">
        <v>70</v>
      </c>
      <c r="D182">
        <v>88.2911</v>
      </c>
      <c r="E182">
        <v>6.67598</v>
      </c>
      <c r="F182">
        <v>88.758700000000005</v>
      </c>
      <c r="G182">
        <v>0</v>
      </c>
      <c r="H182">
        <v>2.33799</v>
      </c>
      <c r="I182">
        <v>0.5</v>
      </c>
      <c r="J182">
        <v>0.5</v>
      </c>
      <c r="K182">
        <v>0</v>
      </c>
      <c r="L182">
        <v>0.52191500000000002</v>
      </c>
      <c r="M182">
        <v>3</v>
      </c>
      <c r="N182">
        <v>0</v>
      </c>
      <c r="O182" s="7" t="s">
        <v>28</v>
      </c>
      <c r="P182">
        <v>0</v>
      </c>
      <c r="Q182" s="7" t="s">
        <v>108</v>
      </c>
      <c r="R182">
        <v>0</v>
      </c>
      <c r="S182">
        <v>0</v>
      </c>
      <c r="T182">
        <v>1</v>
      </c>
      <c r="U182">
        <v>0.828546</v>
      </c>
    </row>
    <row r="183" spans="1:21" x14ac:dyDescent="0.25">
      <c r="A183">
        <v>182</v>
      </c>
      <c r="B183">
        <v>305170747</v>
      </c>
      <c r="C183" s="7" t="s">
        <v>70</v>
      </c>
      <c r="D183">
        <v>90.232299999999995</v>
      </c>
      <c r="E183">
        <v>6.8530100000000003</v>
      </c>
      <c r="F183">
        <v>90.717699999999994</v>
      </c>
      <c r="G183">
        <v>0</v>
      </c>
      <c r="H183">
        <v>2.4265099999999999</v>
      </c>
      <c r="I183">
        <v>0.5</v>
      </c>
      <c r="J183">
        <v>0.5</v>
      </c>
      <c r="K183">
        <v>0</v>
      </c>
      <c r="L183">
        <v>0.57947300000000002</v>
      </c>
      <c r="M183">
        <v>3</v>
      </c>
      <c r="N183">
        <v>0</v>
      </c>
      <c r="O183" s="7" t="s">
        <v>28</v>
      </c>
      <c r="P183">
        <v>0</v>
      </c>
      <c r="Q183" s="7" t="s">
        <v>108</v>
      </c>
      <c r="R183">
        <v>0</v>
      </c>
      <c r="S183">
        <v>0</v>
      </c>
      <c r="T183">
        <v>1</v>
      </c>
      <c r="U183">
        <v>0.969723</v>
      </c>
    </row>
    <row r="184" spans="1:21" x14ac:dyDescent="0.25">
      <c r="A184">
        <v>183</v>
      </c>
      <c r="B184">
        <v>866824477</v>
      </c>
      <c r="C184" s="7" t="s">
        <v>70</v>
      </c>
      <c r="D184">
        <v>89.232299999999995</v>
      </c>
      <c r="E184">
        <v>6.8530100000000003</v>
      </c>
      <c r="F184">
        <v>89.232299999999995</v>
      </c>
      <c r="G184">
        <v>0</v>
      </c>
      <c r="H184">
        <v>-1.01</v>
      </c>
      <c r="I184">
        <v>0.5</v>
      </c>
      <c r="J184">
        <v>0</v>
      </c>
      <c r="K184">
        <v>0.49</v>
      </c>
      <c r="L184">
        <v>0</v>
      </c>
      <c r="M184">
        <v>3</v>
      </c>
      <c r="N184">
        <v>0</v>
      </c>
      <c r="O184" s="7" t="s">
        <v>28</v>
      </c>
      <c r="P184">
        <v>2.1525499999999999E-2</v>
      </c>
      <c r="Q184" s="7" t="s">
        <v>108</v>
      </c>
      <c r="R184">
        <v>0</v>
      </c>
      <c r="S184">
        <v>0</v>
      </c>
      <c r="T184">
        <v>1</v>
      </c>
      <c r="U184">
        <v>1.02153</v>
      </c>
    </row>
    <row r="185" spans="1:21" x14ac:dyDescent="0.25">
      <c r="A185">
        <v>184</v>
      </c>
      <c r="B185">
        <v>108062707</v>
      </c>
      <c r="C185" s="7" t="s">
        <v>70</v>
      </c>
      <c r="D185">
        <v>89.030500000000004</v>
      </c>
      <c r="E185">
        <v>6.2132399999999999</v>
      </c>
      <c r="F185">
        <v>89.030500000000004</v>
      </c>
      <c r="G185">
        <v>0</v>
      </c>
      <c r="H185">
        <v>-0.21908900000000001</v>
      </c>
      <c r="I185">
        <v>0.5</v>
      </c>
      <c r="J185">
        <v>0.12845799999999999</v>
      </c>
      <c r="K185">
        <v>0.84431100000000003</v>
      </c>
      <c r="L185">
        <v>0</v>
      </c>
      <c r="M185">
        <v>3</v>
      </c>
      <c r="N185">
        <v>0</v>
      </c>
      <c r="O185" s="7" t="s">
        <v>28</v>
      </c>
      <c r="P185">
        <v>0</v>
      </c>
      <c r="Q185" s="7" t="s">
        <v>108</v>
      </c>
      <c r="R185">
        <v>0</v>
      </c>
      <c r="S185">
        <v>0</v>
      </c>
      <c r="T185">
        <v>1</v>
      </c>
      <c r="U185">
        <v>5.8999999999999997E-2</v>
      </c>
    </row>
    <row r="186" spans="1:21" x14ac:dyDescent="0.25">
      <c r="A186">
        <v>185</v>
      </c>
      <c r="B186">
        <v>453852245</v>
      </c>
      <c r="C186" s="7" t="s">
        <v>70</v>
      </c>
      <c r="D186">
        <v>91.2483</v>
      </c>
      <c r="E186">
        <v>6.2132399999999999</v>
      </c>
      <c r="F186">
        <v>91.800799999999995</v>
      </c>
      <c r="G186">
        <v>0</v>
      </c>
      <c r="H186">
        <v>2.7623500000000001</v>
      </c>
      <c r="I186">
        <v>0</v>
      </c>
      <c r="J186">
        <v>0.44587300000000002</v>
      </c>
      <c r="K186">
        <v>0.39046999999999998</v>
      </c>
      <c r="L186">
        <v>0</v>
      </c>
      <c r="M186">
        <v>3</v>
      </c>
      <c r="N186">
        <v>0</v>
      </c>
      <c r="O186" s="7" t="s">
        <v>28</v>
      </c>
      <c r="P186">
        <v>0</v>
      </c>
      <c r="Q186" s="7" t="s">
        <v>28</v>
      </c>
      <c r="R186">
        <v>0</v>
      </c>
      <c r="S186">
        <v>0</v>
      </c>
      <c r="T186">
        <v>0</v>
      </c>
      <c r="U186">
        <v>0</v>
      </c>
    </row>
    <row r="187" spans="1:21" x14ac:dyDescent="0.25">
      <c r="A187">
        <v>186</v>
      </c>
      <c r="B187">
        <v>141432107</v>
      </c>
      <c r="C187" s="7" t="s">
        <v>70</v>
      </c>
      <c r="D187">
        <v>93.1892</v>
      </c>
      <c r="E187">
        <v>6.2132399999999999</v>
      </c>
      <c r="F187">
        <v>93.674400000000006</v>
      </c>
      <c r="G187">
        <v>0</v>
      </c>
      <c r="H187">
        <v>2.4260799999999998</v>
      </c>
      <c r="I187">
        <v>0</v>
      </c>
      <c r="J187">
        <v>0.39046999999999998</v>
      </c>
      <c r="K187">
        <v>0</v>
      </c>
      <c r="L187">
        <v>0</v>
      </c>
      <c r="M187">
        <v>3</v>
      </c>
      <c r="N187">
        <v>0</v>
      </c>
      <c r="O187" s="7" t="s">
        <v>28</v>
      </c>
      <c r="P187">
        <v>0</v>
      </c>
      <c r="Q187" s="7" t="s">
        <v>28</v>
      </c>
      <c r="R187">
        <v>0</v>
      </c>
      <c r="S187">
        <v>0</v>
      </c>
      <c r="T187">
        <v>0</v>
      </c>
      <c r="U187">
        <v>0</v>
      </c>
    </row>
    <row r="188" spans="1:21" x14ac:dyDescent="0.25">
      <c r="A188">
        <v>187</v>
      </c>
      <c r="B188">
        <v>239885474</v>
      </c>
      <c r="C188" s="7" t="s">
        <v>70</v>
      </c>
      <c r="D188">
        <v>93.1892</v>
      </c>
      <c r="E188">
        <v>6.2802300000000004</v>
      </c>
      <c r="F188">
        <v>93.1892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3</v>
      </c>
      <c r="N188">
        <v>0</v>
      </c>
      <c r="O188" s="7" t="s">
        <v>28</v>
      </c>
      <c r="P188">
        <v>0</v>
      </c>
      <c r="Q188" s="7" t="s">
        <v>28</v>
      </c>
      <c r="R188">
        <v>0</v>
      </c>
      <c r="S188">
        <v>0</v>
      </c>
      <c r="T188">
        <v>0</v>
      </c>
      <c r="U188">
        <v>0</v>
      </c>
    </row>
    <row r="189" spans="1:21" x14ac:dyDescent="0.25">
      <c r="A189">
        <v>188</v>
      </c>
      <c r="B189">
        <v>219093766</v>
      </c>
      <c r="C189" s="7" t="s">
        <v>70</v>
      </c>
      <c r="D189">
        <v>93.1892</v>
      </c>
      <c r="E189">
        <v>6.8559299999999999</v>
      </c>
      <c r="F189">
        <v>93.1892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3</v>
      </c>
      <c r="N189">
        <v>0</v>
      </c>
      <c r="O189" s="7" t="s">
        <v>28</v>
      </c>
      <c r="P189">
        <v>0</v>
      </c>
      <c r="Q189" s="7" t="s">
        <v>28</v>
      </c>
      <c r="R189">
        <v>0</v>
      </c>
      <c r="S189">
        <v>0</v>
      </c>
      <c r="T189">
        <v>0</v>
      </c>
      <c r="U189">
        <v>0</v>
      </c>
    </row>
    <row r="190" spans="1:21" x14ac:dyDescent="0.25">
      <c r="A190">
        <v>189</v>
      </c>
      <c r="B190">
        <v>22148652</v>
      </c>
      <c r="C190" s="7" t="s">
        <v>70</v>
      </c>
      <c r="D190">
        <v>93.1892</v>
      </c>
      <c r="E190">
        <v>7.0019</v>
      </c>
      <c r="F190">
        <v>93.1892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3</v>
      </c>
      <c r="N190">
        <v>0</v>
      </c>
      <c r="O190" s="7" t="s">
        <v>28</v>
      </c>
      <c r="P190">
        <v>0</v>
      </c>
      <c r="Q190" s="7" t="s">
        <v>28</v>
      </c>
      <c r="R190">
        <v>0</v>
      </c>
      <c r="S190">
        <v>0</v>
      </c>
      <c r="T190">
        <v>0</v>
      </c>
      <c r="U190">
        <v>0</v>
      </c>
    </row>
    <row r="191" spans="1:21" x14ac:dyDescent="0.25">
      <c r="A191">
        <v>190</v>
      </c>
      <c r="B191">
        <v>668580760</v>
      </c>
      <c r="C191" s="7" t="s">
        <v>70</v>
      </c>
      <c r="D191">
        <v>93.1892</v>
      </c>
      <c r="E191">
        <v>7.0430700000000002</v>
      </c>
      <c r="F191">
        <v>93.1892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3</v>
      </c>
      <c r="N191">
        <v>0</v>
      </c>
      <c r="O191" s="7" t="s">
        <v>28</v>
      </c>
      <c r="P191">
        <v>0</v>
      </c>
      <c r="Q191" s="7" t="s">
        <v>28</v>
      </c>
      <c r="R191">
        <v>0</v>
      </c>
      <c r="S191">
        <v>0</v>
      </c>
      <c r="T191">
        <v>0</v>
      </c>
      <c r="U191">
        <v>0</v>
      </c>
    </row>
    <row r="192" spans="1:21" x14ac:dyDescent="0.25">
      <c r="A192">
        <v>191</v>
      </c>
      <c r="B192">
        <v>484498776</v>
      </c>
      <c r="C192" s="7" t="s">
        <v>70</v>
      </c>
      <c r="D192">
        <v>93.1892</v>
      </c>
      <c r="E192">
        <v>7.5339499999999999</v>
      </c>
      <c r="F192">
        <v>93.1892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0.77754000000000001</v>
      </c>
      <c r="M192">
        <v>3</v>
      </c>
      <c r="N192">
        <v>0</v>
      </c>
      <c r="O192" s="7" t="s">
        <v>28</v>
      </c>
      <c r="P192">
        <v>0</v>
      </c>
      <c r="Q192" s="7" t="s">
        <v>28</v>
      </c>
      <c r="R192">
        <v>0</v>
      </c>
      <c r="S192">
        <v>0</v>
      </c>
      <c r="T192">
        <v>0</v>
      </c>
      <c r="U192">
        <v>0</v>
      </c>
    </row>
    <row r="193" spans="1:21" x14ac:dyDescent="0.25">
      <c r="A193">
        <v>192</v>
      </c>
      <c r="B193">
        <v>106186031</v>
      </c>
      <c r="C193" s="7" t="s">
        <v>70</v>
      </c>
      <c r="D193">
        <v>93.1892</v>
      </c>
      <c r="E193">
        <v>7.5339499999999999</v>
      </c>
      <c r="F193">
        <v>93.1892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3</v>
      </c>
      <c r="N193">
        <v>0</v>
      </c>
      <c r="O193" s="7" t="s">
        <v>28</v>
      </c>
      <c r="P193">
        <v>0.69978600000000002</v>
      </c>
      <c r="Q193" s="7" t="s">
        <v>28</v>
      </c>
      <c r="R193">
        <v>0</v>
      </c>
      <c r="S193">
        <v>0</v>
      </c>
      <c r="T193">
        <v>0</v>
      </c>
      <c r="U193">
        <v>0.69978600000000002</v>
      </c>
    </row>
    <row r="194" spans="1:21" x14ac:dyDescent="0.25">
      <c r="A194">
        <v>193</v>
      </c>
      <c r="B194">
        <v>121380578</v>
      </c>
      <c r="C194" s="7" t="s">
        <v>70</v>
      </c>
      <c r="D194">
        <v>93.1892</v>
      </c>
      <c r="E194">
        <v>7.6946199999999996</v>
      </c>
      <c r="F194">
        <v>93.1892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0.72072099999999995</v>
      </c>
      <c r="M194">
        <v>3</v>
      </c>
      <c r="N194">
        <v>0</v>
      </c>
      <c r="O194" s="7" t="s">
        <v>28</v>
      </c>
      <c r="P194">
        <v>0</v>
      </c>
      <c r="Q194" s="7" t="s">
        <v>28</v>
      </c>
      <c r="R194">
        <v>0</v>
      </c>
      <c r="S194">
        <v>0</v>
      </c>
      <c r="T194">
        <v>0</v>
      </c>
      <c r="U194">
        <v>0</v>
      </c>
    </row>
    <row r="195" spans="1:21" x14ac:dyDescent="0.25">
      <c r="A195">
        <v>194</v>
      </c>
      <c r="B195">
        <v>109606916</v>
      </c>
      <c r="C195" s="7" t="s">
        <v>70</v>
      </c>
      <c r="D195">
        <v>93.1892</v>
      </c>
      <c r="E195">
        <v>7.6946199999999996</v>
      </c>
      <c r="F195">
        <v>93.1892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3</v>
      </c>
      <c r="N195">
        <v>0</v>
      </c>
      <c r="O195" s="7" t="s">
        <v>28</v>
      </c>
      <c r="P195">
        <v>0.64864900000000003</v>
      </c>
      <c r="Q195" s="7" t="s">
        <v>28</v>
      </c>
      <c r="R195">
        <v>0</v>
      </c>
      <c r="S195">
        <v>0</v>
      </c>
      <c r="T195">
        <v>0</v>
      </c>
      <c r="U195">
        <v>0.64864900000000003</v>
      </c>
    </row>
    <row r="196" spans="1:21" x14ac:dyDescent="0.25">
      <c r="A196">
        <v>195</v>
      </c>
      <c r="B196">
        <v>499275632</v>
      </c>
      <c r="C196" s="7" t="s">
        <v>70</v>
      </c>
      <c r="D196">
        <v>93.1892</v>
      </c>
      <c r="E196">
        <v>8.2778200000000002</v>
      </c>
      <c r="F196">
        <v>93.1892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3</v>
      </c>
      <c r="N196">
        <v>0</v>
      </c>
      <c r="O196" s="7" t="s">
        <v>28</v>
      </c>
      <c r="P196">
        <v>0</v>
      </c>
      <c r="Q196" s="7" t="s">
        <v>28</v>
      </c>
      <c r="R196">
        <v>0</v>
      </c>
      <c r="S196">
        <v>0</v>
      </c>
      <c r="T196">
        <v>0</v>
      </c>
      <c r="U196">
        <v>0</v>
      </c>
    </row>
    <row r="197" spans="1:21" x14ac:dyDescent="0.25">
      <c r="A197">
        <v>196</v>
      </c>
      <c r="B197">
        <v>867913190</v>
      </c>
      <c r="C197" s="7" t="s">
        <v>70</v>
      </c>
      <c r="D197">
        <v>93.1892</v>
      </c>
      <c r="E197">
        <v>8.2778200000000002</v>
      </c>
      <c r="F197">
        <v>93.1892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3</v>
      </c>
      <c r="N197">
        <v>0</v>
      </c>
      <c r="O197" s="7" t="s">
        <v>28</v>
      </c>
      <c r="P197">
        <v>0</v>
      </c>
      <c r="Q197" s="7" t="s">
        <v>28</v>
      </c>
      <c r="R197">
        <v>0</v>
      </c>
      <c r="S197">
        <v>0</v>
      </c>
      <c r="T197">
        <v>0</v>
      </c>
      <c r="U197">
        <v>0</v>
      </c>
    </row>
    <row r="198" spans="1:21" x14ac:dyDescent="0.25">
      <c r="A198">
        <v>197</v>
      </c>
      <c r="B198">
        <v>389082205</v>
      </c>
      <c r="C198" s="7" t="s">
        <v>70</v>
      </c>
      <c r="D198">
        <v>93.1892</v>
      </c>
      <c r="E198">
        <v>8.2778200000000002</v>
      </c>
      <c r="F198">
        <v>93.1892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0.490504</v>
      </c>
      <c r="M198">
        <v>3</v>
      </c>
      <c r="N198">
        <v>0</v>
      </c>
      <c r="O198" s="7" t="s">
        <v>28</v>
      </c>
      <c r="P198">
        <v>0</v>
      </c>
      <c r="Q198" s="7" t="s">
        <v>28</v>
      </c>
      <c r="R198">
        <v>0</v>
      </c>
      <c r="S198">
        <v>0</v>
      </c>
      <c r="T198">
        <v>0</v>
      </c>
      <c r="U198">
        <v>0</v>
      </c>
    </row>
    <row r="199" spans="1:21" x14ac:dyDescent="0.25">
      <c r="A199">
        <v>198</v>
      </c>
      <c r="B199">
        <v>700879034</v>
      </c>
      <c r="C199" s="7" t="s">
        <v>70</v>
      </c>
      <c r="D199">
        <v>93.1892</v>
      </c>
      <c r="E199">
        <v>8.2778200000000002</v>
      </c>
      <c r="F199">
        <v>93.1892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1.04667</v>
      </c>
      <c r="M199">
        <v>3</v>
      </c>
      <c r="N199">
        <v>0</v>
      </c>
      <c r="O199" s="7" t="s">
        <v>28</v>
      </c>
      <c r="P199">
        <v>0.44145299999999998</v>
      </c>
      <c r="Q199" s="7" t="s">
        <v>28</v>
      </c>
      <c r="R199">
        <v>0</v>
      </c>
      <c r="S199">
        <v>0</v>
      </c>
      <c r="T199">
        <v>0</v>
      </c>
      <c r="U199">
        <v>0.44145299999999998</v>
      </c>
    </row>
    <row r="200" spans="1:21" x14ac:dyDescent="0.25">
      <c r="A200">
        <v>199</v>
      </c>
      <c r="B200">
        <v>10669007</v>
      </c>
      <c r="C200" s="7" t="s">
        <v>70</v>
      </c>
      <c r="D200">
        <v>93.1892</v>
      </c>
      <c r="E200">
        <v>8.2778200000000002</v>
      </c>
      <c r="F200">
        <v>93.1892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3</v>
      </c>
      <c r="N200">
        <v>0</v>
      </c>
      <c r="O200" s="7" t="s">
        <v>28</v>
      </c>
      <c r="P200">
        <v>0.94200300000000003</v>
      </c>
      <c r="Q200" s="7" t="s">
        <v>28</v>
      </c>
      <c r="R200">
        <v>0</v>
      </c>
      <c r="S200">
        <v>0</v>
      </c>
      <c r="T200">
        <v>0</v>
      </c>
      <c r="U200">
        <v>0.94200300000000003</v>
      </c>
    </row>
    <row r="201" spans="1:21" x14ac:dyDescent="0.25">
      <c r="A201">
        <v>200</v>
      </c>
      <c r="B201">
        <v>283859287</v>
      </c>
      <c r="C201" s="7" t="s">
        <v>70</v>
      </c>
      <c r="D201">
        <v>93.1892</v>
      </c>
      <c r="E201">
        <v>8.2778200000000002</v>
      </c>
      <c r="F201">
        <v>93.1892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3</v>
      </c>
      <c r="N201">
        <v>0</v>
      </c>
      <c r="O201" s="7" t="s">
        <v>28</v>
      </c>
      <c r="P201">
        <v>0</v>
      </c>
      <c r="Q201" s="7" t="s">
        <v>28</v>
      </c>
      <c r="R201">
        <v>0</v>
      </c>
      <c r="S201">
        <v>0</v>
      </c>
      <c r="T201">
        <v>0</v>
      </c>
      <c r="U201">
        <v>0</v>
      </c>
    </row>
    <row r="202" spans="1:21" x14ac:dyDescent="0.25">
      <c r="A202">
        <v>201</v>
      </c>
      <c r="B202">
        <v>602695052</v>
      </c>
      <c r="C202" s="7" t="s">
        <v>70</v>
      </c>
      <c r="D202">
        <v>93.1892</v>
      </c>
      <c r="E202">
        <v>8.2778200000000002</v>
      </c>
      <c r="F202">
        <v>93.1892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2.9816400000000001</v>
      </c>
      <c r="M202">
        <v>3</v>
      </c>
      <c r="N202">
        <v>0</v>
      </c>
      <c r="O202" s="7" t="s">
        <v>28</v>
      </c>
      <c r="P202">
        <v>0</v>
      </c>
      <c r="Q202" s="7" t="s">
        <v>28</v>
      </c>
      <c r="R202">
        <v>0</v>
      </c>
      <c r="S202">
        <v>0</v>
      </c>
      <c r="T202">
        <v>0</v>
      </c>
      <c r="U202">
        <v>0</v>
      </c>
    </row>
    <row r="203" spans="1:21" x14ac:dyDescent="0.25">
      <c r="A203">
        <v>202</v>
      </c>
      <c r="B203">
        <v>705804787</v>
      </c>
      <c r="C203" s="7" t="s">
        <v>70</v>
      </c>
      <c r="D203">
        <v>91.686400000000006</v>
      </c>
      <c r="E203">
        <v>8.2778200000000002</v>
      </c>
      <c r="F203">
        <v>91.686400000000006</v>
      </c>
      <c r="G203">
        <v>0</v>
      </c>
      <c r="H203">
        <v>-1.52163</v>
      </c>
      <c r="I203">
        <v>1</v>
      </c>
      <c r="J203">
        <v>6.0060099999999998E-2</v>
      </c>
      <c r="K203">
        <v>0.92114099999999999</v>
      </c>
      <c r="L203">
        <v>0</v>
      </c>
      <c r="M203">
        <v>3</v>
      </c>
      <c r="N203">
        <v>0</v>
      </c>
      <c r="O203" s="7" t="s">
        <v>28</v>
      </c>
      <c r="P203">
        <v>0.683477</v>
      </c>
      <c r="Q203" s="7" t="s">
        <v>109</v>
      </c>
      <c r="R203">
        <v>0</v>
      </c>
      <c r="S203">
        <v>0</v>
      </c>
      <c r="T203">
        <v>2</v>
      </c>
      <c r="U203">
        <v>2.6834799999999999</v>
      </c>
    </row>
    <row r="204" spans="1:21" x14ac:dyDescent="0.25">
      <c r="A204">
        <v>203</v>
      </c>
      <c r="B204">
        <v>166894322</v>
      </c>
      <c r="C204" s="7" t="s">
        <v>70</v>
      </c>
      <c r="D204">
        <v>99.853899999999996</v>
      </c>
      <c r="E204">
        <v>7.8875700000000002</v>
      </c>
      <c r="F204">
        <v>101.896</v>
      </c>
      <c r="G204">
        <v>0</v>
      </c>
      <c r="H204">
        <v>10.2094</v>
      </c>
      <c r="I204">
        <v>0.5</v>
      </c>
      <c r="J204">
        <v>1.4211400000000001</v>
      </c>
      <c r="K204">
        <v>0</v>
      </c>
      <c r="L204">
        <v>0</v>
      </c>
      <c r="M204">
        <v>3</v>
      </c>
      <c r="N204">
        <v>0</v>
      </c>
      <c r="O204" s="7" t="s">
        <v>28</v>
      </c>
      <c r="P204">
        <v>0</v>
      </c>
      <c r="Q204" s="7" t="s">
        <v>110</v>
      </c>
      <c r="R204">
        <v>0</v>
      </c>
      <c r="S204">
        <v>0</v>
      </c>
      <c r="T204">
        <v>1</v>
      </c>
      <c r="U204">
        <v>0.17097300000000001</v>
      </c>
    </row>
    <row r="205" spans="1:21" x14ac:dyDescent="0.25">
      <c r="A205">
        <v>204</v>
      </c>
      <c r="B205">
        <v>202862963</v>
      </c>
      <c r="C205" s="7" t="s">
        <v>70</v>
      </c>
      <c r="D205">
        <v>102.389</v>
      </c>
      <c r="E205">
        <v>8.3383000000000003</v>
      </c>
      <c r="F205">
        <v>103.023</v>
      </c>
      <c r="G205">
        <v>0</v>
      </c>
      <c r="H205">
        <v>3.1691500000000001</v>
      </c>
      <c r="I205">
        <v>0.5</v>
      </c>
      <c r="J205">
        <v>0.5</v>
      </c>
      <c r="K205">
        <v>0</v>
      </c>
      <c r="L205">
        <v>0.160109</v>
      </c>
      <c r="M205">
        <v>3</v>
      </c>
      <c r="N205">
        <v>0</v>
      </c>
      <c r="O205" s="7" t="s">
        <v>28</v>
      </c>
      <c r="P205">
        <v>0</v>
      </c>
      <c r="Q205" s="7" t="s">
        <v>110</v>
      </c>
      <c r="R205">
        <v>0</v>
      </c>
      <c r="S205">
        <v>0</v>
      </c>
      <c r="T205">
        <v>1</v>
      </c>
      <c r="U205">
        <v>0.5</v>
      </c>
    </row>
    <row r="206" spans="1:21" x14ac:dyDescent="0.25">
      <c r="A206">
        <v>205</v>
      </c>
      <c r="B206">
        <v>233947586</v>
      </c>
      <c r="C206" s="7" t="s">
        <v>70</v>
      </c>
      <c r="D206">
        <v>104.92400000000001</v>
      </c>
      <c r="E206">
        <v>8.3383000000000003</v>
      </c>
      <c r="F206">
        <v>105.55800000000001</v>
      </c>
      <c r="G206">
        <v>0</v>
      </c>
      <c r="H206">
        <v>3.1691500000000001</v>
      </c>
      <c r="I206">
        <v>0.5</v>
      </c>
      <c r="J206">
        <v>0.5</v>
      </c>
      <c r="K206">
        <v>0</v>
      </c>
      <c r="L206">
        <v>0.32977200000000001</v>
      </c>
      <c r="M206">
        <v>3</v>
      </c>
      <c r="N206">
        <v>0</v>
      </c>
      <c r="O206" s="7" t="s">
        <v>28</v>
      </c>
      <c r="P206">
        <v>0</v>
      </c>
      <c r="Q206" s="7" t="s">
        <v>110</v>
      </c>
      <c r="R206">
        <v>0</v>
      </c>
      <c r="S206">
        <v>0</v>
      </c>
      <c r="T206">
        <v>1</v>
      </c>
      <c r="U206">
        <v>0.64409799999999995</v>
      </c>
    </row>
    <row r="207" spans="1:21" x14ac:dyDescent="0.25">
      <c r="A207">
        <v>206</v>
      </c>
      <c r="B207">
        <v>188059232</v>
      </c>
      <c r="C207" s="7" t="s">
        <v>70</v>
      </c>
      <c r="D207">
        <v>107.46</v>
      </c>
      <c r="E207">
        <v>8.3383000000000003</v>
      </c>
      <c r="F207">
        <v>108.09399999999999</v>
      </c>
      <c r="G207">
        <v>0</v>
      </c>
      <c r="H207">
        <v>3.1691500000000001</v>
      </c>
      <c r="I207">
        <v>0.5</v>
      </c>
      <c r="J207">
        <v>0.5</v>
      </c>
      <c r="K207">
        <v>0</v>
      </c>
      <c r="L207">
        <v>0.12180199999999999</v>
      </c>
      <c r="M207">
        <v>3</v>
      </c>
      <c r="N207">
        <v>0</v>
      </c>
      <c r="O207" s="7" t="s">
        <v>28</v>
      </c>
      <c r="P207">
        <v>0</v>
      </c>
      <c r="Q207" s="7" t="s">
        <v>110</v>
      </c>
      <c r="R207">
        <v>0</v>
      </c>
      <c r="S207">
        <v>0</v>
      </c>
      <c r="T207">
        <v>1</v>
      </c>
      <c r="U207">
        <v>0.79679500000000003</v>
      </c>
    </row>
    <row r="208" spans="1:21" x14ac:dyDescent="0.25">
      <c r="A208">
        <v>207</v>
      </c>
      <c r="B208">
        <v>300876871</v>
      </c>
      <c r="C208" s="7" t="s">
        <v>70</v>
      </c>
      <c r="D208">
        <v>109.995</v>
      </c>
      <c r="E208">
        <v>8.3383000000000003</v>
      </c>
      <c r="F208">
        <v>110.629</v>
      </c>
      <c r="G208">
        <v>0</v>
      </c>
      <c r="H208">
        <v>3.1691500000000001</v>
      </c>
      <c r="I208">
        <v>0.5</v>
      </c>
      <c r="J208">
        <v>0.5</v>
      </c>
      <c r="K208">
        <v>0</v>
      </c>
      <c r="L208">
        <v>0.12012</v>
      </c>
      <c r="M208">
        <v>3</v>
      </c>
      <c r="N208">
        <v>0</v>
      </c>
      <c r="O208" s="7" t="s">
        <v>28</v>
      </c>
      <c r="P208">
        <v>0</v>
      </c>
      <c r="Q208" s="7" t="s">
        <v>110</v>
      </c>
      <c r="R208">
        <v>0</v>
      </c>
      <c r="S208">
        <v>0</v>
      </c>
      <c r="T208">
        <v>1</v>
      </c>
      <c r="U208">
        <v>0.609622</v>
      </c>
    </row>
    <row r="209" spans="1:21" x14ac:dyDescent="0.25">
      <c r="A209">
        <v>208</v>
      </c>
      <c r="B209">
        <v>2658098</v>
      </c>
      <c r="C209" s="7" t="s">
        <v>70</v>
      </c>
      <c r="D209">
        <v>110.471</v>
      </c>
      <c r="E209">
        <v>8.7949300000000008</v>
      </c>
      <c r="F209">
        <v>110.589</v>
      </c>
      <c r="G209">
        <v>0</v>
      </c>
      <c r="H209">
        <v>0.58701199999999998</v>
      </c>
      <c r="I209">
        <v>0.5</v>
      </c>
      <c r="J209">
        <v>0.181171</v>
      </c>
      <c r="K209">
        <v>0.31245200000000001</v>
      </c>
      <c r="L209">
        <v>0</v>
      </c>
      <c r="M209">
        <v>3</v>
      </c>
      <c r="N209">
        <v>0</v>
      </c>
      <c r="O209" s="7" t="s">
        <v>28</v>
      </c>
      <c r="P209">
        <v>0</v>
      </c>
      <c r="Q209" s="7" t="s">
        <v>110</v>
      </c>
      <c r="R209">
        <v>0</v>
      </c>
      <c r="S209">
        <v>0</v>
      </c>
      <c r="T209">
        <v>1</v>
      </c>
      <c r="U209">
        <v>0.60810799999999998</v>
      </c>
    </row>
    <row r="210" spans="1:21" x14ac:dyDescent="0.25">
      <c r="A210">
        <v>209</v>
      </c>
      <c r="B210">
        <v>298387604</v>
      </c>
      <c r="C210" s="7" t="s">
        <v>70</v>
      </c>
      <c r="D210">
        <v>113.38800000000001</v>
      </c>
      <c r="E210">
        <v>8.19848</v>
      </c>
      <c r="F210">
        <v>114.11499999999999</v>
      </c>
      <c r="G210">
        <v>0</v>
      </c>
      <c r="H210">
        <v>3.6393599999999999</v>
      </c>
      <c r="I210">
        <v>0.5</v>
      </c>
      <c r="J210">
        <v>0.56648100000000001</v>
      </c>
      <c r="K210">
        <v>0.24105199999999999</v>
      </c>
      <c r="L210">
        <v>0</v>
      </c>
      <c r="M210">
        <v>3</v>
      </c>
      <c r="N210">
        <v>0</v>
      </c>
      <c r="O210" s="7" t="s">
        <v>28</v>
      </c>
      <c r="P210">
        <v>0</v>
      </c>
      <c r="Q210" s="7" t="s">
        <v>110</v>
      </c>
      <c r="R210">
        <v>0</v>
      </c>
      <c r="S210">
        <v>0</v>
      </c>
      <c r="T210">
        <v>1</v>
      </c>
      <c r="U210">
        <v>0.21879299999999999</v>
      </c>
    </row>
    <row r="211" spans="1:21" x14ac:dyDescent="0.25">
      <c r="A211">
        <v>210</v>
      </c>
      <c r="B211">
        <v>607947311</v>
      </c>
      <c r="C211" s="7" t="s">
        <v>70</v>
      </c>
      <c r="D211">
        <v>117.396</v>
      </c>
      <c r="E211">
        <v>8.19848</v>
      </c>
      <c r="F211">
        <v>118.398</v>
      </c>
      <c r="G211">
        <v>0</v>
      </c>
      <c r="H211">
        <v>5.00983</v>
      </c>
      <c r="I211">
        <v>0.5</v>
      </c>
      <c r="J211">
        <v>0.73306199999999999</v>
      </c>
      <c r="K211">
        <v>7.8302600000000003E-3</v>
      </c>
      <c r="L211">
        <v>0</v>
      </c>
      <c r="M211">
        <v>3</v>
      </c>
      <c r="N211">
        <v>0</v>
      </c>
      <c r="O211" s="7" t="s">
        <v>28</v>
      </c>
      <c r="P211">
        <v>0</v>
      </c>
      <c r="Q211" s="7" t="s">
        <v>110</v>
      </c>
      <c r="R211">
        <v>0</v>
      </c>
      <c r="S211">
        <v>0</v>
      </c>
      <c r="T211">
        <v>1</v>
      </c>
      <c r="U211">
        <v>0.283053</v>
      </c>
    </row>
    <row r="212" spans="1:21" x14ac:dyDescent="0.25">
      <c r="A212">
        <v>211</v>
      </c>
      <c r="B212">
        <v>889364532</v>
      </c>
      <c r="C212" s="7" t="s">
        <v>70</v>
      </c>
      <c r="D212">
        <v>119.926</v>
      </c>
      <c r="E212">
        <v>8.19848</v>
      </c>
      <c r="F212">
        <v>120.559</v>
      </c>
      <c r="G212">
        <v>0</v>
      </c>
      <c r="H212">
        <v>3.16344</v>
      </c>
      <c r="I212">
        <v>0.5</v>
      </c>
      <c r="J212">
        <v>0.50783</v>
      </c>
      <c r="K212">
        <v>0</v>
      </c>
      <c r="L212">
        <v>0</v>
      </c>
      <c r="M212">
        <v>3</v>
      </c>
      <c r="N212">
        <v>0</v>
      </c>
      <c r="O212" s="7" t="s">
        <v>28</v>
      </c>
      <c r="P212">
        <v>0</v>
      </c>
      <c r="Q212" s="7" t="s">
        <v>110</v>
      </c>
      <c r="R212">
        <v>0</v>
      </c>
      <c r="S212">
        <v>0</v>
      </c>
      <c r="T212">
        <v>1</v>
      </c>
      <c r="U212">
        <v>0.49295299999999997</v>
      </c>
    </row>
    <row r="213" spans="1:21" x14ac:dyDescent="0.25">
      <c r="A213">
        <v>212</v>
      </c>
      <c r="B213">
        <v>875774962</v>
      </c>
      <c r="C213" s="7" t="s">
        <v>70</v>
      </c>
      <c r="D213">
        <v>122.46</v>
      </c>
      <c r="E213">
        <v>8.3341200000000004</v>
      </c>
      <c r="F213">
        <v>123.093</v>
      </c>
      <c r="G213">
        <v>0</v>
      </c>
      <c r="H213">
        <v>3.1670600000000002</v>
      </c>
      <c r="I213">
        <v>0.5</v>
      </c>
      <c r="J213">
        <v>0.5</v>
      </c>
      <c r="K213">
        <v>0</v>
      </c>
      <c r="L213">
        <v>0</v>
      </c>
      <c r="M213">
        <v>3</v>
      </c>
      <c r="N213">
        <v>0</v>
      </c>
      <c r="O213" s="7" t="s">
        <v>28</v>
      </c>
      <c r="P213">
        <v>0</v>
      </c>
      <c r="Q213" s="7" t="s">
        <v>110</v>
      </c>
      <c r="R213">
        <v>0</v>
      </c>
      <c r="S213">
        <v>0</v>
      </c>
      <c r="T213">
        <v>1</v>
      </c>
      <c r="U213">
        <v>0.5</v>
      </c>
    </row>
    <row r="214" spans="1:21" x14ac:dyDescent="0.25">
      <c r="A214">
        <v>213</v>
      </c>
      <c r="B214">
        <v>990735240</v>
      </c>
      <c r="C214" s="7" t="s">
        <v>70</v>
      </c>
      <c r="D214">
        <v>125.121</v>
      </c>
      <c r="E214">
        <v>8.6531000000000002</v>
      </c>
      <c r="F214">
        <v>125.786</v>
      </c>
      <c r="G214">
        <v>0</v>
      </c>
      <c r="H214">
        <v>3.3265500000000001</v>
      </c>
      <c r="I214">
        <v>0.5</v>
      </c>
      <c r="J214">
        <v>0.5</v>
      </c>
      <c r="K214">
        <v>0</v>
      </c>
      <c r="L214">
        <v>0.58314100000000002</v>
      </c>
      <c r="M214">
        <v>3</v>
      </c>
      <c r="N214">
        <v>0</v>
      </c>
      <c r="O214" s="7" t="s">
        <v>28</v>
      </c>
      <c r="P214">
        <v>0</v>
      </c>
      <c r="Q214" s="7" t="s">
        <v>110</v>
      </c>
      <c r="R214">
        <v>0</v>
      </c>
      <c r="S214">
        <v>0</v>
      </c>
      <c r="T214">
        <v>1</v>
      </c>
      <c r="U214">
        <v>0.5</v>
      </c>
    </row>
    <row r="215" spans="1:21" x14ac:dyDescent="0.25">
      <c r="A215">
        <v>214</v>
      </c>
      <c r="B215">
        <v>607216559</v>
      </c>
      <c r="C215" s="7" t="s">
        <v>70</v>
      </c>
      <c r="D215">
        <v>127.782</v>
      </c>
      <c r="E215">
        <v>8.6531000000000002</v>
      </c>
      <c r="F215">
        <v>128.44800000000001</v>
      </c>
      <c r="G215">
        <v>0</v>
      </c>
      <c r="H215">
        <v>3.3265500000000001</v>
      </c>
      <c r="I215">
        <v>0.5</v>
      </c>
      <c r="J215">
        <v>0.5</v>
      </c>
      <c r="K215">
        <v>0</v>
      </c>
      <c r="L215">
        <v>0.56567800000000001</v>
      </c>
      <c r="M215">
        <v>3</v>
      </c>
      <c r="N215">
        <v>0</v>
      </c>
      <c r="O215" s="7" t="s">
        <v>28</v>
      </c>
      <c r="P215">
        <v>2.4827200000000001E-2</v>
      </c>
      <c r="Q215" s="7" t="s">
        <v>110</v>
      </c>
      <c r="R215">
        <v>0</v>
      </c>
      <c r="S215">
        <v>0</v>
      </c>
      <c r="T215">
        <v>1</v>
      </c>
      <c r="U215">
        <v>1.0248299999999999</v>
      </c>
    </row>
    <row r="216" spans="1:21" x14ac:dyDescent="0.25">
      <c r="A216">
        <v>215</v>
      </c>
      <c r="B216">
        <v>551247484</v>
      </c>
      <c r="C216" s="7" t="s">
        <v>70</v>
      </c>
      <c r="D216">
        <v>129.29499999999999</v>
      </c>
      <c r="E216">
        <v>9.0284099999999992</v>
      </c>
      <c r="F216">
        <v>129.673</v>
      </c>
      <c r="G216">
        <v>0</v>
      </c>
      <c r="H216">
        <v>1.88666</v>
      </c>
      <c r="I216">
        <v>0.5</v>
      </c>
      <c r="J216">
        <v>0.320129</v>
      </c>
      <c r="K216">
        <v>0.17627399999999999</v>
      </c>
      <c r="L216">
        <v>0</v>
      </c>
      <c r="M216">
        <v>3</v>
      </c>
      <c r="N216">
        <v>0</v>
      </c>
      <c r="O216" s="7" t="s">
        <v>28</v>
      </c>
      <c r="P216">
        <v>9.1103199999999999E-3</v>
      </c>
      <c r="Q216" s="7" t="s">
        <v>110</v>
      </c>
      <c r="R216">
        <v>0</v>
      </c>
      <c r="S216">
        <v>0</v>
      </c>
      <c r="T216">
        <v>1</v>
      </c>
      <c r="U216">
        <v>1.00911</v>
      </c>
    </row>
    <row r="217" spans="1:21" x14ac:dyDescent="0.25">
      <c r="A217">
        <v>216</v>
      </c>
      <c r="B217">
        <v>217501998</v>
      </c>
      <c r="C217" s="7" t="s">
        <v>70</v>
      </c>
      <c r="D217">
        <v>130.91900000000001</v>
      </c>
      <c r="E217">
        <v>8.3274500000000007</v>
      </c>
      <c r="F217">
        <v>131.32300000000001</v>
      </c>
      <c r="G217">
        <v>0</v>
      </c>
      <c r="H217">
        <v>2.0214599999999998</v>
      </c>
      <c r="I217">
        <v>0.5</v>
      </c>
      <c r="J217">
        <v>0.36358200000000002</v>
      </c>
      <c r="K217">
        <v>0.30643799999999999</v>
      </c>
      <c r="L217">
        <v>0</v>
      </c>
      <c r="M217">
        <v>3</v>
      </c>
      <c r="N217">
        <v>0</v>
      </c>
      <c r="O217" s="7" t="s">
        <v>28</v>
      </c>
      <c r="P217">
        <v>0</v>
      </c>
      <c r="Q217" s="7" t="s">
        <v>110</v>
      </c>
      <c r="R217">
        <v>0</v>
      </c>
      <c r="S217">
        <v>0</v>
      </c>
      <c r="T217">
        <v>1</v>
      </c>
      <c r="U217">
        <v>0.34135300000000002</v>
      </c>
    </row>
    <row r="218" spans="1:21" x14ac:dyDescent="0.25">
      <c r="A218">
        <v>217</v>
      </c>
      <c r="B218">
        <v>741572992</v>
      </c>
      <c r="C218" s="7" t="s">
        <v>70</v>
      </c>
      <c r="D218">
        <v>129.91900000000001</v>
      </c>
      <c r="E218">
        <v>8.3274500000000007</v>
      </c>
      <c r="F218">
        <v>129.91900000000001</v>
      </c>
      <c r="G218">
        <v>0</v>
      </c>
      <c r="H218">
        <v>-1.01613</v>
      </c>
      <c r="I218">
        <v>0.5</v>
      </c>
      <c r="J218">
        <v>0</v>
      </c>
      <c r="K218">
        <v>0.79030900000000004</v>
      </c>
      <c r="L218">
        <v>0</v>
      </c>
      <c r="M218">
        <v>3</v>
      </c>
      <c r="N218">
        <v>0</v>
      </c>
      <c r="O218" s="7" t="s">
        <v>28</v>
      </c>
      <c r="P218">
        <v>0</v>
      </c>
      <c r="Q218" s="7" t="s">
        <v>110</v>
      </c>
      <c r="R218">
        <v>0</v>
      </c>
      <c r="S218">
        <v>0</v>
      </c>
      <c r="T218">
        <v>1</v>
      </c>
      <c r="U218">
        <v>0.22420599999999999</v>
      </c>
    </row>
    <row r="219" spans="1:21" x14ac:dyDescent="0.25">
      <c r="A219">
        <v>218</v>
      </c>
      <c r="B219">
        <v>206514133</v>
      </c>
      <c r="C219" s="7" t="s">
        <v>70</v>
      </c>
      <c r="D219">
        <v>135.184</v>
      </c>
      <c r="E219">
        <v>8.3274500000000007</v>
      </c>
      <c r="F219">
        <v>136.5</v>
      </c>
      <c r="G219">
        <v>0</v>
      </c>
      <c r="H219">
        <v>6.5812499999999998</v>
      </c>
      <c r="I219">
        <v>0</v>
      </c>
      <c r="J219">
        <v>0.79030900000000004</v>
      </c>
      <c r="K219">
        <v>0</v>
      </c>
      <c r="L219">
        <v>0</v>
      </c>
      <c r="M219">
        <v>3</v>
      </c>
      <c r="N219">
        <v>0</v>
      </c>
      <c r="O219" s="7" t="s">
        <v>28</v>
      </c>
      <c r="P219">
        <v>0</v>
      </c>
      <c r="Q219" s="7" t="s">
        <v>28</v>
      </c>
      <c r="R219">
        <v>0</v>
      </c>
      <c r="S219">
        <v>0</v>
      </c>
      <c r="T219">
        <v>0</v>
      </c>
      <c r="U219">
        <v>0</v>
      </c>
    </row>
    <row r="220" spans="1:21" x14ac:dyDescent="0.25">
      <c r="A220">
        <v>219</v>
      </c>
      <c r="B220">
        <v>15178248</v>
      </c>
      <c r="C220" s="7" t="s">
        <v>70</v>
      </c>
      <c r="D220">
        <v>135.184</v>
      </c>
      <c r="E220">
        <v>8.6039200000000005</v>
      </c>
      <c r="F220">
        <v>135.184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 s="7" t="s">
        <v>28</v>
      </c>
      <c r="P220">
        <v>0</v>
      </c>
      <c r="Q220" s="7" t="s">
        <v>28</v>
      </c>
      <c r="R220">
        <v>0</v>
      </c>
      <c r="S220">
        <v>0</v>
      </c>
      <c r="T220">
        <v>0</v>
      </c>
      <c r="U220">
        <v>0</v>
      </c>
    </row>
    <row r="221" spans="1:21" x14ac:dyDescent="0.25">
      <c r="A221">
        <v>220</v>
      </c>
      <c r="B221">
        <v>153054463</v>
      </c>
      <c r="C221" s="7" t="s">
        <v>70</v>
      </c>
      <c r="D221">
        <v>135.184</v>
      </c>
      <c r="E221">
        <v>9.4567099999999993</v>
      </c>
      <c r="F221">
        <v>135.184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 s="7" t="s">
        <v>28</v>
      </c>
      <c r="P221">
        <v>0</v>
      </c>
      <c r="Q221" s="7" t="s">
        <v>28</v>
      </c>
      <c r="R221">
        <v>0</v>
      </c>
      <c r="S221">
        <v>0</v>
      </c>
      <c r="T221">
        <v>0</v>
      </c>
      <c r="U221">
        <v>0</v>
      </c>
    </row>
    <row r="222" spans="1:21" x14ac:dyDescent="0.25">
      <c r="A222">
        <v>221</v>
      </c>
      <c r="B222">
        <v>467297306</v>
      </c>
      <c r="C222" s="7" t="s">
        <v>70</v>
      </c>
      <c r="D222">
        <v>135.184</v>
      </c>
      <c r="E222">
        <v>9.4567099999999993</v>
      </c>
      <c r="F222">
        <v>135.184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0.62640099999999999</v>
      </c>
      <c r="M222">
        <v>3</v>
      </c>
      <c r="N222">
        <v>0</v>
      </c>
      <c r="O222" s="7" t="s">
        <v>28</v>
      </c>
      <c r="P222">
        <v>0</v>
      </c>
      <c r="Q222" s="7" t="s">
        <v>28</v>
      </c>
      <c r="R222">
        <v>0</v>
      </c>
      <c r="S222">
        <v>0</v>
      </c>
      <c r="T222">
        <v>0</v>
      </c>
      <c r="U222">
        <v>0</v>
      </c>
    </row>
    <row r="223" spans="1:21" x14ac:dyDescent="0.25">
      <c r="A223">
        <v>222</v>
      </c>
      <c r="B223">
        <v>341480049</v>
      </c>
      <c r="C223" s="7" t="s">
        <v>70</v>
      </c>
      <c r="D223">
        <v>135.184</v>
      </c>
      <c r="E223">
        <v>9.4567099999999993</v>
      </c>
      <c r="F223">
        <v>135.184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3</v>
      </c>
      <c r="N223">
        <v>0</v>
      </c>
      <c r="O223" s="7" t="s">
        <v>28</v>
      </c>
      <c r="P223">
        <v>0.56376099999999996</v>
      </c>
      <c r="Q223" s="7" t="s">
        <v>28</v>
      </c>
      <c r="R223">
        <v>0</v>
      </c>
      <c r="S223">
        <v>0</v>
      </c>
      <c r="T223">
        <v>0</v>
      </c>
      <c r="U223">
        <v>0.56376099999999996</v>
      </c>
    </row>
    <row r="224" spans="1:21" x14ac:dyDescent="0.25">
      <c r="A224">
        <v>223</v>
      </c>
      <c r="B224">
        <v>354217056</v>
      </c>
      <c r="C224" s="7" t="s">
        <v>70</v>
      </c>
      <c r="D224">
        <v>135.184</v>
      </c>
      <c r="E224">
        <v>9.4567099999999993</v>
      </c>
      <c r="F224">
        <v>135.184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0</v>
      </c>
      <c r="O224" s="7" t="s">
        <v>28</v>
      </c>
      <c r="P224">
        <v>0</v>
      </c>
      <c r="Q224" s="7" t="s">
        <v>28</v>
      </c>
      <c r="R224">
        <v>0</v>
      </c>
      <c r="S224">
        <v>0</v>
      </c>
      <c r="T224">
        <v>0</v>
      </c>
      <c r="U224">
        <v>0</v>
      </c>
    </row>
    <row r="225" spans="1:21" x14ac:dyDescent="0.25">
      <c r="A225">
        <v>224</v>
      </c>
      <c r="B225">
        <v>617861270</v>
      </c>
      <c r="C225" s="7" t="s">
        <v>70</v>
      </c>
      <c r="D225">
        <v>135.184</v>
      </c>
      <c r="E225">
        <v>9.4567099999999993</v>
      </c>
      <c r="F225">
        <v>135.184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1.18106</v>
      </c>
      <c r="M225">
        <v>3</v>
      </c>
      <c r="N225">
        <v>0</v>
      </c>
      <c r="O225" s="7" t="s">
        <v>28</v>
      </c>
      <c r="P225">
        <v>0</v>
      </c>
      <c r="Q225" s="7" t="s">
        <v>28</v>
      </c>
      <c r="R225">
        <v>0</v>
      </c>
      <c r="S225">
        <v>0</v>
      </c>
      <c r="T225">
        <v>0</v>
      </c>
      <c r="U225">
        <v>0</v>
      </c>
    </row>
    <row r="226" spans="1:21" x14ac:dyDescent="0.25">
      <c r="A226">
        <v>225</v>
      </c>
      <c r="B226">
        <v>984952402</v>
      </c>
      <c r="C226" s="7" t="s">
        <v>70</v>
      </c>
      <c r="D226">
        <v>138.166</v>
      </c>
      <c r="E226">
        <v>9.4567099999999993</v>
      </c>
      <c r="F226">
        <v>138.91200000000001</v>
      </c>
      <c r="G226">
        <v>0</v>
      </c>
      <c r="H226">
        <v>3.7283599999999999</v>
      </c>
      <c r="I226">
        <v>0.5</v>
      </c>
      <c r="J226">
        <v>0.5</v>
      </c>
      <c r="K226">
        <v>0</v>
      </c>
      <c r="L226">
        <v>2.5608</v>
      </c>
      <c r="M226">
        <v>3</v>
      </c>
      <c r="N226">
        <v>0</v>
      </c>
      <c r="O226" s="7" t="s">
        <v>28</v>
      </c>
      <c r="P226">
        <v>6.2950099999999995E-2</v>
      </c>
      <c r="Q226" s="7" t="s">
        <v>111</v>
      </c>
      <c r="R226">
        <v>0</v>
      </c>
      <c r="S226">
        <v>0</v>
      </c>
      <c r="T226">
        <v>1</v>
      </c>
      <c r="U226">
        <v>1.0629500000000001</v>
      </c>
    </row>
    <row r="227" spans="1:21" x14ac:dyDescent="0.25">
      <c r="A227">
        <v>226</v>
      </c>
      <c r="B227">
        <v>997035739</v>
      </c>
      <c r="C227" s="7" t="s">
        <v>70</v>
      </c>
      <c r="D227">
        <v>144.13200000000001</v>
      </c>
      <c r="E227">
        <v>9.4567099999999993</v>
      </c>
      <c r="F227">
        <v>145.62299999999999</v>
      </c>
      <c r="G227">
        <v>0</v>
      </c>
      <c r="H227">
        <v>7.4567100000000002</v>
      </c>
      <c r="I227">
        <v>1</v>
      </c>
      <c r="J227">
        <v>1</v>
      </c>
      <c r="K227">
        <v>0</v>
      </c>
      <c r="L227">
        <v>0</v>
      </c>
      <c r="M227">
        <v>3</v>
      </c>
      <c r="N227">
        <v>0</v>
      </c>
      <c r="O227" s="7" t="s">
        <v>28</v>
      </c>
      <c r="P227">
        <v>0.80471599999999999</v>
      </c>
      <c r="Q227" s="7" t="s">
        <v>112</v>
      </c>
      <c r="R227">
        <v>0</v>
      </c>
      <c r="S227">
        <v>0</v>
      </c>
      <c r="T227">
        <v>2</v>
      </c>
      <c r="U227">
        <v>2.8047200000000001</v>
      </c>
    </row>
    <row r="228" spans="1:21" x14ac:dyDescent="0.25">
      <c r="A228">
        <v>227</v>
      </c>
      <c r="B228">
        <v>545603301</v>
      </c>
      <c r="C228" s="7" t="s">
        <v>70</v>
      </c>
      <c r="D228">
        <v>147.11500000000001</v>
      </c>
      <c r="E228">
        <v>9.4567099999999993</v>
      </c>
      <c r="F228">
        <v>147.86000000000001</v>
      </c>
      <c r="G228">
        <v>0</v>
      </c>
      <c r="H228">
        <v>3.7283599999999999</v>
      </c>
      <c r="I228">
        <v>0.5</v>
      </c>
      <c r="J228">
        <v>0.5</v>
      </c>
      <c r="K228">
        <v>0</v>
      </c>
      <c r="L228">
        <v>0.74876299999999996</v>
      </c>
      <c r="M228">
        <v>3</v>
      </c>
      <c r="N228">
        <v>0</v>
      </c>
      <c r="O228" s="7" t="s">
        <v>28</v>
      </c>
      <c r="P228">
        <v>0</v>
      </c>
      <c r="Q228" s="7" t="s">
        <v>111</v>
      </c>
      <c r="R228">
        <v>0</v>
      </c>
      <c r="S228">
        <v>0</v>
      </c>
      <c r="T228">
        <v>1</v>
      </c>
      <c r="U228">
        <v>1</v>
      </c>
    </row>
    <row r="229" spans="1:21" x14ac:dyDescent="0.25">
      <c r="A229">
        <v>228</v>
      </c>
      <c r="B229">
        <v>690221441</v>
      </c>
      <c r="C229" s="7" t="s">
        <v>70</v>
      </c>
      <c r="D229">
        <v>146.11500000000001</v>
      </c>
      <c r="E229">
        <v>10.26</v>
      </c>
      <c r="F229">
        <v>146.11500000000001</v>
      </c>
      <c r="G229">
        <v>0</v>
      </c>
      <c r="H229">
        <v>-1.01</v>
      </c>
      <c r="I229">
        <v>0.5</v>
      </c>
      <c r="J229">
        <v>0</v>
      </c>
      <c r="K229">
        <v>0.49</v>
      </c>
      <c r="L229">
        <v>0</v>
      </c>
      <c r="M229">
        <v>3</v>
      </c>
      <c r="N229">
        <v>0</v>
      </c>
      <c r="O229" s="7" t="s">
        <v>28</v>
      </c>
      <c r="P229">
        <v>0.17388700000000001</v>
      </c>
      <c r="Q229" s="7" t="s">
        <v>111</v>
      </c>
      <c r="R229">
        <v>0</v>
      </c>
      <c r="S229">
        <v>0</v>
      </c>
      <c r="T229">
        <v>1</v>
      </c>
      <c r="U229">
        <v>1.1738900000000001</v>
      </c>
    </row>
    <row r="230" spans="1:21" x14ac:dyDescent="0.25">
      <c r="A230">
        <v>229</v>
      </c>
      <c r="B230">
        <v>379039057</v>
      </c>
      <c r="C230" s="7" t="s">
        <v>70</v>
      </c>
      <c r="D230">
        <v>153.32300000000001</v>
      </c>
      <c r="E230">
        <v>10.111800000000001</v>
      </c>
      <c r="F230">
        <v>155.125</v>
      </c>
      <c r="G230">
        <v>0</v>
      </c>
      <c r="H230">
        <v>9.0106999999999999</v>
      </c>
      <c r="I230">
        <v>0.5</v>
      </c>
      <c r="J230">
        <v>0.99</v>
      </c>
      <c r="K230">
        <v>0</v>
      </c>
      <c r="L230">
        <v>3.1789499999999999</v>
      </c>
      <c r="M230">
        <v>3</v>
      </c>
      <c r="N230">
        <v>0</v>
      </c>
      <c r="O230" s="7" t="s">
        <v>28</v>
      </c>
      <c r="P230">
        <v>0</v>
      </c>
      <c r="Q230" s="7" t="s">
        <v>111</v>
      </c>
      <c r="R230">
        <v>0</v>
      </c>
      <c r="S230">
        <v>0</v>
      </c>
      <c r="T230">
        <v>1</v>
      </c>
      <c r="U230">
        <v>5.8999999999999997E-2</v>
      </c>
    </row>
    <row r="231" spans="1:21" x14ac:dyDescent="0.25">
      <c r="A231">
        <v>230</v>
      </c>
      <c r="B231">
        <v>600195480</v>
      </c>
      <c r="C231" s="7" t="s">
        <v>70</v>
      </c>
      <c r="D231">
        <v>161.65199999999999</v>
      </c>
      <c r="E231">
        <v>10.111800000000001</v>
      </c>
      <c r="F231">
        <v>163.73400000000001</v>
      </c>
      <c r="G231">
        <v>0</v>
      </c>
      <c r="H231">
        <v>10.407400000000001</v>
      </c>
      <c r="I231">
        <v>1.5</v>
      </c>
      <c r="J231">
        <v>1.3262499999999999</v>
      </c>
      <c r="K231">
        <v>0.17027200000000001</v>
      </c>
      <c r="L231">
        <v>0</v>
      </c>
      <c r="M231">
        <v>3</v>
      </c>
      <c r="N231">
        <v>0</v>
      </c>
      <c r="O231" s="7" t="s">
        <v>28</v>
      </c>
      <c r="P231">
        <v>0.36105500000000001</v>
      </c>
      <c r="Q231" s="7" t="s">
        <v>113</v>
      </c>
      <c r="R231">
        <v>0</v>
      </c>
      <c r="S231">
        <v>0</v>
      </c>
      <c r="T231">
        <v>3</v>
      </c>
      <c r="U231">
        <v>3.3610500000000001</v>
      </c>
    </row>
    <row r="232" spans="1:21" x14ac:dyDescent="0.25">
      <c r="A232">
        <v>231</v>
      </c>
      <c r="B232">
        <v>85379391</v>
      </c>
      <c r="C232" s="7" t="s">
        <v>70</v>
      </c>
      <c r="D232">
        <v>169.19200000000001</v>
      </c>
      <c r="E232">
        <v>9.7618600000000004</v>
      </c>
      <c r="F232">
        <v>171.07599999999999</v>
      </c>
      <c r="G232">
        <v>0</v>
      </c>
      <c r="H232">
        <v>9.4240300000000001</v>
      </c>
      <c r="I232">
        <v>1</v>
      </c>
      <c r="J232">
        <v>1.1702699999999999</v>
      </c>
      <c r="K232">
        <v>0</v>
      </c>
      <c r="L232">
        <v>0.36138999999999999</v>
      </c>
      <c r="M232">
        <v>3</v>
      </c>
      <c r="N232">
        <v>0</v>
      </c>
      <c r="O232" s="7" t="s">
        <v>28</v>
      </c>
      <c r="P232">
        <v>0</v>
      </c>
      <c r="Q232" s="7" t="s">
        <v>114</v>
      </c>
      <c r="R232">
        <v>0</v>
      </c>
      <c r="S232">
        <v>0</v>
      </c>
      <c r="T232">
        <v>2</v>
      </c>
      <c r="U232">
        <v>1.3467499999999999</v>
      </c>
    </row>
    <row r="233" spans="1:21" x14ac:dyDescent="0.25">
      <c r="A233">
        <v>232</v>
      </c>
      <c r="B233">
        <v>668715559</v>
      </c>
      <c r="C233" s="7" t="s">
        <v>70</v>
      </c>
      <c r="D233">
        <v>175.40100000000001</v>
      </c>
      <c r="E233">
        <v>9.7618600000000004</v>
      </c>
      <c r="F233">
        <v>176.95400000000001</v>
      </c>
      <c r="G233">
        <v>0</v>
      </c>
      <c r="H233">
        <v>7.7618600000000004</v>
      </c>
      <c r="I233">
        <v>1</v>
      </c>
      <c r="J233">
        <v>1</v>
      </c>
      <c r="K233">
        <v>0</v>
      </c>
      <c r="L233">
        <v>0.60730600000000001</v>
      </c>
      <c r="M233">
        <v>3</v>
      </c>
      <c r="N233">
        <v>0</v>
      </c>
      <c r="O233" s="7" t="s">
        <v>28</v>
      </c>
      <c r="P233">
        <v>0</v>
      </c>
      <c r="Q233" s="7" t="s">
        <v>114</v>
      </c>
      <c r="R233">
        <v>0</v>
      </c>
      <c r="S233">
        <v>0</v>
      </c>
      <c r="T233">
        <v>2</v>
      </c>
      <c r="U233">
        <v>1.32525</v>
      </c>
    </row>
    <row r="234" spans="1:21" x14ac:dyDescent="0.25">
      <c r="A234">
        <v>233</v>
      </c>
      <c r="B234">
        <v>101699668</v>
      </c>
      <c r="C234" s="7" t="s">
        <v>70</v>
      </c>
      <c r="D234">
        <v>181.61099999999999</v>
      </c>
      <c r="E234">
        <v>9.7618600000000004</v>
      </c>
      <c r="F234">
        <v>183.16300000000001</v>
      </c>
      <c r="G234">
        <v>0</v>
      </c>
      <c r="H234">
        <v>7.7618600000000004</v>
      </c>
      <c r="I234">
        <v>1</v>
      </c>
      <c r="J234">
        <v>1</v>
      </c>
      <c r="K234">
        <v>0</v>
      </c>
      <c r="L234">
        <v>0</v>
      </c>
      <c r="M234">
        <v>3</v>
      </c>
      <c r="N234">
        <v>0</v>
      </c>
      <c r="O234" s="7" t="s">
        <v>28</v>
      </c>
      <c r="P234">
        <v>0</v>
      </c>
      <c r="Q234" s="7" t="s">
        <v>114</v>
      </c>
      <c r="R234">
        <v>0</v>
      </c>
      <c r="S234">
        <v>0</v>
      </c>
      <c r="T234">
        <v>2</v>
      </c>
      <c r="U234">
        <v>1.5465800000000001</v>
      </c>
    </row>
    <row r="235" spans="1:21" x14ac:dyDescent="0.25">
      <c r="A235">
        <v>234</v>
      </c>
      <c r="B235">
        <v>564160796</v>
      </c>
      <c r="C235" s="7" t="s">
        <v>70</v>
      </c>
      <c r="D235">
        <v>182.131</v>
      </c>
      <c r="E235">
        <v>10.5281</v>
      </c>
      <c r="F235">
        <v>182.25899999999999</v>
      </c>
      <c r="G235">
        <v>0</v>
      </c>
      <c r="H235">
        <v>0.64171400000000001</v>
      </c>
      <c r="I235">
        <v>0.5</v>
      </c>
      <c r="J235">
        <v>0.15658900000000001</v>
      </c>
      <c r="K235">
        <v>0.33654299999999998</v>
      </c>
      <c r="L235">
        <v>0</v>
      </c>
      <c r="M235">
        <v>3</v>
      </c>
      <c r="N235">
        <v>0</v>
      </c>
      <c r="O235" s="7" t="s">
        <v>28</v>
      </c>
      <c r="P235">
        <v>0</v>
      </c>
      <c r="Q235" s="7" t="s">
        <v>115</v>
      </c>
      <c r="R235">
        <v>0</v>
      </c>
      <c r="S235">
        <v>0</v>
      </c>
      <c r="T235">
        <v>1</v>
      </c>
      <c r="U235">
        <v>1</v>
      </c>
    </row>
    <row r="236" spans="1:21" x14ac:dyDescent="0.25">
      <c r="A236">
        <v>235</v>
      </c>
      <c r="B236">
        <v>543781884</v>
      </c>
      <c r="C236" s="7" t="s">
        <v>70</v>
      </c>
      <c r="D236">
        <v>188.16</v>
      </c>
      <c r="E236">
        <v>10.204499999999999</v>
      </c>
      <c r="F236">
        <v>189.667</v>
      </c>
      <c r="G236">
        <v>0</v>
      </c>
      <c r="H236">
        <v>7.5365000000000002</v>
      </c>
      <c r="I236">
        <v>0.5</v>
      </c>
      <c r="J236">
        <v>0.83654300000000004</v>
      </c>
      <c r="K236">
        <v>0</v>
      </c>
      <c r="L236">
        <v>0.366844</v>
      </c>
      <c r="M236">
        <v>3</v>
      </c>
      <c r="N236">
        <v>0</v>
      </c>
      <c r="O236" s="7" t="s">
        <v>28</v>
      </c>
      <c r="P236">
        <v>0</v>
      </c>
      <c r="Q236" s="7" t="s">
        <v>115</v>
      </c>
      <c r="R236">
        <v>0</v>
      </c>
      <c r="S236">
        <v>0</v>
      </c>
      <c r="T236">
        <v>1</v>
      </c>
      <c r="U236">
        <v>0.19711100000000001</v>
      </c>
    </row>
    <row r="237" spans="1:21" x14ac:dyDescent="0.25">
      <c r="A237">
        <v>236</v>
      </c>
      <c r="B237">
        <v>366471115</v>
      </c>
      <c r="C237" s="7" t="s">
        <v>70</v>
      </c>
      <c r="D237">
        <v>191.44200000000001</v>
      </c>
      <c r="E237">
        <v>10.204499999999999</v>
      </c>
      <c r="F237">
        <v>192.262</v>
      </c>
      <c r="G237">
        <v>0</v>
      </c>
      <c r="H237">
        <v>4.1022499999999997</v>
      </c>
      <c r="I237">
        <v>0.5</v>
      </c>
      <c r="J237">
        <v>0.5</v>
      </c>
      <c r="K237">
        <v>0</v>
      </c>
      <c r="L237">
        <v>0.45045000000000002</v>
      </c>
      <c r="M237">
        <v>3</v>
      </c>
      <c r="N237">
        <v>0</v>
      </c>
      <c r="O237" s="7" t="s">
        <v>28</v>
      </c>
      <c r="P237">
        <v>0</v>
      </c>
      <c r="Q237" s="7" t="s">
        <v>115</v>
      </c>
      <c r="R237">
        <v>0</v>
      </c>
      <c r="S237">
        <v>0</v>
      </c>
      <c r="T237">
        <v>1</v>
      </c>
      <c r="U237">
        <v>0.83016000000000001</v>
      </c>
    </row>
    <row r="238" spans="1:21" x14ac:dyDescent="0.25">
      <c r="A238">
        <v>237</v>
      </c>
      <c r="B238">
        <v>500825286</v>
      </c>
      <c r="C238" s="7" t="s">
        <v>70</v>
      </c>
      <c r="D238">
        <v>194.72399999999999</v>
      </c>
      <c r="E238">
        <v>10.204499999999999</v>
      </c>
      <c r="F238">
        <v>195.54400000000001</v>
      </c>
      <c r="G238">
        <v>0</v>
      </c>
      <c r="H238">
        <v>4.1022499999999997</v>
      </c>
      <c r="I238">
        <v>0.5</v>
      </c>
      <c r="J238">
        <v>0.5</v>
      </c>
      <c r="K238">
        <v>0</v>
      </c>
      <c r="L238">
        <v>0</v>
      </c>
      <c r="M238">
        <v>3</v>
      </c>
      <c r="N238">
        <v>0</v>
      </c>
      <c r="O238" s="7" t="s">
        <v>28</v>
      </c>
      <c r="P238">
        <v>0</v>
      </c>
      <c r="Q238" s="7" t="s">
        <v>115</v>
      </c>
      <c r="R238">
        <v>0</v>
      </c>
      <c r="S238">
        <v>0</v>
      </c>
      <c r="T238">
        <v>1</v>
      </c>
      <c r="U238">
        <v>0.90540500000000002</v>
      </c>
    </row>
    <row r="239" spans="1:21" x14ac:dyDescent="0.25">
      <c r="A239">
        <v>238</v>
      </c>
      <c r="B239">
        <v>840295589</v>
      </c>
      <c r="C239" s="7" t="s">
        <v>70</v>
      </c>
      <c r="D239">
        <v>198.005</v>
      </c>
      <c r="E239">
        <v>10.204499999999999</v>
      </c>
      <c r="F239">
        <v>198.82599999999999</v>
      </c>
      <c r="G239">
        <v>0</v>
      </c>
      <c r="H239">
        <v>4.1022499999999997</v>
      </c>
      <c r="I239">
        <v>0.5</v>
      </c>
      <c r="J239">
        <v>0.5</v>
      </c>
      <c r="K239">
        <v>0</v>
      </c>
      <c r="L239">
        <v>3.5918899999999997E-2</v>
      </c>
      <c r="M239">
        <v>3</v>
      </c>
      <c r="N239">
        <v>0</v>
      </c>
      <c r="O239" s="7" t="s">
        <v>28</v>
      </c>
      <c r="P239">
        <v>0</v>
      </c>
      <c r="Q239" s="7" t="s">
        <v>115</v>
      </c>
      <c r="R239">
        <v>0</v>
      </c>
      <c r="S239">
        <v>0</v>
      </c>
      <c r="T239">
        <v>1</v>
      </c>
      <c r="U239">
        <v>0.5</v>
      </c>
    </row>
    <row r="240" spans="1:21" x14ac:dyDescent="0.25">
      <c r="A240">
        <v>239</v>
      </c>
      <c r="B240">
        <v>446191670</v>
      </c>
      <c r="C240" s="7" t="s">
        <v>70</v>
      </c>
      <c r="D240">
        <v>201.346</v>
      </c>
      <c r="E240">
        <v>10.351100000000001</v>
      </c>
      <c r="F240">
        <v>202.18100000000001</v>
      </c>
      <c r="G240">
        <v>0</v>
      </c>
      <c r="H240">
        <v>4.1755500000000003</v>
      </c>
      <c r="I240">
        <v>0.5</v>
      </c>
      <c r="J240">
        <v>0.5</v>
      </c>
      <c r="K240">
        <v>0</v>
      </c>
      <c r="L240">
        <v>0.51856199999999997</v>
      </c>
      <c r="M240">
        <v>3</v>
      </c>
      <c r="N240">
        <v>0</v>
      </c>
      <c r="O240" s="7" t="s">
        <v>28</v>
      </c>
      <c r="P240">
        <v>0</v>
      </c>
      <c r="Q240" s="7" t="s">
        <v>115</v>
      </c>
      <c r="R240">
        <v>0</v>
      </c>
      <c r="S240">
        <v>0</v>
      </c>
      <c r="T240">
        <v>1</v>
      </c>
      <c r="U240">
        <v>0.53232699999999999</v>
      </c>
    </row>
    <row r="241" spans="1:21" x14ac:dyDescent="0.25">
      <c r="A241">
        <v>240</v>
      </c>
      <c r="B241">
        <v>240511312</v>
      </c>
      <c r="C241" s="7" t="s">
        <v>70</v>
      </c>
      <c r="D241">
        <v>205.04300000000001</v>
      </c>
      <c r="E241">
        <v>11.242800000000001</v>
      </c>
      <c r="F241">
        <v>205.96700000000001</v>
      </c>
      <c r="G241">
        <v>0</v>
      </c>
      <c r="H241">
        <v>4.6213899999999999</v>
      </c>
      <c r="I241">
        <v>0.5</v>
      </c>
      <c r="J241">
        <v>0.5</v>
      </c>
      <c r="K241">
        <v>0</v>
      </c>
      <c r="L241">
        <v>0.10086000000000001</v>
      </c>
      <c r="M241">
        <v>3</v>
      </c>
      <c r="N241">
        <v>0</v>
      </c>
      <c r="O241" s="7" t="s">
        <v>28</v>
      </c>
      <c r="P241">
        <v>0</v>
      </c>
      <c r="Q241" s="7" t="s">
        <v>115</v>
      </c>
      <c r="R241">
        <v>0</v>
      </c>
      <c r="S241">
        <v>0</v>
      </c>
      <c r="T241">
        <v>1</v>
      </c>
      <c r="U241">
        <v>0.96670599999999995</v>
      </c>
    </row>
    <row r="242" spans="1:21" x14ac:dyDescent="0.25">
      <c r="A242">
        <v>241</v>
      </c>
      <c r="B242">
        <v>773880751</v>
      </c>
      <c r="C242" s="7" t="s">
        <v>70</v>
      </c>
      <c r="D242">
        <v>208.74</v>
      </c>
      <c r="E242">
        <v>11.242800000000001</v>
      </c>
      <c r="F242">
        <v>209.66399999999999</v>
      </c>
      <c r="G242">
        <v>0</v>
      </c>
      <c r="H242">
        <v>4.6213899999999999</v>
      </c>
      <c r="I242">
        <v>0.5</v>
      </c>
      <c r="J242">
        <v>0.5</v>
      </c>
      <c r="K242">
        <v>0</v>
      </c>
      <c r="L242">
        <v>0.16623099999999999</v>
      </c>
      <c r="M242">
        <v>3</v>
      </c>
      <c r="N242">
        <v>0</v>
      </c>
      <c r="O242" s="7" t="s">
        <v>28</v>
      </c>
      <c r="P242">
        <v>0</v>
      </c>
      <c r="Q242" s="7" t="s">
        <v>115</v>
      </c>
      <c r="R242">
        <v>0</v>
      </c>
      <c r="S242">
        <v>0</v>
      </c>
      <c r="T242">
        <v>1</v>
      </c>
      <c r="U242">
        <v>0.59077400000000002</v>
      </c>
    </row>
    <row r="243" spans="1:21" x14ac:dyDescent="0.25">
      <c r="A243">
        <v>242</v>
      </c>
      <c r="B243">
        <v>968142369</v>
      </c>
      <c r="C243" s="7" t="s">
        <v>70</v>
      </c>
      <c r="D243">
        <v>210.26599999999999</v>
      </c>
      <c r="E243">
        <v>11.242800000000001</v>
      </c>
      <c r="F243">
        <v>210.64599999999999</v>
      </c>
      <c r="G243">
        <v>0</v>
      </c>
      <c r="H243">
        <v>1.901</v>
      </c>
      <c r="I243">
        <v>0.5</v>
      </c>
      <c r="J243">
        <v>0.25846200000000003</v>
      </c>
      <c r="K243">
        <v>0.236708</v>
      </c>
      <c r="L243">
        <v>0</v>
      </c>
      <c r="M243">
        <v>3</v>
      </c>
      <c r="N243">
        <v>0</v>
      </c>
      <c r="O243" s="7" t="s">
        <v>28</v>
      </c>
      <c r="P243">
        <v>0</v>
      </c>
      <c r="Q243" s="7" t="s">
        <v>115</v>
      </c>
      <c r="R243">
        <v>0</v>
      </c>
      <c r="S243">
        <v>0</v>
      </c>
      <c r="T243">
        <v>1</v>
      </c>
      <c r="U243">
        <v>0.64960799999999996</v>
      </c>
    </row>
    <row r="244" spans="1:21" x14ac:dyDescent="0.25">
      <c r="A244">
        <v>243</v>
      </c>
      <c r="B244">
        <v>207368622</v>
      </c>
      <c r="C244" s="7" t="s">
        <v>70</v>
      </c>
      <c r="D244">
        <v>211.244</v>
      </c>
      <c r="E244">
        <v>10.804500000000001</v>
      </c>
      <c r="F244">
        <v>211.48599999999999</v>
      </c>
      <c r="G244">
        <v>0</v>
      </c>
      <c r="H244">
        <v>1.20912</v>
      </c>
      <c r="I244">
        <v>0.5</v>
      </c>
      <c r="J244">
        <v>0.20544499999999999</v>
      </c>
      <c r="K244">
        <v>0.52063700000000002</v>
      </c>
      <c r="L244">
        <v>0</v>
      </c>
      <c r="M244">
        <v>3</v>
      </c>
      <c r="N244">
        <v>0</v>
      </c>
      <c r="O244" s="7" t="s">
        <v>28</v>
      </c>
      <c r="P244">
        <v>0</v>
      </c>
      <c r="Q244" s="7" t="s">
        <v>115</v>
      </c>
      <c r="R244">
        <v>0</v>
      </c>
      <c r="S244">
        <v>0</v>
      </c>
      <c r="T244">
        <v>1</v>
      </c>
      <c r="U244">
        <v>0.28696300000000002</v>
      </c>
    </row>
    <row r="245" spans="1:21" x14ac:dyDescent="0.25">
      <c r="A245">
        <v>244</v>
      </c>
      <c r="B245">
        <v>412283738</v>
      </c>
      <c r="C245" s="7" t="s">
        <v>70</v>
      </c>
      <c r="D245">
        <v>218.506</v>
      </c>
      <c r="E245">
        <v>9.8740900000000007</v>
      </c>
      <c r="F245">
        <v>220.322</v>
      </c>
      <c r="G245">
        <v>0</v>
      </c>
      <c r="H245">
        <v>9.0778599999999994</v>
      </c>
      <c r="I245">
        <v>0.5</v>
      </c>
      <c r="J245">
        <v>1.02064</v>
      </c>
      <c r="K245">
        <v>0</v>
      </c>
      <c r="L245">
        <v>0</v>
      </c>
      <c r="M245">
        <v>3</v>
      </c>
      <c r="N245">
        <v>0</v>
      </c>
      <c r="O245" s="7" t="s">
        <v>28</v>
      </c>
      <c r="P245">
        <v>0</v>
      </c>
      <c r="Q245" s="7" t="s">
        <v>115</v>
      </c>
      <c r="R245">
        <v>0</v>
      </c>
      <c r="S245">
        <v>0</v>
      </c>
      <c r="T245">
        <v>1</v>
      </c>
      <c r="U245">
        <v>3.1426700000000002E-2</v>
      </c>
    </row>
    <row r="246" spans="1:21" x14ac:dyDescent="0.25">
      <c r="A246">
        <v>245</v>
      </c>
      <c r="B246">
        <v>956168485</v>
      </c>
      <c r="C246" s="7" t="s">
        <v>70</v>
      </c>
      <c r="D246">
        <v>220.34800000000001</v>
      </c>
      <c r="E246">
        <v>10.687799999999999</v>
      </c>
      <c r="F246">
        <v>220.80799999999999</v>
      </c>
      <c r="G246">
        <v>0</v>
      </c>
      <c r="H246">
        <v>2.2980700000000001</v>
      </c>
      <c r="I246">
        <v>0.5</v>
      </c>
      <c r="J246">
        <v>0.30894100000000002</v>
      </c>
      <c r="K246">
        <v>0.18723799999999999</v>
      </c>
      <c r="L246">
        <v>0</v>
      </c>
      <c r="M246">
        <v>3</v>
      </c>
      <c r="N246">
        <v>0</v>
      </c>
      <c r="O246" s="7" t="s">
        <v>28</v>
      </c>
      <c r="P246">
        <v>0</v>
      </c>
      <c r="Q246" s="7" t="s">
        <v>115</v>
      </c>
      <c r="R246">
        <v>0</v>
      </c>
      <c r="S246">
        <v>0</v>
      </c>
      <c r="T246">
        <v>1</v>
      </c>
      <c r="U246">
        <v>0.5</v>
      </c>
    </row>
    <row r="247" spans="1:21" x14ac:dyDescent="0.25">
      <c r="A247">
        <v>246</v>
      </c>
      <c r="B247">
        <v>686698496</v>
      </c>
      <c r="C247" s="7" t="s">
        <v>70</v>
      </c>
      <c r="D247">
        <v>225.36500000000001</v>
      </c>
      <c r="E247">
        <v>10.5792</v>
      </c>
      <c r="F247">
        <v>226.619</v>
      </c>
      <c r="G247">
        <v>0</v>
      </c>
      <c r="H247">
        <v>6.2704000000000004</v>
      </c>
      <c r="I247">
        <v>0.5</v>
      </c>
      <c r="J247">
        <v>0.68723800000000002</v>
      </c>
      <c r="K247">
        <v>0</v>
      </c>
      <c r="L247">
        <v>0</v>
      </c>
      <c r="M247">
        <v>3</v>
      </c>
      <c r="N247">
        <v>0</v>
      </c>
      <c r="O247" s="7" t="s">
        <v>28</v>
      </c>
      <c r="P247">
        <v>0</v>
      </c>
      <c r="Q247" s="7" t="s">
        <v>115</v>
      </c>
      <c r="R247">
        <v>0</v>
      </c>
      <c r="S247">
        <v>0</v>
      </c>
      <c r="T247">
        <v>1</v>
      </c>
      <c r="U247">
        <v>0.331486</v>
      </c>
    </row>
    <row r="248" spans="1:21" x14ac:dyDescent="0.25">
      <c r="A248">
        <v>247</v>
      </c>
      <c r="B248">
        <v>254337552</v>
      </c>
      <c r="C248" s="7" t="s">
        <v>70</v>
      </c>
      <c r="D248">
        <v>229.137</v>
      </c>
      <c r="E248">
        <v>11.430099999999999</v>
      </c>
      <c r="F248">
        <v>230.08</v>
      </c>
      <c r="G248">
        <v>0</v>
      </c>
      <c r="H248">
        <v>4.7150699999999999</v>
      </c>
      <c r="I248">
        <v>0.5</v>
      </c>
      <c r="J248">
        <v>0.5</v>
      </c>
      <c r="K248">
        <v>0</v>
      </c>
      <c r="L248">
        <v>0.67023900000000003</v>
      </c>
      <c r="M248">
        <v>3</v>
      </c>
      <c r="N248">
        <v>0</v>
      </c>
      <c r="O248" s="7" t="s">
        <v>28</v>
      </c>
      <c r="P248">
        <v>0</v>
      </c>
      <c r="Q248" s="7" t="s">
        <v>115</v>
      </c>
      <c r="R248">
        <v>0</v>
      </c>
      <c r="S248">
        <v>0</v>
      </c>
      <c r="T248">
        <v>1</v>
      </c>
      <c r="U248">
        <v>0.5</v>
      </c>
    </row>
    <row r="249" spans="1:21" x14ac:dyDescent="0.25">
      <c r="A249">
        <v>248</v>
      </c>
      <c r="B249">
        <v>723789435</v>
      </c>
      <c r="C249" s="7" t="s">
        <v>70</v>
      </c>
      <c r="D249">
        <v>228.137</v>
      </c>
      <c r="E249">
        <v>11.430099999999999</v>
      </c>
      <c r="F249">
        <v>228.137</v>
      </c>
      <c r="G249">
        <v>0</v>
      </c>
      <c r="H249">
        <v>-1.01</v>
      </c>
      <c r="I249">
        <v>0.5</v>
      </c>
      <c r="J249">
        <v>0</v>
      </c>
      <c r="K249">
        <v>0.49</v>
      </c>
      <c r="L249">
        <v>0</v>
      </c>
      <c r="M249">
        <v>3</v>
      </c>
      <c r="N249">
        <v>0</v>
      </c>
      <c r="O249" s="7" t="s">
        <v>28</v>
      </c>
      <c r="P249">
        <v>0.103215</v>
      </c>
      <c r="Q249" s="7" t="s">
        <v>115</v>
      </c>
      <c r="R249">
        <v>0</v>
      </c>
      <c r="S249">
        <v>0</v>
      </c>
      <c r="T249">
        <v>1</v>
      </c>
      <c r="U249">
        <v>1.1032200000000001</v>
      </c>
    </row>
    <row r="250" spans="1:21" x14ac:dyDescent="0.25">
      <c r="A250">
        <v>249</v>
      </c>
      <c r="B250">
        <v>257004539</v>
      </c>
      <c r="C250" s="7" t="s">
        <v>70</v>
      </c>
      <c r="D250">
        <v>235.46600000000001</v>
      </c>
      <c r="E250">
        <v>10.9762</v>
      </c>
      <c r="F250">
        <v>237.298</v>
      </c>
      <c r="G250">
        <v>0</v>
      </c>
      <c r="H250">
        <v>9.1601199999999992</v>
      </c>
      <c r="I250">
        <v>0.5</v>
      </c>
      <c r="J250">
        <v>0.92576499999999995</v>
      </c>
      <c r="K250">
        <v>6.2950300000000001E-2</v>
      </c>
      <c r="L250">
        <v>0</v>
      </c>
      <c r="M250">
        <v>3</v>
      </c>
      <c r="N250">
        <v>0</v>
      </c>
      <c r="O250" s="7" t="s">
        <v>28</v>
      </c>
      <c r="P250">
        <v>0</v>
      </c>
      <c r="Q250" s="7" t="s">
        <v>115</v>
      </c>
      <c r="R250">
        <v>0</v>
      </c>
      <c r="S250">
        <v>0</v>
      </c>
      <c r="T250">
        <v>1</v>
      </c>
      <c r="U250">
        <v>5.8999999999999997E-2</v>
      </c>
    </row>
    <row r="251" spans="1:21" x14ac:dyDescent="0.25">
      <c r="A251">
        <v>250</v>
      </c>
      <c r="B251">
        <v>22019533</v>
      </c>
      <c r="C251" s="7" t="s">
        <v>70</v>
      </c>
      <c r="D251">
        <v>239.60900000000001</v>
      </c>
      <c r="E251">
        <v>10.9762</v>
      </c>
      <c r="F251">
        <v>240.64500000000001</v>
      </c>
      <c r="G251">
        <v>0</v>
      </c>
      <c r="H251">
        <v>5.1790700000000003</v>
      </c>
      <c r="I251">
        <v>0.5</v>
      </c>
      <c r="J251">
        <v>0.56294999999999995</v>
      </c>
      <c r="K251">
        <v>0</v>
      </c>
      <c r="L251">
        <v>0</v>
      </c>
      <c r="M251">
        <v>3</v>
      </c>
      <c r="N251">
        <v>0</v>
      </c>
      <c r="O251" s="7" t="s">
        <v>28</v>
      </c>
      <c r="P251">
        <v>0</v>
      </c>
      <c r="Q251" s="7" t="s">
        <v>115</v>
      </c>
      <c r="R251">
        <v>0</v>
      </c>
      <c r="S251">
        <v>0</v>
      </c>
      <c r="T251">
        <v>1</v>
      </c>
      <c r="U251">
        <v>0.44334499999999999</v>
      </c>
    </row>
    <row r="252" spans="1:21" x14ac:dyDescent="0.25">
      <c r="A252">
        <v>251</v>
      </c>
      <c r="B252">
        <v>55727148</v>
      </c>
      <c r="C252" s="7" t="s">
        <v>70</v>
      </c>
      <c r="D252">
        <v>243.22800000000001</v>
      </c>
      <c r="E252">
        <v>11.0457</v>
      </c>
      <c r="F252">
        <v>244.13200000000001</v>
      </c>
      <c r="G252">
        <v>0</v>
      </c>
      <c r="H252">
        <v>4.52285</v>
      </c>
      <c r="I252">
        <v>0.5</v>
      </c>
      <c r="J252">
        <v>0.5</v>
      </c>
      <c r="K252">
        <v>0</v>
      </c>
      <c r="L252">
        <v>0</v>
      </c>
      <c r="M252">
        <v>3</v>
      </c>
      <c r="N252">
        <v>0</v>
      </c>
      <c r="O252" s="7" t="s">
        <v>28</v>
      </c>
      <c r="P252">
        <v>0</v>
      </c>
      <c r="Q252" s="7" t="s">
        <v>115</v>
      </c>
      <c r="R252">
        <v>0</v>
      </c>
      <c r="S252">
        <v>0</v>
      </c>
      <c r="T252">
        <v>1</v>
      </c>
      <c r="U252">
        <v>0.5</v>
      </c>
    </row>
    <row r="253" spans="1:21" x14ac:dyDescent="0.25">
      <c r="A253">
        <v>252</v>
      </c>
      <c r="B253">
        <v>460029646</v>
      </c>
      <c r="C253" s="7" t="s">
        <v>70</v>
      </c>
      <c r="D253">
        <v>247.12299999999999</v>
      </c>
      <c r="E253">
        <v>11.7385</v>
      </c>
      <c r="F253">
        <v>248.09700000000001</v>
      </c>
      <c r="G253">
        <v>0</v>
      </c>
      <c r="H253">
        <v>4.8692599999999997</v>
      </c>
      <c r="I253">
        <v>0.5</v>
      </c>
      <c r="J253">
        <v>0.5</v>
      </c>
      <c r="K253">
        <v>0</v>
      </c>
      <c r="L253">
        <v>0.85524199999999995</v>
      </c>
      <c r="M253">
        <v>3</v>
      </c>
      <c r="N253">
        <v>0</v>
      </c>
      <c r="O253" s="7" t="s">
        <v>28</v>
      </c>
      <c r="P253">
        <v>0</v>
      </c>
      <c r="Q253" s="7" t="s">
        <v>115</v>
      </c>
      <c r="R253">
        <v>0</v>
      </c>
      <c r="S253">
        <v>0</v>
      </c>
      <c r="T253">
        <v>1</v>
      </c>
      <c r="U253">
        <v>0.5</v>
      </c>
    </row>
    <row r="254" spans="1:21" x14ac:dyDescent="0.25">
      <c r="A254">
        <v>253</v>
      </c>
      <c r="B254">
        <v>859940727</v>
      </c>
      <c r="C254" s="7" t="s">
        <v>70</v>
      </c>
      <c r="D254">
        <v>251.018</v>
      </c>
      <c r="E254">
        <v>11.7385</v>
      </c>
      <c r="F254">
        <v>251.99199999999999</v>
      </c>
      <c r="G254">
        <v>0</v>
      </c>
      <c r="H254">
        <v>4.8692599999999997</v>
      </c>
      <c r="I254">
        <v>0.5</v>
      </c>
      <c r="J254">
        <v>0.5</v>
      </c>
      <c r="K254">
        <v>0</v>
      </c>
      <c r="L254">
        <v>0.18018000000000001</v>
      </c>
      <c r="M254">
        <v>3</v>
      </c>
      <c r="N254">
        <v>0</v>
      </c>
      <c r="O254" s="7" t="s">
        <v>28</v>
      </c>
      <c r="P254">
        <v>0.26971800000000001</v>
      </c>
      <c r="Q254" s="7" t="s">
        <v>115</v>
      </c>
      <c r="R254">
        <v>0</v>
      </c>
      <c r="S254">
        <v>0</v>
      </c>
      <c r="T254">
        <v>1</v>
      </c>
      <c r="U254">
        <v>1.26972</v>
      </c>
    </row>
    <row r="255" spans="1:21" x14ac:dyDescent="0.25">
      <c r="A255">
        <v>254</v>
      </c>
      <c r="B255">
        <v>327915947</v>
      </c>
      <c r="C255" s="7" t="s">
        <v>70</v>
      </c>
      <c r="D255">
        <v>251.91200000000001</v>
      </c>
      <c r="E255">
        <v>11.7385</v>
      </c>
      <c r="F255">
        <v>252.13300000000001</v>
      </c>
      <c r="G255">
        <v>0</v>
      </c>
      <c r="H255">
        <v>1.1086499999999999</v>
      </c>
      <c r="I255">
        <v>0.5</v>
      </c>
      <c r="J255">
        <v>0.18018000000000001</v>
      </c>
      <c r="K255">
        <v>0.31342300000000001</v>
      </c>
      <c r="L255">
        <v>0</v>
      </c>
      <c r="M255">
        <v>3</v>
      </c>
      <c r="N255">
        <v>0</v>
      </c>
      <c r="O255" s="7" t="s">
        <v>28</v>
      </c>
      <c r="P255">
        <v>0</v>
      </c>
      <c r="Q255" s="7" t="s">
        <v>115</v>
      </c>
      <c r="R255">
        <v>0</v>
      </c>
      <c r="S255">
        <v>0</v>
      </c>
      <c r="T255">
        <v>1</v>
      </c>
      <c r="U255">
        <v>0.66216200000000003</v>
      </c>
    </row>
    <row r="256" spans="1:21" x14ac:dyDescent="0.25">
      <c r="A256">
        <v>255</v>
      </c>
      <c r="B256">
        <v>802867316</v>
      </c>
      <c r="C256" s="7" t="s">
        <v>70</v>
      </c>
      <c r="D256">
        <v>258.75</v>
      </c>
      <c r="E256">
        <v>11.7385</v>
      </c>
      <c r="F256">
        <v>260.45999999999998</v>
      </c>
      <c r="G256">
        <v>0</v>
      </c>
      <c r="H256">
        <v>8.5483899999999995</v>
      </c>
      <c r="I256">
        <v>0.5</v>
      </c>
      <c r="J256">
        <v>0.81342300000000001</v>
      </c>
      <c r="K256">
        <v>0</v>
      </c>
      <c r="L256">
        <v>2.2036899999999999</v>
      </c>
      <c r="M256">
        <v>3</v>
      </c>
      <c r="N256">
        <v>0</v>
      </c>
      <c r="O256" s="7" t="s">
        <v>28</v>
      </c>
      <c r="P256">
        <v>0</v>
      </c>
      <c r="Q256" s="7" t="s">
        <v>115</v>
      </c>
      <c r="R256">
        <v>0</v>
      </c>
      <c r="S256">
        <v>0</v>
      </c>
      <c r="T256">
        <v>1</v>
      </c>
      <c r="U256">
        <v>0.217919</v>
      </c>
    </row>
    <row r="257" spans="1:21" x14ac:dyDescent="0.25">
      <c r="A257">
        <v>256</v>
      </c>
      <c r="B257">
        <v>40665707</v>
      </c>
      <c r="C257" s="7" t="s">
        <v>70</v>
      </c>
      <c r="D257">
        <v>256.75</v>
      </c>
      <c r="E257">
        <v>12.011100000000001</v>
      </c>
      <c r="F257">
        <v>256.75</v>
      </c>
      <c r="G257">
        <v>0</v>
      </c>
      <c r="H257">
        <v>-2.02</v>
      </c>
      <c r="I257">
        <v>1</v>
      </c>
      <c r="J257">
        <v>0</v>
      </c>
      <c r="K257">
        <v>0.98</v>
      </c>
      <c r="L257">
        <v>0</v>
      </c>
      <c r="M257">
        <v>3</v>
      </c>
      <c r="N257">
        <v>0</v>
      </c>
      <c r="O257" s="7" t="s">
        <v>28</v>
      </c>
      <c r="P257">
        <v>0.483323</v>
      </c>
      <c r="Q257" s="7" t="s">
        <v>116</v>
      </c>
      <c r="R257">
        <v>0</v>
      </c>
      <c r="S257">
        <v>0</v>
      </c>
      <c r="T257">
        <v>2</v>
      </c>
      <c r="U257">
        <v>2.48332</v>
      </c>
    </row>
    <row r="258" spans="1:21" x14ac:dyDescent="0.25">
      <c r="A258">
        <v>257</v>
      </c>
      <c r="B258">
        <v>692806374</v>
      </c>
      <c r="C258" s="7" t="s">
        <v>70</v>
      </c>
      <c r="D258">
        <v>268.40800000000002</v>
      </c>
      <c r="E258">
        <v>12.011100000000001</v>
      </c>
      <c r="F258">
        <v>271.32100000000003</v>
      </c>
      <c r="G258">
        <v>0</v>
      </c>
      <c r="H258">
        <v>14.567</v>
      </c>
      <c r="I258">
        <v>0.5</v>
      </c>
      <c r="J258">
        <v>1.29636</v>
      </c>
      <c r="K258">
        <v>0.17996999999999999</v>
      </c>
      <c r="L258">
        <v>0</v>
      </c>
      <c r="M258">
        <v>3</v>
      </c>
      <c r="N258">
        <v>0</v>
      </c>
      <c r="O258" s="7" t="s">
        <v>28</v>
      </c>
      <c r="P258">
        <v>0</v>
      </c>
      <c r="Q258" s="7" t="s">
        <v>115</v>
      </c>
      <c r="R258">
        <v>0</v>
      </c>
      <c r="S258">
        <v>0</v>
      </c>
      <c r="T258">
        <v>1</v>
      </c>
      <c r="U258">
        <v>0.11799999999999999</v>
      </c>
    </row>
    <row r="259" spans="1:21" x14ac:dyDescent="0.25">
      <c r="A259">
        <v>258</v>
      </c>
      <c r="B259">
        <v>122247502</v>
      </c>
      <c r="C259" s="7" t="s">
        <v>70</v>
      </c>
      <c r="D259">
        <v>272.52499999999998</v>
      </c>
      <c r="E259">
        <v>12.011100000000001</v>
      </c>
      <c r="F259">
        <v>273.55399999999997</v>
      </c>
      <c r="G259">
        <v>0</v>
      </c>
      <c r="H259">
        <v>5.1430100000000003</v>
      </c>
      <c r="I259">
        <v>0.5</v>
      </c>
      <c r="J259">
        <v>0.51172600000000001</v>
      </c>
      <c r="K259">
        <v>0.164879</v>
      </c>
      <c r="L259">
        <v>0</v>
      </c>
      <c r="M259">
        <v>3</v>
      </c>
      <c r="N259">
        <v>0</v>
      </c>
      <c r="O259" s="7" t="s">
        <v>28</v>
      </c>
      <c r="P259">
        <v>0</v>
      </c>
      <c r="Q259" s="7" t="s">
        <v>115</v>
      </c>
      <c r="R259">
        <v>0</v>
      </c>
      <c r="S259">
        <v>0</v>
      </c>
      <c r="T259">
        <v>1</v>
      </c>
      <c r="U259">
        <v>0.33802700000000002</v>
      </c>
    </row>
    <row r="260" spans="1:21" x14ac:dyDescent="0.25">
      <c r="A260">
        <v>259</v>
      </c>
      <c r="B260">
        <v>478167346</v>
      </c>
      <c r="C260" s="7" t="s">
        <v>70</v>
      </c>
      <c r="D260">
        <v>278.11399999999998</v>
      </c>
      <c r="E260">
        <v>12.011100000000001</v>
      </c>
      <c r="F260">
        <v>279.51100000000002</v>
      </c>
      <c r="G260">
        <v>0</v>
      </c>
      <c r="H260">
        <v>6.9859</v>
      </c>
      <c r="I260">
        <v>0.5</v>
      </c>
      <c r="J260">
        <v>0.664879</v>
      </c>
      <c r="K260">
        <v>0</v>
      </c>
      <c r="L260">
        <v>0</v>
      </c>
      <c r="M260">
        <v>3</v>
      </c>
      <c r="N260">
        <v>0</v>
      </c>
      <c r="O260" s="7" t="s">
        <v>28</v>
      </c>
      <c r="P260">
        <v>0</v>
      </c>
      <c r="Q260" s="7" t="s">
        <v>115</v>
      </c>
      <c r="R260">
        <v>0</v>
      </c>
      <c r="S260">
        <v>0</v>
      </c>
      <c r="T260">
        <v>1</v>
      </c>
      <c r="U260">
        <v>0.351609</v>
      </c>
    </row>
    <row r="261" spans="1:21" x14ac:dyDescent="0.25">
      <c r="A261">
        <v>260</v>
      </c>
      <c r="B261">
        <v>134576833</v>
      </c>
      <c r="C261" s="7" t="s">
        <v>70</v>
      </c>
      <c r="D261">
        <v>282.45600000000002</v>
      </c>
      <c r="E261">
        <v>12.853999999999999</v>
      </c>
      <c r="F261">
        <v>283.541</v>
      </c>
      <c r="G261">
        <v>0</v>
      </c>
      <c r="H261">
        <v>5.4270199999999997</v>
      </c>
      <c r="I261">
        <v>0.5</v>
      </c>
      <c r="J261">
        <v>0.5</v>
      </c>
      <c r="K261">
        <v>0</v>
      </c>
      <c r="L261">
        <v>0.49099100000000001</v>
      </c>
      <c r="M261">
        <v>3</v>
      </c>
      <c r="N261">
        <v>0</v>
      </c>
      <c r="O261" s="7" t="s">
        <v>28</v>
      </c>
      <c r="P261">
        <v>0</v>
      </c>
      <c r="Q261" s="7" t="s">
        <v>115</v>
      </c>
      <c r="R261">
        <v>0</v>
      </c>
      <c r="S261">
        <v>0</v>
      </c>
      <c r="T261">
        <v>1</v>
      </c>
      <c r="U261">
        <v>0.5</v>
      </c>
    </row>
    <row r="262" spans="1:21" x14ac:dyDescent="0.25">
      <c r="A262">
        <v>261</v>
      </c>
      <c r="B262">
        <v>60807888</v>
      </c>
      <c r="C262" s="7" t="s">
        <v>70</v>
      </c>
      <c r="D262">
        <v>281.45600000000002</v>
      </c>
      <c r="E262">
        <v>12.853999999999999</v>
      </c>
      <c r="F262">
        <v>281.45600000000002</v>
      </c>
      <c r="G262">
        <v>0</v>
      </c>
      <c r="H262">
        <v>-1.01</v>
      </c>
      <c r="I262">
        <v>0.5</v>
      </c>
      <c r="J262">
        <v>0</v>
      </c>
      <c r="K262">
        <v>0.49</v>
      </c>
      <c r="L262">
        <v>0</v>
      </c>
      <c r="M262">
        <v>3</v>
      </c>
      <c r="N262">
        <v>0</v>
      </c>
      <c r="O262" s="7" t="s">
        <v>28</v>
      </c>
      <c r="P262">
        <v>0</v>
      </c>
      <c r="Q262" s="7" t="s">
        <v>115</v>
      </c>
      <c r="R262">
        <v>0</v>
      </c>
      <c r="S262">
        <v>0</v>
      </c>
      <c r="T262">
        <v>1</v>
      </c>
      <c r="U262">
        <v>0.94189199999999995</v>
      </c>
    </row>
    <row r="263" spans="1:21" x14ac:dyDescent="0.25">
      <c r="A263">
        <v>262</v>
      </c>
      <c r="B263">
        <v>898859456</v>
      </c>
      <c r="C263" s="7" t="s">
        <v>70</v>
      </c>
      <c r="D263">
        <v>290.51900000000001</v>
      </c>
      <c r="E263">
        <v>12.4541</v>
      </c>
      <c r="F263">
        <v>292.78500000000003</v>
      </c>
      <c r="G263">
        <v>0</v>
      </c>
      <c r="H263">
        <v>11.329499999999999</v>
      </c>
      <c r="I263">
        <v>0.5</v>
      </c>
      <c r="J263">
        <v>0.99</v>
      </c>
      <c r="K263">
        <v>0</v>
      </c>
      <c r="L263">
        <v>0.26884000000000002</v>
      </c>
      <c r="M263">
        <v>3</v>
      </c>
      <c r="N263">
        <v>0</v>
      </c>
      <c r="O263" s="7" t="s">
        <v>28</v>
      </c>
      <c r="P263">
        <v>0</v>
      </c>
      <c r="Q263" s="7" t="s">
        <v>115</v>
      </c>
      <c r="R263">
        <v>0</v>
      </c>
      <c r="S263">
        <v>0</v>
      </c>
      <c r="T263">
        <v>1</v>
      </c>
      <c r="U263">
        <v>5.8999999999999997E-2</v>
      </c>
    </row>
    <row r="264" spans="1:21" x14ac:dyDescent="0.25">
      <c r="A264">
        <v>263</v>
      </c>
      <c r="B264">
        <v>819354129</v>
      </c>
      <c r="C264" s="7" t="s">
        <v>70</v>
      </c>
      <c r="D264">
        <v>293.94600000000003</v>
      </c>
      <c r="E264">
        <v>12.4541</v>
      </c>
      <c r="F264">
        <v>294.803</v>
      </c>
      <c r="G264">
        <v>0</v>
      </c>
      <c r="H264">
        <v>4.2817299999999996</v>
      </c>
      <c r="I264">
        <v>0.5</v>
      </c>
      <c r="J264">
        <v>0.42421900000000001</v>
      </c>
      <c r="K264">
        <v>7.4265499999999998E-2</v>
      </c>
      <c r="L264">
        <v>0</v>
      </c>
      <c r="M264">
        <v>3</v>
      </c>
      <c r="N264">
        <v>0</v>
      </c>
      <c r="O264" s="7" t="s">
        <v>28</v>
      </c>
      <c r="P264">
        <v>0</v>
      </c>
      <c r="Q264" s="7" t="s">
        <v>115</v>
      </c>
      <c r="R264">
        <v>0</v>
      </c>
      <c r="S264">
        <v>0</v>
      </c>
      <c r="T264">
        <v>1</v>
      </c>
      <c r="U264">
        <v>0.74195599999999995</v>
      </c>
    </row>
    <row r="265" spans="1:21" x14ac:dyDescent="0.25">
      <c r="A265">
        <v>264</v>
      </c>
      <c r="B265">
        <v>68213335</v>
      </c>
      <c r="C265" s="7" t="s">
        <v>70</v>
      </c>
      <c r="D265">
        <v>298.02</v>
      </c>
      <c r="E265">
        <v>11.269600000000001</v>
      </c>
      <c r="F265">
        <v>299.03800000000001</v>
      </c>
      <c r="G265">
        <v>0</v>
      </c>
      <c r="H265">
        <v>5.0910000000000002</v>
      </c>
      <c r="I265">
        <v>0.5</v>
      </c>
      <c r="J265">
        <v>0.54054100000000005</v>
      </c>
      <c r="K265">
        <v>3.3050499999999997E-2</v>
      </c>
      <c r="L265">
        <v>0</v>
      </c>
      <c r="M265">
        <v>3</v>
      </c>
      <c r="N265">
        <v>0</v>
      </c>
      <c r="O265" s="7" t="s">
        <v>28</v>
      </c>
      <c r="P265">
        <v>0</v>
      </c>
      <c r="Q265" s="7" t="s">
        <v>115</v>
      </c>
      <c r="R265">
        <v>0</v>
      </c>
      <c r="S265">
        <v>0</v>
      </c>
      <c r="T265">
        <v>1</v>
      </c>
      <c r="U265">
        <v>0.43316100000000002</v>
      </c>
    </row>
    <row r="266" spans="1:21" x14ac:dyDescent="0.25">
      <c r="A266">
        <v>265</v>
      </c>
      <c r="B266">
        <v>642711902</v>
      </c>
      <c r="C266" s="7" t="s">
        <v>70</v>
      </c>
      <c r="D266">
        <v>302.02600000000001</v>
      </c>
      <c r="E266">
        <v>11.269600000000001</v>
      </c>
      <c r="F266">
        <v>303.02699999999999</v>
      </c>
      <c r="G266">
        <v>0</v>
      </c>
      <c r="H266">
        <v>5.0072599999999996</v>
      </c>
      <c r="I266">
        <v>0.5</v>
      </c>
      <c r="J266">
        <v>0.53305000000000002</v>
      </c>
      <c r="K266">
        <v>0</v>
      </c>
      <c r="L266">
        <v>0.24024200000000001</v>
      </c>
      <c r="M266">
        <v>3</v>
      </c>
      <c r="N266">
        <v>0</v>
      </c>
      <c r="O266" s="7" t="s">
        <v>28</v>
      </c>
      <c r="P266">
        <v>0</v>
      </c>
      <c r="Q266" s="7" t="s">
        <v>115</v>
      </c>
      <c r="R266">
        <v>0</v>
      </c>
      <c r="S266">
        <v>0</v>
      </c>
      <c r="T266">
        <v>1</v>
      </c>
      <c r="U266">
        <v>0.47025499999999998</v>
      </c>
    </row>
    <row r="267" spans="1:21" x14ac:dyDescent="0.25">
      <c r="A267">
        <v>266</v>
      </c>
      <c r="B267">
        <v>242500356</v>
      </c>
      <c r="C267" s="7" t="s">
        <v>70</v>
      </c>
      <c r="D267">
        <v>305.78100000000001</v>
      </c>
      <c r="E267">
        <v>11.3888</v>
      </c>
      <c r="F267">
        <v>306.72000000000003</v>
      </c>
      <c r="G267">
        <v>0</v>
      </c>
      <c r="H267">
        <v>4.6944100000000004</v>
      </c>
      <c r="I267">
        <v>0.5</v>
      </c>
      <c r="J267">
        <v>0.5</v>
      </c>
      <c r="K267">
        <v>0</v>
      </c>
      <c r="L267">
        <v>0</v>
      </c>
      <c r="M267">
        <v>3</v>
      </c>
      <c r="N267">
        <v>0</v>
      </c>
      <c r="O267" s="7" t="s">
        <v>28</v>
      </c>
      <c r="P267">
        <v>0</v>
      </c>
      <c r="Q267" s="7" t="s">
        <v>115</v>
      </c>
      <c r="R267">
        <v>0</v>
      </c>
      <c r="S267">
        <v>0</v>
      </c>
      <c r="T267">
        <v>1</v>
      </c>
      <c r="U267">
        <v>0.71621800000000002</v>
      </c>
    </row>
    <row r="268" spans="1:21" x14ac:dyDescent="0.25">
      <c r="A268">
        <v>267</v>
      </c>
      <c r="B268">
        <v>305998458</v>
      </c>
      <c r="C268" s="7" t="s">
        <v>70</v>
      </c>
      <c r="D268">
        <v>309.69099999999997</v>
      </c>
      <c r="E268">
        <v>11.773899999999999</v>
      </c>
      <c r="F268">
        <v>310.66800000000001</v>
      </c>
      <c r="G268">
        <v>0</v>
      </c>
      <c r="H268">
        <v>4.8869600000000002</v>
      </c>
      <c r="I268">
        <v>0.5</v>
      </c>
      <c r="J268">
        <v>0.5</v>
      </c>
      <c r="K268">
        <v>0</v>
      </c>
      <c r="L268">
        <v>0</v>
      </c>
      <c r="M268">
        <v>3</v>
      </c>
      <c r="N268">
        <v>0</v>
      </c>
      <c r="O268" s="7" t="s">
        <v>28</v>
      </c>
      <c r="P268">
        <v>0</v>
      </c>
      <c r="Q268" s="7" t="s">
        <v>115</v>
      </c>
      <c r="R268">
        <v>0</v>
      </c>
      <c r="S268">
        <v>0</v>
      </c>
      <c r="T268">
        <v>1</v>
      </c>
      <c r="U268">
        <v>0.5</v>
      </c>
    </row>
    <row r="269" spans="1:21" x14ac:dyDescent="0.25">
      <c r="A269">
        <v>268</v>
      </c>
      <c r="B269">
        <v>164264184</v>
      </c>
      <c r="C269" s="7" t="s">
        <v>70</v>
      </c>
      <c r="D269">
        <v>309.82</v>
      </c>
      <c r="E269">
        <v>12.8727</v>
      </c>
      <c r="F269">
        <v>309.85000000000002</v>
      </c>
      <c r="G269">
        <v>0</v>
      </c>
      <c r="H269">
        <v>0.151502</v>
      </c>
      <c r="I269">
        <v>0.5</v>
      </c>
      <c r="J269">
        <v>9.0090100000000006E-2</v>
      </c>
      <c r="K269">
        <v>0.40171200000000001</v>
      </c>
      <c r="L269">
        <v>0</v>
      </c>
      <c r="M269">
        <v>3</v>
      </c>
      <c r="N269">
        <v>0</v>
      </c>
      <c r="O269" s="7" t="s">
        <v>28</v>
      </c>
      <c r="P269">
        <v>0</v>
      </c>
      <c r="Q269" s="7" t="s">
        <v>115</v>
      </c>
      <c r="R269">
        <v>0</v>
      </c>
      <c r="S269">
        <v>0</v>
      </c>
      <c r="T269">
        <v>1</v>
      </c>
      <c r="U269">
        <v>0.5</v>
      </c>
    </row>
    <row r="270" spans="1:21" x14ac:dyDescent="0.25">
      <c r="A270">
        <v>269</v>
      </c>
      <c r="B270">
        <v>393914410</v>
      </c>
      <c r="C270" s="7" t="s">
        <v>70</v>
      </c>
      <c r="D270">
        <v>317.69</v>
      </c>
      <c r="E270">
        <v>12.018800000000001</v>
      </c>
      <c r="F270">
        <v>319.65699999999998</v>
      </c>
      <c r="G270">
        <v>0</v>
      </c>
      <c r="H270">
        <v>9.8374500000000005</v>
      </c>
      <c r="I270">
        <v>0.5</v>
      </c>
      <c r="J270">
        <v>0.90171199999999996</v>
      </c>
      <c r="K270">
        <v>0</v>
      </c>
      <c r="L270">
        <v>0</v>
      </c>
      <c r="M270">
        <v>3</v>
      </c>
      <c r="N270">
        <v>0</v>
      </c>
      <c r="O270" s="7" t="s">
        <v>28</v>
      </c>
      <c r="P270">
        <v>0</v>
      </c>
      <c r="Q270" s="7" t="s">
        <v>115</v>
      </c>
      <c r="R270">
        <v>0</v>
      </c>
      <c r="S270">
        <v>0</v>
      </c>
      <c r="T270">
        <v>1</v>
      </c>
      <c r="U270">
        <v>0.138459</v>
      </c>
    </row>
    <row r="271" spans="1:21" x14ac:dyDescent="0.25">
      <c r="A271">
        <v>270</v>
      </c>
      <c r="B271">
        <v>957277630</v>
      </c>
      <c r="C271" s="7" t="s">
        <v>70</v>
      </c>
      <c r="D271">
        <v>317.45100000000002</v>
      </c>
      <c r="E271">
        <v>12.6722</v>
      </c>
      <c r="F271">
        <v>317.45100000000002</v>
      </c>
      <c r="G271">
        <v>0</v>
      </c>
      <c r="H271">
        <v>-0.24754399999999999</v>
      </c>
      <c r="I271">
        <v>0.5</v>
      </c>
      <c r="J271">
        <v>6.0073000000000001E-2</v>
      </c>
      <c r="K271">
        <v>0.43112800000000001</v>
      </c>
      <c r="L271">
        <v>0</v>
      </c>
      <c r="M271">
        <v>3</v>
      </c>
      <c r="N271">
        <v>0</v>
      </c>
      <c r="O271" s="7" t="s">
        <v>28</v>
      </c>
      <c r="P271">
        <v>0</v>
      </c>
      <c r="Q271" s="7" t="s">
        <v>115</v>
      </c>
      <c r="R271">
        <v>0</v>
      </c>
      <c r="S271">
        <v>0</v>
      </c>
      <c r="T271">
        <v>1</v>
      </c>
      <c r="U271">
        <v>0.5</v>
      </c>
    </row>
    <row r="272" spans="1:21" x14ac:dyDescent="0.25">
      <c r="A272">
        <v>271</v>
      </c>
      <c r="B272">
        <v>136554556</v>
      </c>
      <c r="C272" s="7" t="s">
        <v>70</v>
      </c>
      <c r="D272">
        <v>316.45100000000002</v>
      </c>
      <c r="E272">
        <v>12.6722</v>
      </c>
      <c r="F272">
        <v>316.45100000000002</v>
      </c>
      <c r="G272">
        <v>0</v>
      </c>
      <c r="H272">
        <v>-1.0186200000000001</v>
      </c>
      <c r="I272">
        <v>0.5</v>
      </c>
      <c r="J272">
        <v>0</v>
      </c>
      <c r="K272">
        <v>0.91250600000000004</v>
      </c>
      <c r="L272">
        <v>0</v>
      </c>
      <c r="M272">
        <v>3</v>
      </c>
      <c r="N272">
        <v>0</v>
      </c>
      <c r="O272" s="7" t="s">
        <v>28</v>
      </c>
      <c r="P272">
        <v>0</v>
      </c>
      <c r="Q272" s="7" t="s">
        <v>115</v>
      </c>
      <c r="R272">
        <v>0</v>
      </c>
      <c r="S272">
        <v>0</v>
      </c>
      <c r="T272">
        <v>1</v>
      </c>
      <c r="U272">
        <v>0.111984</v>
      </c>
    </row>
    <row r="273" spans="1:21" x14ac:dyDescent="0.25">
      <c r="A273">
        <v>272</v>
      </c>
      <c r="B273">
        <v>67101124</v>
      </c>
      <c r="C273" s="7" t="s">
        <v>70</v>
      </c>
      <c r="D273">
        <v>325.702</v>
      </c>
      <c r="E273">
        <v>12.6722</v>
      </c>
      <c r="F273">
        <v>328.01499999999999</v>
      </c>
      <c r="G273">
        <v>0</v>
      </c>
      <c r="H273">
        <v>11.5634</v>
      </c>
      <c r="I273">
        <v>0</v>
      </c>
      <c r="J273">
        <v>0.91250600000000004</v>
      </c>
      <c r="K273">
        <v>0</v>
      </c>
      <c r="L273">
        <v>0.34817100000000001</v>
      </c>
      <c r="M273">
        <v>3</v>
      </c>
      <c r="N273">
        <v>0</v>
      </c>
      <c r="O273" s="7" t="s">
        <v>28</v>
      </c>
      <c r="P273">
        <v>0</v>
      </c>
      <c r="Q273" s="7" t="s">
        <v>28</v>
      </c>
      <c r="R273">
        <v>0</v>
      </c>
      <c r="S273">
        <v>0</v>
      </c>
      <c r="T273">
        <v>0</v>
      </c>
      <c r="U273">
        <v>0</v>
      </c>
    </row>
    <row r="274" spans="1:21" x14ac:dyDescent="0.25">
      <c r="A274">
        <v>273</v>
      </c>
      <c r="B274">
        <v>941588760</v>
      </c>
      <c r="C274" s="7" t="s">
        <v>70</v>
      </c>
      <c r="D274">
        <v>325.702</v>
      </c>
      <c r="E274">
        <v>13.882300000000001</v>
      </c>
      <c r="F274">
        <v>325.702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1.7522500000000001</v>
      </c>
      <c r="M274">
        <v>3</v>
      </c>
      <c r="N274">
        <v>0</v>
      </c>
      <c r="O274" s="7" t="s">
        <v>28</v>
      </c>
      <c r="P274">
        <v>0.31335400000000002</v>
      </c>
      <c r="Q274" s="7" t="s">
        <v>28</v>
      </c>
      <c r="R274">
        <v>0</v>
      </c>
      <c r="S274">
        <v>0</v>
      </c>
      <c r="T274">
        <v>0</v>
      </c>
      <c r="U274">
        <v>0.31335400000000002</v>
      </c>
    </row>
    <row r="275" spans="1:21" x14ac:dyDescent="0.25">
      <c r="A275">
        <v>274</v>
      </c>
      <c r="B275">
        <v>853037710</v>
      </c>
      <c r="C275" s="7" t="s">
        <v>70</v>
      </c>
      <c r="D275">
        <v>330.45499999999998</v>
      </c>
      <c r="E275">
        <v>13.882300000000001</v>
      </c>
      <c r="F275">
        <v>331.64299999999997</v>
      </c>
      <c r="G275">
        <v>0</v>
      </c>
      <c r="H275">
        <v>5.9411699999999996</v>
      </c>
      <c r="I275">
        <v>0.5</v>
      </c>
      <c r="J275">
        <v>0.5</v>
      </c>
      <c r="K275">
        <v>0</v>
      </c>
      <c r="L275">
        <v>2.9983300000000002</v>
      </c>
      <c r="M275">
        <v>3</v>
      </c>
      <c r="N275">
        <v>0</v>
      </c>
      <c r="O275" s="7" t="s">
        <v>28</v>
      </c>
      <c r="P275">
        <v>0.57702699999999996</v>
      </c>
      <c r="Q275" s="7" t="s">
        <v>73</v>
      </c>
      <c r="R275">
        <v>0</v>
      </c>
      <c r="S275">
        <v>0</v>
      </c>
      <c r="T275">
        <v>1</v>
      </c>
      <c r="U275">
        <v>1.5770299999999999</v>
      </c>
    </row>
    <row r="276" spans="1:21" x14ac:dyDescent="0.25">
      <c r="A276">
        <v>275</v>
      </c>
      <c r="B276">
        <v>855320006</v>
      </c>
      <c r="C276" s="7" t="s">
        <v>70</v>
      </c>
      <c r="D276">
        <v>344.411</v>
      </c>
      <c r="E276">
        <v>13.882300000000001</v>
      </c>
      <c r="F276">
        <v>347.9</v>
      </c>
      <c r="G276">
        <v>0</v>
      </c>
      <c r="H276">
        <v>17.444099999999999</v>
      </c>
      <c r="I276">
        <v>1.5</v>
      </c>
      <c r="J276">
        <v>1.47271</v>
      </c>
      <c r="K276">
        <v>2.6742200000000001E-2</v>
      </c>
      <c r="L276">
        <v>0</v>
      </c>
      <c r="M276">
        <v>3</v>
      </c>
      <c r="N276">
        <v>0</v>
      </c>
      <c r="O276" s="7" t="s">
        <v>28</v>
      </c>
      <c r="P276">
        <v>0.198495</v>
      </c>
      <c r="Q276" s="7" t="s">
        <v>117</v>
      </c>
      <c r="R276">
        <v>0</v>
      </c>
      <c r="S276">
        <v>0</v>
      </c>
      <c r="T276">
        <v>3</v>
      </c>
      <c r="U276">
        <v>3.1984900000000001</v>
      </c>
    </row>
    <row r="277" spans="1:21" x14ac:dyDescent="0.25">
      <c r="A277">
        <v>276</v>
      </c>
      <c r="B277">
        <v>373438215</v>
      </c>
      <c r="C277" s="7" t="s">
        <v>70</v>
      </c>
      <c r="D277">
        <v>353.20800000000003</v>
      </c>
      <c r="E277">
        <v>12.6577</v>
      </c>
      <c r="F277">
        <v>355.40699999999998</v>
      </c>
      <c r="G277">
        <v>0</v>
      </c>
      <c r="H277">
        <v>10.9962</v>
      </c>
      <c r="I277">
        <v>1</v>
      </c>
      <c r="J277">
        <v>1.02674</v>
      </c>
      <c r="K277">
        <v>0</v>
      </c>
      <c r="L277">
        <v>0</v>
      </c>
      <c r="M277">
        <v>3</v>
      </c>
      <c r="N277">
        <v>0</v>
      </c>
      <c r="O277" s="7" t="s">
        <v>28</v>
      </c>
      <c r="P277">
        <v>0</v>
      </c>
      <c r="Q277" s="7" t="s">
        <v>118</v>
      </c>
      <c r="R277">
        <v>0</v>
      </c>
      <c r="S277">
        <v>0</v>
      </c>
      <c r="T277">
        <v>2</v>
      </c>
      <c r="U277">
        <v>1.47593</v>
      </c>
    </row>
    <row r="278" spans="1:21" x14ac:dyDescent="0.25">
      <c r="A278">
        <v>277</v>
      </c>
      <c r="B278">
        <v>703776264</v>
      </c>
      <c r="C278" s="7" t="s">
        <v>70</v>
      </c>
      <c r="D278">
        <v>356.50200000000001</v>
      </c>
      <c r="E278">
        <v>13.907999999999999</v>
      </c>
      <c r="F278">
        <v>357.32400000000001</v>
      </c>
      <c r="G278">
        <v>0</v>
      </c>
      <c r="H278">
        <v>4.1139999999999999</v>
      </c>
      <c r="I278">
        <v>0.5</v>
      </c>
      <c r="J278">
        <v>0.36789100000000002</v>
      </c>
      <c r="K278">
        <v>0.129467</v>
      </c>
      <c r="L278">
        <v>0</v>
      </c>
      <c r="M278">
        <v>3</v>
      </c>
      <c r="N278">
        <v>0</v>
      </c>
      <c r="O278" s="7" t="s">
        <v>28</v>
      </c>
      <c r="P278">
        <v>0</v>
      </c>
      <c r="Q278" s="7" t="s">
        <v>73</v>
      </c>
      <c r="R278">
        <v>0</v>
      </c>
      <c r="S278">
        <v>0</v>
      </c>
      <c r="T278">
        <v>1</v>
      </c>
      <c r="U278">
        <v>1</v>
      </c>
    </row>
    <row r="279" spans="1:21" x14ac:dyDescent="0.25">
      <c r="A279">
        <v>278</v>
      </c>
      <c r="B279">
        <v>228412864</v>
      </c>
      <c r="C279" s="7" t="s">
        <v>70</v>
      </c>
      <c r="D279">
        <v>355.50200000000001</v>
      </c>
      <c r="E279">
        <v>13.5753</v>
      </c>
      <c r="F279">
        <v>355.50200000000001</v>
      </c>
      <c r="G279">
        <v>0</v>
      </c>
      <c r="H279">
        <v>-1.0125900000000001</v>
      </c>
      <c r="I279">
        <v>0.5</v>
      </c>
      <c r="J279">
        <v>0</v>
      </c>
      <c r="K279">
        <v>0.61687700000000001</v>
      </c>
      <c r="L279">
        <v>0</v>
      </c>
      <c r="M279">
        <v>3</v>
      </c>
      <c r="N279">
        <v>0</v>
      </c>
      <c r="O279" s="7" t="s">
        <v>28</v>
      </c>
      <c r="P279">
        <v>0</v>
      </c>
      <c r="Q279" s="7" t="s">
        <v>73</v>
      </c>
      <c r="R279">
        <v>0</v>
      </c>
      <c r="S279">
        <v>0</v>
      </c>
      <c r="T279">
        <v>1</v>
      </c>
      <c r="U279">
        <v>0.38347999999999999</v>
      </c>
    </row>
    <row r="280" spans="1:21" x14ac:dyDescent="0.25">
      <c r="A280">
        <v>279</v>
      </c>
      <c r="B280">
        <v>107701386</v>
      </c>
      <c r="C280" s="7" t="s">
        <v>70</v>
      </c>
      <c r="D280">
        <v>361.84300000000002</v>
      </c>
      <c r="E280">
        <v>12.8508</v>
      </c>
      <c r="F280">
        <v>363.42899999999997</v>
      </c>
      <c r="G280">
        <v>0</v>
      </c>
      <c r="H280">
        <v>7.9273600000000002</v>
      </c>
      <c r="I280">
        <v>0</v>
      </c>
      <c r="J280">
        <v>0.61687700000000001</v>
      </c>
      <c r="K280">
        <v>0</v>
      </c>
      <c r="L280">
        <v>0</v>
      </c>
      <c r="M280">
        <v>3</v>
      </c>
      <c r="N280">
        <v>0</v>
      </c>
      <c r="O280" s="7" t="s">
        <v>28</v>
      </c>
      <c r="P280">
        <v>0</v>
      </c>
      <c r="Q280" s="7" t="s">
        <v>28</v>
      </c>
      <c r="R280">
        <v>0</v>
      </c>
      <c r="S280">
        <v>0</v>
      </c>
      <c r="T280">
        <v>0</v>
      </c>
      <c r="U280">
        <v>0</v>
      </c>
    </row>
    <row r="281" spans="1:21" x14ac:dyDescent="0.25">
      <c r="A281">
        <v>280</v>
      </c>
      <c r="B281">
        <v>413905273</v>
      </c>
      <c r="C281" s="7" t="s">
        <v>70</v>
      </c>
      <c r="D281">
        <v>361.84300000000002</v>
      </c>
      <c r="E281">
        <v>13.717000000000001</v>
      </c>
      <c r="F281">
        <v>361.84300000000002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3</v>
      </c>
      <c r="N281">
        <v>0</v>
      </c>
      <c r="O281" s="7" t="s">
        <v>28</v>
      </c>
      <c r="P281">
        <v>0</v>
      </c>
      <c r="Q281" s="7" t="s">
        <v>28</v>
      </c>
      <c r="R281">
        <v>0</v>
      </c>
      <c r="S281">
        <v>0</v>
      </c>
      <c r="T281">
        <v>0</v>
      </c>
      <c r="U281">
        <v>0</v>
      </c>
    </row>
    <row r="282" spans="1:21" x14ac:dyDescent="0.25">
      <c r="A282">
        <v>281</v>
      </c>
      <c r="B282">
        <v>113465216</v>
      </c>
      <c r="C282" s="7" t="s">
        <v>70</v>
      </c>
      <c r="D282">
        <v>361.84300000000002</v>
      </c>
      <c r="E282">
        <v>13.717000000000001</v>
      </c>
      <c r="F282">
        <v>361.84300000000002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3</v>
      </c>
      <c r="N282">
        <v>0</v>
      </c>
      <c r="O282" s="7" t="s">
        <v>28</v>
      </c>
      <c r="P282">
        <v>0</v>
      </c>
      <c r="Q282" s="7" t="s">
        <v>28</v>
      </c>
      <c r="R282">
        <v>0</v>
      </c>
      <c r="S282">
        <v>0</v>
      </c>
      <c r="T282">
        <v>0</v>
      </c>
      <c r="U282">
        <v>0</v>
      </c>
    </row>
    <row r="283" spans="1:21" x14ac:dyDescent="0.25">
      <c r="A283">
        <v>282</v>
      </c>
      <c r="B283">
        <v>852600574</v>
      </c>
      <c r="C283" s="7" t="s">
        <v>70</v>
      </c>
      <c r="D283">
        <v>361.84300000000002</v>
      </c>
      <c r="E283">
        <v>13.717000000000001</v>
      </c>
      <c r="F283">
        <v>361.84300000000002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1.2509600000000001</v>
      </c>
      <c r="M283">
        <v>3</v>
      </c>
      <c r="N283">
        <v>0</v>
      </c>
      <c r="O283" s="7" t="s">
        <v>28</v>
      </c>
      <c r="P283">
        <v>0</v>
      </c>
      <c r="Q283" s="7" t="s">
        <v>28</v>
      </c>
      <c r="R283">
        <v>0</v>
      </c>
      <c r="S283">
        <v>0</v>
      </c>
      <c r="T283">
        <v>0</v>
      </c>
      <c r="U283">
        <v>0</v>
      </c>
    </row>
    <row r="284" spans="1:21" x14ac:dyDescent="0.25">
      <c r="A284">
        <v>283</v>
      </c>
      <c r="B284">
        <v>739612202</v>
      </c>
      <c r="C284" s="7" t="s">
        <v>70</v>
      </c>
      <c r="D284">
        <v>366.53</v>
      </c>
      <c r="E284">
        <v>13.717000000000001</v>
      </c>
      <c r="F284">
        <v>367.702</v>
      </c>
      <c r="G284">
        <v>0</v>
      </c>
      <c r="H284">
        <v>5.8585200000000004</v>
      </c>
      <c r="I284">
        <v>0.5</v>
      </c>
      <c r="J284">
        <v>0.5</v>
      </c>
      <c r="K284">
        <v>0</v>
      </c>
      <c r="L284">
        <v>0</v>
      </c>
      <c r="M284">
        <v>3</v>
      </c>
      <c r="N284">
        <v>0</v>
      </c>
      <c r="O284" s="7" t="s">
        <v>28</v>
      </c>
      <c r="P284">
        <v>0.12586</v>
      </c>
      <c r="Q284" s="7" t="s">
        <v>119</v>
      </c>
      <c r="R284">
        <v>0</v>
      </c>
      <c r="S284">
        <v>0</v>
      </c>
      <c r="T284">
        <v>1</v>
      </c>
      <c r="U284">
        <v>1.1258600000000001</v>
      </c>
    </row>
    <row r="285" spans="1:21" x14ac:dyDescent="0.25">
      <c r="A285">
        <v>284</v>
      </c>
      <c r="B285">
        <v>747501755</v>
      </c>
      <c r="C285" s="7" t="s">
        <v>70</v>
      </c>
      <c r="D285">
        <v>371.21699999999998</v>
      </c>
      <c r="E285">
        <v>13.717000000000001</v>
      </c>
      <c r="F285">
        <v>372.38900000000001</v>
      </c>
      <c r="G285">
        <v>0</v>
      </c>
      <c r="H285">
        <v>5.8585200000000004</v>
      </c>
      <c r="I285">
        <v>0.5</v>
      </c>
      <c r="J285">
        <v>0.5</v>
      </c>
      <c r="K285">
        <v>0</v>
      </c>
      <c r="L285">
        <v>0.648451</v>
      </c>
      <c r="M285">
        <v>3</v>
      </c>
      <c r="N285">
        <v>0</v>
      </c>
      <c r="O285" s="7" t="s">
        <v>28</v>
      </c>
      <c r="P285">
        <v>0</v>
      </c>
      <c r="Q285" s="7" t="s">
        <v>119</v>
      </c>
      <c r="R285">
        <v>0</v>
      </c>
      <c r="S285">
        <v>0</v>
      </c>
      <c r="T285">
        <v>1</v>
      </c>
      <c r="U285">
        <v>0.5</v>
      </c>
    </row>
    <row r="286" spans="1:21" x14ac:dyDescent="0.25">
      <c r="A286">
        <v>285</v>
      </c>
      <c r="B286">
        <v>973567785</v>
      </c>
      <c r="C286" s="7" t="s">
        <v>70</v>
      </c>
      <c r="D286">
        <v>375.904</v>
      </c>
      <c r="E286">
        <v>13.717000000000001</v>
      </c>
      <c r="F286">
        <v>377.07600000000002</v>
      </c>
      <c r="G286">
        <v>0</v>
      </c>
      <c r="H286">
        <v>5.8585200000000004</v>
      </c>
      <c r="I286">
        <v>0.5</v>
      </c>
      <c r="J286">
        <v>0.5</v>
      </c>
      <c r="K286">
        <v>0</v>
      </c>
      <c r="L286">
        <v>0.68606500000000004</v>
      </c>
      <c r="M286">
        <v>3</v>
      </c>
      <c r="N286">
        <v>0</v>
      </c>
      <c r="O286" s="7" t="s">
        <v>28</v>
      </c>
      <c r="P286">
        <v>8.3606100000000003E-2</v>
      </c>
      <c r="Q286" s="7" t="s">
        <v>119</v>
      </c>
      <c r="R286">
        <v>0</v>
      </c>
      <c r="S286">
        <v>0</v>
      </c>
      <c r="T286">
        <v>1</v>
      </c>
      <c r="U286">
        <v>1.08361</v>
      </c>
    </row>
    <row r="287" spans="1:21" x14ac:dyDescent="0.25">
      <c r="A287">
        <v>286</v>
      </c>
      <c r="B287">
        <v>111207828</v>
      </c>
      <c r="C287" s="7" t="s">
        <v>70</v>
      </c>
      <c r="D287">
        <v>380.04700000000003</v>
      </c>
      <c r="E287">
        <v>13.717000000000001</v>
      </c>
      <c r="F287">
        <v>381.08300000000003</v>
      </c>
      <c r="G287">
        <v>0</v>
      </c>
      <c r="H287">
        <v>5.1779000000000002</v>
      </c>
      <c r="I287">
        <v>0.5</v>
      </c>
      <c r="J287">
        <v>0.45045400000000002</v>
      </c>
      <c r="K287">
        <v>4.8554899999999998E-2</v>
      </c>
      <c r="L287">
        <v>0</v>
      </c>
      <c r="M287">
        <v>3</v>
      </c>
      <c r="N287">
        <v>0</v>
      </c>
      <c r="O287" s="7" t="s">
        <v>28</v>
      </c>
      <c r="P287">
        <v>0.11745899999999999</v>
      </c>
      <c r="Q287" s="7" t="s">
        <v>119</v>
      </c>
      <c r="R287">
        <v>0</v>
      </c>
      <c r="S287">
        <v>0</v>
      </c>
      <c r="T287">
        <v>1</v>
      </c>
      <c r="U287">
        <v>1.1174599999999999</v>
      </c>
    </row>
    <row r="288" spans="1:21" x14ac:dyDescent="0.25">
      <c r="A288">
        <v>287</v>
      </c>
      <c r="B288">
        <v>857755328</v>
      </c>
      <c r="C288" s="7" t="s">
        <v>70</v>
      </c>
      <c r="D288">
        <v>385.25</v>
      </c>
      <c r="E288">
        <v>13.6777</v>
      </c>
      <c r="F288">
        <v>386.55</v>
      </c>
      <c r="G288">
        <v>0</v>
      </c>
      <c r="H288">
        <v>6.5029500000000002</v>
      </c>
      <c r="I288">
        <v>0.5</v>
      </c>
      <c r="J288">
        <v>0.54855500000000001</v>
      </c>
      <c r="K288">
        <v>0</v>
      </c>
      <c r="L288">
        <v>0.31740699999999999</v>
      </c>
      <c r="M288">
        <v>3</v>
      </c>
      <c r="N288">
        <v>0</v>
      </c>
      <c r="O288" s="7" t="s">
        <v>28</v>
      </c>
      <c r="P288">
        <v>0</v>
      </c>
      <c r="Q288" s="7" t="s">
        <v>119</v>
      </c>
      <c r="R288">
        <v>0</v>
      </c>
      <c r="S288">
        <v>0</v>
      </c>
      <c r="T288">
        <v>1</v>
      </c>
      <c r="U288">
        <v>0.45630100000000001</v>
      </c>
    </row>
    <row r="289" spans="1:21" x14ac:dyDescent="0.25">
      <c r="A289">
        <v>288</v>
      </c>
      <c r="B289">
        <v>130901836</v>
      </c>
      <c r="C289" s="7" t="s">
        <v>70</v>
      </c>
      <c r="D289">
        <v>390.23599999999999</v>
      </c>
      <c r="E289">
        <v>14.4651</v>
      </c>
      <c r="F289">
        <v>391.48200000000003</v>
      </c>
      <c r="G289">
        <v>0</v>
      </c>
      <c r="H289">
        <v>6.2325699999999999</v>
      </c>
      <c r="I289">
        <v>0.5</v>
      </c>
      <c r="J289">
        <v>0.5</v>
      </c>
      <c r="K289">
        <v>0</v>
      </c>
      <c r="L289">
        <v>1.0153399999999999</v>
      </c>
      <c r="M289">
        <v>3</v>
      </c>
      <c r="N289">
        <v>0</v>
      </c>
      <c r="O289" s="7" t="s">
        <v>28</v>
      </c>
      <c r="P289">
        <v>0</v>
      </c>
      <c r="Q289" s="7" t="s">
        <v>119</v>
      </c>
      <c r="R289">
        <v>0</v>
      </c>
      <c r="S289">
        <v>0</v>
      </c>
      <c r="T289">
        <v>1</v>
      </c>
      <c r="U289">
        <v>0.78566599999999998</v>
      </c>
    </row>
    <row r="290" spans="1:21" x14ac:dyDescent="0.25">
      <c r="A290">
        <v>289</v>
      </c>
      <c r="B290">
        <v>590750107</v>
      </c>
      <c r="C290" s="7" t="s">
        <v>70</v>
      </c>
      <c r="D290">
        <v>395.22199999999998</v>
      </c>
      <c r="E290">
        <v>14.4651</v>
      </c>
      <c r="F290">
        <v>396.46800000000002</v>
      </c>
      <c r="G290">
        <v>0</v>
      </c>
      <c r="H290">
        <v>6.2325699999999999</v>
      </c>
      <c r="I290">
        <v>0.5</v>
      </c>
      <c r="J290">
        <v>0.5</v>
      </c>
      <c r="K290">
        <v>0</v>
      </c>
      <c r="L290">
        <v>3.30755</v>
      </c>
      <c r="M290">
        <v>3</v>
      </c>
      <c r="N290">
        <v>0</v>
      </c>
      <c r="O290" s="7" t="s">
        <v>28</v>
      </c>
      <c r="P290">
        <v>0.41380299999999998</v>
      </c>
      <c r="Q290" s="7" t="s">
        <v>119</v>
      </c>
      <c r="R290">
        <v>0</v>
      </c>
      <c r="S290">
        <v>0</v>
      </c>
      <c r="T290">
        <v>1</v>
      </c>
      <c r="U290">
        <v>1.4137999999999999</v>
      </c>
    </row>
    <row r="291" spans="1:21" x14ac:dyDescent="0.25">
      <c r="A291">
        <v>290</v>
      </c>
      <c r="B291">
        <v>58879684</v>
      </c>
      <c r="C291" s="7" t="s">
        <v>70</v>
      </c>
      <c r="D291">
        <v>399.428</v>
      </c>
      <c r="E291">
        <v>14.4651</v>
      </c>
      <c r="F291">
        <v>400.47500000000002</v>
      </c>
      <c r="G291">
        <v>0</v>
      </c>
      <c r="H291">
        <v>5.2342700000000004</v>
      </c>
      <c r="I291">
        <v>1.5</v>
      </c>
      <c r="J291">
        <v>0.57053399999999999</v>
      </c>
      <c r="K291">
        <v>0.91087600000000002</v>
      </c>
      <c r="L291">
        <v>0</v>
      </c>
      <c r="M291">
        <v>3</v>
      </c>
      <c r="N291">
        <v>0</v>
      </c>
      <c r="O291" s="7" t="s">
        <v>28</v>
      </c>
      <c r="P291">
        <v>0.47679300000000002</v>
      </c>
      <c r="Q291" s="7" t="s">
        <v>120</v>
      </c>
      <c r="R291">
        <v>0</v>
      </c>
      <c r="S291">
        <v>0</v>
      </c>
      <c r="T291">
        <v>3</v>
      </c>
      <c r="U291">
        <v>3.4767899999999998</v>
      </c>
    </row>
    <row r="292" spans="1:21" x14ac:dyDescent="0.25">
      <c r="A292">
        <v>291</v>
      </c>
      <c r="B292">
        <v>820214217</v>
      </c>
      <c r="C292" s="7" t="s">
        <v>70</v>
      </c>
      <c r="D292">
        <v>398.428</v>
      </c>
      <c r="E292">
        <v>13.247199999999999</v>
      </c>
      <c r="F292">
        <v>398.428</v>
      </c>
      <c r="G292">
        <v>0</v>
      </c>
      <c r="H292">
        <v>-1.0282199999999999</v>
      </c>
      <c r="I292">
        <v>0.5</v>
      </c>
      <c r="J292">
        <v>0</v>
      </c>
      <c r="K292">
        <v>1.38266</v>
      </c>
      <c r="L292">
        <v>0</v>
      </c>
      <c r="M292">
        <v>3</v>
      </c>
      <c r="N292">
        <v>0</v>
      </c>
      <c r="O292" s="7" t="s">
        <v>28</v>
      </c>
      <c r="P292">
        <v>0</v>
      </c>
      <c r="Q292" s="7" t="s">
        <v>119</v>
      </c>
      <c r="R292">
        <v>0</v>
      </c>
      <c r="S292">
        <v>0</v>
      </c>
      <c r="T292">
        <v>1</v>
      </c>
      <c r="U292">
        <v>0.68021100000000001</v>
      </c>
    </row>
    <row r="293" spans="1:21" x14ac:dyDescent="0.25">
      <c r="A293">
        <v>292</v>
      </c>
      <c r="B293">
        <v>496680768</v>
      </c>
      <c r="C293" s="7" t="s">
        <v>70</v>
      </c>
      <c r="D293">
        <v>413.08100000000002</v>
      </c>
      <c r="E293">
        <v>13.247199999999999</v>
      </c>
      <c r="F293">
        <v>416.74400000000003</v>
      </c>
      <c r="G293">
        <v>0</v>
      </c>
      <c r="H293">
        <v>18.316400000000002</v>
      </c>
      <c r="I293">
        <v>0</v>
      </c>
      <c r="J293">
        <v>1.38266</v>
      </c>
      <c r="K293">
        <v>0</v>
      </c>
      <c r="L293">
        <v>0</v>
      </c>
      <c r="M293">
        <v>3</v>
      </c>
      <c r="N293">
        <v>0</v>
      </c>
      <c r="O293" s="7" t="s">
        <v>28</v>
      </c>
      <c r="P293">
        <v>0</v>
      </c>
      <c r="Q293" s="7" t="s">
        <v>28</v>
      </c>
      <c r="R293">
        <v>0</v>
      </c>
      <c r="S293">
        <v>0</v>
      </c>
      <c r="T293">
        <v>0</v>
      </c>
      <c r="U293">
        <v>0</v>
      </c>
    </row>
    <row r="294" spans="1:21" x14ac:dyDescent="0.25">
      <c r="A294">
        <v>293</v>
      </c>
      <c r="B294">
        <v>519724447</v>
      </c>
      <c r="C294" s="7" t="s">
        <v>70</v>
      </c>
      <c r="D294">
        <v>413.08100000000002</v>
      </c>
      <c r="E294">
        <v>13.3187</v>
      </c>
      <c r="F294">
        <v>413.08100000000002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3</v>
      </c>
      <c r="N294">
        <v>0</v>
      </c>
      <c r="O294" s="7" t="s">
        <v>28</v>
      </c>
      <c r="P294">
        <v>0</v>
      </c>
      <c r="Q294" s="7" t="s">
        <v>28</v>
      </c>
      <c r="R294">
        <v>0</v>
      </c>
      <c r="S294">
        <v>0</v>
      </c>
      <c r="T294">
        <v>0</v>
      </c>
      <c r="U294">
        <v>0</v>
      </c>
    </row>
    <row r="295" spans="1:21" x14ac:dyDescent="0.25">
      <c r="A295">
        <v>294</v>
      </c>
      <c r="B295">
        <v>776334048</v>
      </c>
      <c r="C295" s="7" t="s">
        <v>70</v>
      </c>
      <c r="D295">
        <v>413.08100000000002</v>
      </c>
      <c r="E295">
        <v>13.4421</v>
      </c>
      <c r="F295">
        <v>413.08100000000002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3</v>
      </c>
      <c r="N295">
        <v>0</v>
      </c>
      <c r="O295" s="7" t="s">
        <v>28</v>
      </c>
      <c r="P295">
        <v>0</v>
      </c>
      <c r="Q295" s="7" t="s">
        <v>28</v>
      </c>
      <c r="R295">
        <v>0</v>
      </c>
      <c r="S295">
        <v>0</v>
      </c>
      <c r="T295">
        <v>0</v>
      </c>
      <c r="U295">
        <v>0</v>
      </c>
    </row>
    <row r="296" spans="1:21" x14ac:dyDescent="0.25">
      <c r="A296">
        <v>295</v>
      </c>
      <c r="B296">
        <v>27969410</v>
      </c>
      <c r="C296" s="7" t="s">
        <v>70</v>
      </c>
      <c r="D296">
        <v>413.08100000000002</v>
      </c>
      <c r="E296">
        <v>14.510300000000001</v>
      </c>
      <c r="F296">
        <v>413.08100000000002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3</v>
      </c>
      <c r="N296">
        <v>0</v>
      </c>
      <c r="O296" s="7" t="s">
        <v>28</v>
      </c>
      <c r="P296">
        <v>0</v>
      </c>
      <c r="Q296" s="7" t="s">
        <v>28</v>
      </c>
      <c r="R296">
        <v>0</v>
      </c>
      <c r="S296">
        <v>0</v>
      </c>
      <c r="T296">
        <v>0</v>
      </c>
      <c r="U296">
        <v>0</v>
      </c>
    </row>
    <row r="297" spans="1:21" x14ac:dyDescent="0.25">
      <c r="A297">
        <v>296</v>
      </c>
      <c r="B297">
        <v>826055033</v>
      </c>
      <c r="C297" s="7" t="s">
        <v>70</v>
      </c>
      <c r="D297">
        <v>413.08100000000002</v>
      </c>
      <c r="E297">
        <v>14.535600000000001</v>
      </c>
      <c r="F297">
        <v>413.08100000000002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1.71936</v>
      </c>
      <c r="M297">
        <v>3</v>
      </c>
      <c r="N297">
        <v>0</v>
      </c>
      <c r="O297" s="7" t="s">
        <v>28</v>
      </c>
      <c r="P297">
        <v>0</v>
      </c>
      <c r="Q297" s="7" t="s">
        <v>28</v>
      </c>
      <c r="R297">
        <v>0</v>
      </c>
      <c r="S297">
        <v>0</v>
      </c>
      <c r="T297">
        <v>0</v>
      </c>
      <c r="U297">
        <v>0</v>
      </c>
    </row>
    <row r="298" spans="1:21" x14ac:dyDescent="0.25">
      <c r="A298">
        <v>297</v>
      </c>
      <c r="B298">
        <v>575992358</v>
      </c>
      <c r="C298" s="7" t="s">
        <v>70</v>
      </c>
      <c r="D298">
        <v>412.08100000000002</v>
      </c>
      <c r="E298">
        <v>15.9695</v>
      </c>
      <c r="F298">
        <v>412.08100000000002</v>
      </c>
      <c r="G298">
        <v>0</v>
      </c>
      <c r="H298">
        <v>-1.01</v>
      </c>
      <c r="I298">
        <v>0.5</v>
      </c>
      <c r="J298">
        <v>0</v>
      </c>
      <c r="K298">
        <v>0.49</v>
      </c>
      <c r="L298">
        <v>0</v>
      </c>
      <c r="M298">
        <v>3</v>
      </c>
      <c r="N298">
        <v>0</v>
      </c>
      <c r="O298" s="7" t="s">
        <v>28</v>
      </c>
      <c r="P298">
        <v>0.54742599999999997</v>
      </c>
      <c r="Q298" s="7" t="s">
        <v>121</v>
      </c>
      <c r="R298">
        <v>0</v>
      </c>
      <c r="S298">
        <v>0</v>
      </c>
      <c r="T298">
        <v>1</v>
      </c>
      <c r="U298">
        <v>1.5474300000000001</v>
      </c>
    </row>
    <row r="299" spans="1:21" x14ac:dyDescent="0.25">
      <c r="A299">
        <v>298</v>
      </c>
      <c r="B299">
        <v>181951422</v>
      </c>
      <c r="C299" s="7" t="s">
        <v>70</v>
      </c>
      <c r="D299">
        <v>411.08100000000002</v>
      </c>
      <c r="E299">
        <v>15.4689</v>
      </c>
      <c r="F299">
        <v>411.08100000000002</v>
      </c>
      <c r="G299">
        <v>0</v>
      </c>
      <c r="H299">
        <v>-1.0198</v>
      </c>
      <c r="I299">
        <v>0.5</v>
      </c>
      <c r="J299">
        <v>0</v>
      </c>
      <c r="K299">
        <v>0.97019999999999995</v>
      </c>
      <c r="L299">
        <v>0</v>
      </c>
      <c r="M299">
        <v>3</v>
      </c>
      <c r="N299">
        <v>0</v>
      </c>
      <c r="O299" s="7" t="s">
        <v>28</v>
      </c>
      <c r="P299">
        <v>0</v>
      </c>
      <c r="Q299" s="7" t="s">
        <v>121</v>
      </c>
      <c r="R299">
        <v>0</v>
      </c>
      <c r="S299">
        <v>0</v>
      </c>
      <c r="T299">
        <v>1</v>
      </c>
      <c r="U299">
        <v>5.8999999999999997E-2</v>
      </c>
    </row>
    <row r="300" spans="1:21" x14ac:dyDescent="0.25">
      <c r="A300">
        <v>299</v>
      </c>
      <c r="B300">
        <v>287212904</v>
      </c>
      <c r="C300" s="7" t="s">
        <v>70</v>
      </c>
      <c r="D300">
        <v>423.08699999999999</v>
      </c>
      <c r="E300">
        <v>15.4689</v>
      </c>
      <c r="F300">
        <v>426.089</v>
      </c>
      <c r="G300">
        <v>0</v>
      </c>
      <c r="H300">
        <v>15.007899999999999</v>
      </c>
      <c r="I300">
        <v>0</v>
      </c>
      <c r="J300">
        <v>0.97019999999999995</v>
      </c>
      <c r="K300">
        <v>0</v>
      </c>
      <c r="L300">
        <v>1.17117</v>
      </c>
      <c r="M300">
        <v>3</v>
      </c>
      <c r="N300">
        <v>0</v>
      </c>
      <c r="O300" s="7" t="s">
        <v>28</v>
      </c>
      <c r="P300">
        <v>0</v>
      </c>
      <c r="Q300" s="7" t="s">
        <v>28</v>
      </c>
      <c r="R300">
        <v>0</v>
      </c>
      <c r="S300">
        <v>0</v>
      </c>
      <c r="T300">
        <v>0</v>
      </c>
      <c r="U300">
        <v>0</v>
      </c>
    </row>
    <row r="301" spans="1:21" x14ac:dyDescent="0.25">
      <c r="A301">
        <v>300</v>
      </c>
      <c r="B301">
        <v>453296175</v>
      </c>
      <c r="C301" s="7" t="s">
        <v>70</v>
      </c>
      <c r="D301">
        <v>423.863</v>
      </c>
      <c r="E301">
        <v>16.1691</v>
      </c>
      <c r="F301">
        <v>424.05500000000001</v>
      </c>
      <c r="G301">
        <v>0</v>
      </c>
      <c r="H301">
        <v>0.96020300000000003</v>
      </c>
      <c r="I301">
        <v>0.5</v>
      </c>
      <c r="J301">
        <v>0.1217</v>
      </c>
      <c r="K301">
        <v>0.37073400000000001</v>
      </c>
      <c r="L301">
        <v>0</v>
      </c>
      <c r="M301">
        <v>3</v>
      </c>
      <c r="N301">
        <v>0</v>
      </c>
      <c r="O301" s="7" t="s">
        <v>28</v>
      </c>
      <c r="P301">
        <v>5.4054100000000001E-2</v>
      </c>
      <c r="Q301" s="7" t="s">
        <v>122</v>
      </c>
      <c r="R301">
        <v>0</v>
      </c>
      <c r="S301">
        <v>0</v>
      </c>
      <c r="T301">
        <v>1</v>
      </c>
      <c r="U301">
        <v>1.0540499999999999</v>
      </c>
    </row>
    <row r="302" spans="1:21" x14ac:dyDescent="0.25">
      <c r="A302">
        <v>301</v>
      </c>
      <c r="B302">
        <v>631321981</v>
      </c>
      <c r="C302" s="7" t="s">
        <v>70</v>
      </c>
      <c r="D302">
        <v>434.28199999999998</v>
      </c>
      <c r="E302">
        <v>16.1053</v>
      </c>
      <c r="F302">
        <v>436.88600000000002</v>
      </c>
      <c r="G302">
        <v>0</v>
      </c>
      <c r="H302">
        <v>13.0235</v>
      </c>
      <c r="I302">
        <v>0.5</v>
      </c>
      <c r="J302">
        <v>0.87073400000000001</v>
      </c>
      <c r="K302">
        <v>0</v>
      </c>
      <c r="L302">
        <v>2.08317</v>
      </c>
      <c r="M302">
        <v>3</v>
      </c>
      <c r="N302">
        <v>0</v>
      </c>
      <c r="O302" s="7" t="s">
        <v>28</v>
      </c>
      <c r="P302">
        <v>0</v>
      </c>
      <c r="Q302" s="7" t="s">
        <v>122</v>
      </c>
      <c r="R302">
        <v>0</v>
      </c>
      <c r="S302">
        <v>0</v>
      </c>
      <c r="T302">
        <v>1</v>
      </c>
      <c r="U302">
        <v>0.16633899999999999</v>
      </c>
    </row>
    <row r="303" spans="1:21" x14ac:dyDescent="0.25">
      <c r="A303">
        <v>302</v>
      </c>
      <c r="B303">
        <v>114267695</v>
      </c>
      <c r="C303" s="7" t="s">
        <v>70</v>
      </c>
      <c r="D303">
        <v>437.089</v>
      </c>
      <c r="E303">
        <v>16.1053</v>
      </c>
      <c r="F303">
        <v>437.78699999999998</v>
      </c>
      <c r="G303">
        <v>0</v>
      </c>
      <c r="H303">
        <v>3.4921600000000002</v>
      </c>
      <c r="I303">
        <v>1</v>
      </c>
      <c r="J303">
        <v>0.34183200000000002</v>
      </c>
      <c r="K303">
        <v>0.64500500000000005</v>
      </c>
      <c r="L303">
        <v>0</v>
      </c>
      <c r="M303">
        <v>3</v>
      </c>
      <c r="N303">
        <v>0</v>
      </c>
      <c r="O303" s="7" t="s">
        <v>28</v>
      </c>
      <c r="P303">
        <v>0.37485099999999999</v>
      </c>
      <c r="Q303" s="7" t="s">
        <v>123</v>
      </c>
      <c r="R303">
        <v>0</v>
      </c>
      <c r="S303">
        <v>0</v>
      </c>
      <c r="T303">
        <v>2</v>
      </c>
      <c r="U303">
        <v>2.3748499999999999</v>
      </c>
    </row>
    <row r="304" spans="1:21" x14ac:dyDescent="0.25">
      <c r="A304">
        <v>303</v>
      </c>
      <c r="B304">
        <v>879777812</v>
      </c>
      <c r="C304" s="7" t="s">
        <v>70</v>
      </c>
      <c r="D304">
        <v>450.80900000000003</v>
      </c>
      <c r="E304">
        <v>15.851800000000001</v>
      </c>
      <c r="F304">
        <v>454.23899999999998</v>
      </c>
      <c r="G304">
        <v>0</v>
      </c>
      <c r="H304">
        <v>17.150300000000001</v>
      </c>
      <c r="I304">
        <v>0.5</v>
      </c>
      <c r="J304">
        <v>1.145</v>
      </c>
      <c r="K304">
        <v>0</v>
      </c>
      <c r="L304">
        <v>0</v>
      </c>
      <c r="M304">
        <v>3</v>
      </c>
      <c r="N304">
        <v>0</v>
      </c>
      <c r="O304" s="7" t="s">
        <v>28</v>
      </c>
      <c r="P304">
        <v>0</v>
      </c>
      <c r="Q304" s="7" t="s">
        <v>124</v>
      </c>
      <c r="R304">
        <v>0</v>
      </c>
      <c r="S304">
        <v>0</v>
      </c>
      <c r="T304">
        <v>1</v>
      </c>
      <c r="U304">
        <v>0.41949599999999998</v>
      </c>
    </row>
    <row r="305" spans="1:21" x14ac:dyDescent="0.25">
      <c r="A305">
        <v>304</v>
      </c>
      <c r="B305">
        <v>353380199</v>
      </c>
      <c r="C305" s="7" t="s">
        <v>70</v>
      </c>
      <c r="D305">
        <v>456.91500000000002</v>
      </c>
      <c r="E305">
        <v>17.266200000000001</v>
      </c>
      <c r="F305">
        <v>458.44200000000001</v>
      </c>
      <c r="G305">
        <v>0</v>
      </c>
      <c r="H305">
        <v>7.6330900000000002</v>
      </c>
      <c r="I305">
        <v>0.5</v>
      </c>
      <c r="J305">
        <v>0.5</v>
      </c>
      <c r="K305">
        <v>0</v>
      </c>
      <c r="L305">
        <v>1.53993</v>
      </c>
      <c r="M305">
        <v>3</v>
      </c>
      <c r="N305">
        <v>0</v>
      </c>
      <c r="O305" s="7" t="s">
        <v>28</v>
      </c>
      <c r="P305">
        <v>0</v>
      </c>
      <c r="Q305" s="7" t="s">
        <v>124</v>
      </c>
      <c r="R305">
        <v>0</v>
      </c>
      <c r="S305">
        <v>0</v>
      </c>
      <c r="T305">
        <v>1</v>
      </c>
      <c r="U305">
        <v>0.5</v>
      </c>
    </row>
    <row r="306" spans="1:21" x14ac:dyDescent="0.25">
      <c r="A306">
        <v>305</v>
      </c>
      <c r="B306">
        <v>668603093</v>
      </c>
      <c r="C306" s="7" t="s">
        <v>70</v>
      </c>
      <c r="D306">
        <v>463.02199999999999</v>
      </c>
      <c r="E306">
        <v>17.266200000000001</v>
      </c>
      <c r="F306">
        <v>464.548</v>
      </c>
      <c r="G306">
        <v>0</v>
      </c>
      <c r="H306">
        <v>7.6330900000000002</v>
      </c>
      <c r="I306">
        <v>0.5</v>
      </c>
      <c r="J306">
        <v>0.5</v>
      </c>
      <c r="K306">
        <v>0</v>
      </c>
      <c r="L306">
        <v>2.5172300000000001</v>
      </c>
      <c r="M306">
        <v>3</v>
      </c>
      <c r="N306">
        <v>0</v>
      </c>
      <c r="O306" s="7" t="s">
        <v>28</v>
      </c>
      <c r="P306">
        <v>0.88593299999999997</v>
      </c>
      <c r="Q306" s="7" t="s">
        <v>124</v>
      </c>
      <c r="R306">
        <v>0</v>
      </c>
      <c r="S306">
        <v>0</v>
      </c>
      <c r="T306">
        <v>1</v>
      </c>
      <c r="U306">
        <v>1.8859300000000001</v>
      </c>
    </row>
    <row r="307" spans="1:21" x14ac:dyDescent="0.25">
      <c r="A307">
        <v>306</v>
      </c>
      <c r="B307">
        <v>169657502</v>
      </c>
      <c r="C307" s="7" t="s">
        <v>70</v>
      </c>
      <c r="D307">
        <v>475.23500000000001</v>
      </c>
      <c r="E307">
        <v>17.266200000000001</v>
      </c>
      <c r="F307">
        <v>478.28800000000001</v>
      </c>
      <c r="G307">
        <v>0</v>
      </c>
      <c r="H307">
        <v>15.2662</v>
      </c>
      <c r="I307">
        <v>1</v>
      </c>
      <c r="J307">
        <v>1</v>
      </c>
      <c r="K307">
        <v>0</v>
      </c>
      <c r="L307">
        <v>0.72072099999999995</v>
      </c>
      <c r="M307">
        <v>3</v>
      </c>
      <c r="N307">
        <v>0</v>
      </c>
      <c r="O307" s="7" t="s">
        <v>28</v>
      </c>
      <c r="P307">
        <v>0.76550700000000005</v>
      </c>
      <c r="Q307" s="7" t="s">
        <v>125</v>
      </c>
      <c r="R307">
        <v>0</v>
      </c>
      <c r="S307">
        <v>0</v>
      </c>
      <c r="T307">
        <v>2</v>
      </c>
      <c r="U307">
        <v>2.7655099999999999</v>
      </c>
    </row>
    <row r="308" spans="1:21" x14ac:dyDescent="0.25">
      <c r="A308">
        <v>307</v>
      </c>
      <c r="B308">
        <v>530007217</v>
      </c>
      <c r="C308" s="7" t="s">
        <v>70</v>
      </c>
      <c r="D308">
        <v>482.34699999999998</v>
      </c>
      <c r="E308">
        <v>17.266200000000001</v>
      </c>
      <c r="F308">
        <v>484.12299999999999</v>
      </c>
      <c r="G308">
        <v>0</v>
      </c>
      <c r="H308">
        <v>8.8811900000000001</v>
      </c>
      <c r="I308">
        <v>1</v>
      </c>
      <c r="J308">
        <v>0.63063100000000005</v>
      </c>
      <c r="K308">
        <v>0.36198200000000003</v>
      </c>
      <c r="L308">
        <v>0</v>
      </c>
      <c r="M308">
        <v>3</v>
      </c>
      <c r="N308">
        <v>0</v>
      </c>
      <c r="O308" s="7" t="s">
        <v>28</v>
      </c>
      <c r="P308">
        <v>0</v>
      </c>
      <c r="Q308" s="7" t="s">
        <v>125</v>
      </c>
      <c r="R308">
        <v>0</v>
      </c>
      <c r="S308">
        <v>0</v>
      </c>
      <c r="T308">
        <v>2</v>
      </c>
      <c r="U308">
        <v>1.6486499999999999</v>
      </c>
    </row>
    <row r="309" spans="1:21" x14ac:dyDescent="0.25">
      <c r="A309">
        <v>308</v>
      </c>
      <c r="B309">
        <v>43178698</v>
      </c>
      <c r="C309" s="7" t="s">
        <v>70</v>
      </c>
      <c r="D309">
        <v>492.584</v>
      </c>
      <c r="E309">
        <v>16.0059</v>
      </c>
      <c r="F309">
        <v>495.14400000000001</v>
      </c>
      <c r="G309">
        <v>0</v>
      </c>
      <c r="H309">
        <v>12.796799999999999</v>
      </c>
      <c r="I309">
        <v>0.5</v>
      </c>
      <c r="J309">
        <v>0.86198200000000003</v>
      </c>
      <c r="K309">
        <v>0</v>
      </c>
      <c r="L309">
        <v>0</v>
      </c>
      <c r="M309">
        <v>3</v>
      </c>
      <c r="N309">
        <v>0</v>
      </c>
      <c r="O309" s="7" t="s">
        <v>28</v>
      </c>
      <c r="P309">
        <v>0</v>
      </c>
      <c r="Q309" s="7" t="s">
        <v>126</v>
      </c>
      <c r="R309">
        <v>0</v>
      </c>
      <c r="S309">
        <v>0</v>
      </c>
      <c r="T309">
        <v>1</v>
      </c>
      <c r="U309">
        <v>0.67421600000000004</v>
      </c>
    </row>
    <row r="310" spans="1:21" x14ac:dyDescent="0.25">
      <c r="A310">
        <v>309</v>
      </c>
      <c r="B310">
        <v>89221786</v>
      </c>
      <c r="C310" s="7" t="s">
        <v>70</v>
      </c>
      <c r="D310">
        <v>498.31400000000002</v>
      </c>
      <c r="E310">
        <v>16.324100000000001</v>
      </c>
      <c r="F310">
        <v>499.74599999999998</v>
      </c>
      <c r="G310">
        <v>0</v>
      </c>
      <c r="H310">
        <v>7.1620400000000002</v>
      </c>
      <c r="I310">
        <v>0.5</v>
      </c>
      <c r="J310">
        <v>0.5</v>
      </c>
      <c r="K310">
        <v>0</v>
      </c>
      <c r="L310">
        <v>0</v>
      </c>
      <c r="M310">
        <v>3</v>
      </c>
      <c r="N310">
        <v>0</v>
      </c>
      <c r="O310" s="7" t="s">
        <v>28</v>
      </c>
      <c r="P310">
        <v>0</v>
      </c>
      <c r="Q310" s="7" t="s">
        <v>126</v>
      </c>
      <c r="R310">
        <v>0</v>
      </c>
      <c r="S310">
        <v>0</v>
      </c>
      <c r="T310">
        <v>1</v>
      </c>
      <c r="U310">
        <v>0.5</v>
      </c>
    </row>
    <row r="311" spans="1:21" x14ac:dyDescent="0.25">
      <c r="A311">
        <v>310</v>
      </c>
      <c r="B311">
        <v>361570699</v>
      </c>
      <c r="C311" s="7" t="s">
        <v>70</v>
      </c>
      <c r="D311">
        <v>504.11700000000002</v>
      </c>
      <c r="E311">
        <v>16.507200000000001</v>
      </c>
      <c r="F311">
        <v>505.56799999999998</v>
      </c>
      <c r="G311">
        <v>0</v>
      </c>
      <c r="H311">
        <v>7.25359</v>
      </c>
      <c r="I311">
        <v>0.5</v>
      </c>
      <c r="J311">
        <v>0.5</v>
      </c>
      <c r="K311">
        <v>0</v>
      </c>
      <c r="L311">
        <v>0.86546000000000001</v>
      </c>
      <c r="M311">
        <v>3</v>
      </c>
      <c r="N311">
        <v>0</v>
      </c>
      <c r="O311" s="7" t="s">
        <v>28</v>
      </c>
      <c r="P311">
        <v>0</v>
      </c>
      <c r="Q311" s="7" t="s">
        <v>126</v>
      </c>
      <c r="R311">
        <v>0</v>
      </c>
      <c r="S311">
        <v>0</v>
      </c>
      <c r="T311">
        <v>1</v>
      </c>
      <c r="U311">
        <v>0.5</v>
      </c>
    </row>
    <row r="312" spans="1:21" x14ac:dyDescent="0.25">
      <c r="A312">
        <v>311</v>
      </c>
      <c r="B312">
        <v>334193250</v>
      </c>
      <c r="C312" s="7" t="s">
        <v>70</v>
      </c>
      <c r="D312">
        <v>510.30500000000001</v>
      </c>
      <c r="E312">
        <v>17.4694</v>
      </c>
      <c r="F312">
        <v>511.85199999999998</v>
      </c>
      <c r="G312">
        <v>0</v>
      </c>
      <c r="H312">
        <v>7.7346700000000004</v>
      </c>
      <c r="I312">
        <v>0.5</v>
      </c>
      <c r="J312">
        <v>0.5</v>
      </c>
      <c r="K312">
        <v>0</v>
      </c>
      <c r="L312">
        <v>0.90602800000000006</v>
      </c>
      <c r="M312">
        <v>3</v>
      </c>
      <c r="N312">
        <v>0</v>
      </c>
      <c r="O312" s="7" t="s">
        <v>28</v>
      </c>
      <c r="P312">
        <v>0.278914</v>
      </c>
      <c r="Q312" s="7" t="s">
        <v>126</v>
      </c>
      <c r="R312">
        <v>0</v>
      </c>
      <c r="S312">
        <v>0</v>
      </c>
      <c r="T312">
        <v>1</v>
      </c>
      <c r="U312">
        <v>1.27891</v>
      </c>
    </row>
    <row r="313" spans="1:21" x14ac:dyDescent="0.25">
      <c r="A313">
        <v>312</v>
      </c>
      <c r="B313">
        <v>580099953</v>
      </c>
      <c r="C313" s="7" t="s">
        <v>70</v>
      </c>
      <c r="D313">
        <v>509.30500000000001</v>
      </c>
      <c r="E313">
        <v>18.613099999999999</v>
      </c>
      <c r="F313">
        <v>509.30500000000001</v>
      </c>
      <c r="G313">
        <v>0</v>
      </c>
      <c r="H313">
        <v>-1.01</v>
      </c>
      <c r="I313">
        <v>0.5</v>
      </c>
      <c r="J313">
        <v>0</v>
      </c>
      <c r="K313">
        <v>0.49</v>
      </c>
      <c r="L313">
        <v>0</v>
      </c>
      <c r="M313">
        <v>3</v>
      </c>
      <c r="N313">
        <v>0</v>
      </c>
      <c r="O313" s="7" t="s">
        <v>28</v>
      </c>
      <c r="P313">
        <v>0.31542500000000001</v>
      </c>
      <c r="Q313" s="7" t="s">
        <v>126</v>
      </c>
      <c r="R313">
        <v>0</v>
      </c>
      <c r="S313">
        <v>0</v>
      </c>
      <c r="T313">
        <v>1</v>
      </c>
      <c r="U313">
        <v>1.3154300000000001</v>
      </c>
    </row>
    <row r="314" spans="1:21" x14ac:dyDescent="0.25">
      <c r="A314">
        <v>313</v>
      </c>
      <c r="B314">
        <v>78991511</v>
      </c>
      <c r="C314" s="7" t="s">
        <v>70</v>
      </c>
      <c r="D314">
        <v>508.30500000000001</v>
      </c>
      <c r="E314">
        <v>17.462</v>
      </c>
      <c r="F314">
        <v>508.30500000000001</v>
      </c>
      <c r="G314">
        <v>0</v>
      </c>
      <c r="H314">
        <v>-1.0198</v>
      </c>
      <c r="I314">
        <v>0.5</v>
      </c>
      <c r="J314">
        <v>0</v>
      </c>
      <c r="K314">
        <v>0.97019999999999995</v>
      </c>
      <c r="L314">
        <v>0</v>
      </c>
      <c r="M314">
        <v>3</v>
      </c>
      <c r="N314">
        <v>0</v>
      </c>
      <c r="O314" s="7" t="s">
        <v>28</v>
      </c>
      <c r="P314">
        <v>0</v>
      </c>
      <c r="Q314" s="7" t="s">
        <v>126</v>
      </c>
      <c r="R314">
        <v>0</v>
      </c>
      <c r="S314">
        <v>0</v>
      </c>
      <c r="T314">
        <v>1</v>
      </c>
      <c r="U314">
        <v>5.8999999999999997E-2</v>
      </c>
    </row>
    <row r="315" spans="1:21" x14ac:dyDescent="0.25">
      <c r="A315">
        <v>314</v>
      </c>
      <c r="B315">
        <v>586953022</v>
      </c>
      <c r="C315" s="7" t="s">
        <v>70</v>
      </c>
      <c r="D315">
        <v>521.85799999999995</v>
      </c>
      <c r="E315">
        <v>17.462</v>
      </c>
      <c r="F315">
        <v>525.24599999999998</v>
      </c>
      <c r="G315">
        <v>0</v>
      </c>
      <c r="H315">
        <v>16.941600000000001</v>
      </c>
      <c r="I315">
        <v>0</v>
      </c>
      <c r="J315">
        <v>0.97019999999999995</v>
      </c>
      <c r="K315">
        <v>0</v>
      </c>
      <c r="L315">
        <v>0</v>
      </c>
      <c r="M315">
        <v>3</v>
      </c>
      <c r="N315">
        <v>0</v>
      </c>
      <c r="O315" s="7" t="s">
        <v>28</v>
      </c>
      <c r="P315">
        <v>0</v>
      </c>
      <c r="Q315" s="7" t="s">
        <v>28</v>
      </c>
      <c r="R315">
        <v>0</v>
      </c>
      <c r="S315">
        <v>0</v>
      </c>
      <c r="T315">
        <v>0</v>
      </c>
      <c r="U315">
        <v>0</v>
      </c>
    </row>
    <row r="316" spans="1:21" x14ac:dyDescent="0.25">
      <c r="A316">
        <v>315</v>
      </c>
      <c r="B316">
        <v>829512702</v>
      </c>
      <c r="C316" s="7" t="s">
        <v>70</v>
      </c>
      <c r="D316">
        <v>521.85799999999995</v>
      </c>
      <c r="E316">
        <v>18.7699</v>
      </c>
      <c r="F316">
        <v>521.85799999999995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3</v>
      </c>
      <c r="N316">
        <v>0</v>
      </c>
      <c r="O316" s="7" t="s">
        <v>28</v>
      </c>
      <c r="P316">
        <v>0</v>
      </c>
      <c r="Q316" s="7" t="s">
        <v>28</v>
      </c>
      <c r="R316">
        <v>0</v>
      </c>
      <c r="S316">
        <v>0</v>
      </c>
      <c r="T316">
        <v>0</v>
      </c>
      <c r="U316">
        <v>0</v>
      </c>
    </row>
    <row r="317" spans="1:21" x14ac:dyDescent="0.25">
      <c r="A317">
        <v>316</v>
      </c>
      <c r="B317">
        <v>613815557</v>
      </c>
      <c r="C317" s="7" t="s">
        <v>70</v>
      </c>
      <c r="D317">
        <v>521.85799999999995</v>
      </c>
      <c r="E317">
        <v>18.7699</v>
      </c>
      <c r="F317">
        <v>521.85799999999995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3.13944</v>
      </c>
      <c r="M317">
        <v>3</v>
      </c>
      <c r="N317">
        <v>0</v>
      </c>
      <c r="O317" s="7" t="s">
        <v>28</v>
      </c>
      <c r="P317">
        <v>0</v>
      </c>
      <c r="Q317" s="7" t="s">
        <v>28</v>
      </c>
      <c r="R317">
        <v>0</v>
      </c>
      <c r="S317">
        <v>0</v>
      </c>
      <c r="T317">
        <v>0</v>
      </c>
      <c r="U317">
        <v>0</v>
      </c>
    </row>
    <row r="318" spans="1:21" x14ac:dyDescent="0.25">
      <c r="A318">
        <v>317</v>
      </c>
      <c r="B318">
        <v>914405504</v>
      </c>
      <c r="C318" s="7" t="s">
        <v>70</v>
      </c>
      <c r="D318">
        <v>535.274</v>
      </c>
      <c r="E318">
        <v>18.7699</v>
      </c>
      <c r="F318">
        <v>538.62800000000004</v>
      </c>
      <c r="G318">
        <v>0</v>
      </c>
      <c r="H318">
        <v>16.7699</v>
      </c>
      <c r="I318">
        <v>1</v>
      </c>
      <c r="J318">
        <v>1</v>
      </c>
      <c r="K318">
        <v>0</v>
      </c>
      <c r="L318">
        <v>0.75078400000000001</v>
      </c>
      <c r="M318">
        <v>3</v>
      </c>
      <c r="N318">
        <v>0</v>
      </c>
      <c r="O318" s="7" t="s">
        <v>28</v>
      </c>
      <c r="P318">
        <v>0.82549600000000001</v>
      </c>
      <c r="Q318" s="7" t="s">
        <v>127</v>
      </c>
      <c r="R318">
        <v>0</v>
      </c>
      <c r="S318">
        <v>0</v>
      </c>
      <c r="T318">
        <v>2</v>
      </c>
      <c r="U318">
        <v>2.8254999999999999</v>
      </c>
    </row>
    <row r="319" spans="1:21" x14ac:dyDescent="0.25">
      <c r="A319">
        <v>318</v>
      </c>
      <c r="B319">
        <v>293035967</v>
      </c>
      <c r="C319" s="7" t="s">
        <v>70</v>
      </c>
      <c r="D319">
        <v>540.44000000000005</v>
      </c>
      <c r="E319">
        <v>18.7699</v>
      </c>
      <c r="F319">
        <v>541.72900000000004</v>
      </c>
      <c r="G319">
        <v>0</v>
      </c>
      <c r="H319">
        <v>6.4439299999999999</v>
      </c>
      <c r="I319">
        <v>1</v>
      </c>
      <c r="J319">
        <v>0.45045000000000002</v>
      </c>
      <c r="K319">
        <v>0.53855900000000001</v>
      </c>
      <c r="L319">
        <v>0</v>
      </c>
      <c r="M319">
        <v>3</v>
      </c>
      <c r="N319">
        <v>0</v>
      </c>
      <c r="O319" s="7" t="s">
        <v>28</v>
      </c>
      <c r="P319">
        <v>0</v>
      </c>
      <c r="Q319" s="7" t="s">
        <v>127</v>
      </c>
      <c r="R319">
        <v>0</v>
      </c>
      <c r="S319">
        <v>0</v>
      </c>
      <c r="T319">
        <v>2</v>
      </c>
      <c r="U319">
        <v>1.67571</v>
      </c>
    </row>
    <row r="320" spans="1:21" x14ac:dyDescent="0.25">
      <c r="A320">
        <v>319</v>
      </c>
      <c r="B320">
        <v>947994935</v>
      </c>
      <c r="C320" s="7" t="s">
        <v>70</v>
      </c>
      <c r="D320">
        <v>552.70299999999997</v>
      </c>
      <c r="E320">
        <v>18.124300000000002</v>
      </c>
      <c r="F320">
        <v>555.76800000000003</v>
      </c>
      <c r="G320">
        <v>0</v>
      </c>
      <c r="H320">
        <v>15.3254</v>
      </c>
      <c r="I320">
        <v>0.5</v>
      </c>
      <c r="J320">
        <v>0.90090099999999995</v>
      </c>
      <c r="K320">
        <v>0.134904</v>
      </c>
      <c r="L320">
        <v>0</v>
      </c>
      <c r="M320">
        <v>3</v>
      </c>
      <c r="N320">
        <v>0</v>
      </c>
      <c r="O320" s="7" t="s">
        <v>28</v>
      </c>
      <c r="P320">
        <v>0</v>
      </c>
      <c r="Q320" s="7" t="s">
        <v>128</v>
      </c>
      <c r="R320">
        <v>0</v>
      </c>
      <c r="S320">
        <v>0</v>
      </c>
      <c r="T320">
        <v>1</v>
      </c>
      <c r="U320">
        <v>0.51529700000000001</v>
      </c>
    </row>
    <row r="321" spans="1:21" x14ac:dyDescent="0.25">
      <c r="A321">
        <v>320</v>
      </c>
      <c r="B321">
        <v>201694033</v>
      </c>
      <c r="C321" s="7" t="s">
        <v>70</v>
      </c>
      <c r="D321">
        <v>551.70299999999997</v>
      </c>
      <c r="E321">
        <v>18.124300000000002</v>
      </c>
      <c r="F321">
        <v>551.70299999999997</v>
      </c>
      <c r="G321">
        <v>0</v>
      </c>
      <c r="H321">
        <v>-1.0126999999999999</v>
      </c>
      <c r="I321">
        <v>0.5</v>
      </c>
      <c r="J321">
        <v>0</v>
      </c>
      <c r="K321">
        <v>0.62220600000000004</v>
      </c>
      <c r="L321">
        <v>0</v>
      </c>
      <c r="M321">
        <v>3</v>
      </c>
      <c r="N321">
        <v>0</v>
      </c>
      <c r="O321" s="7" t="s">
        <v>28</v>
      </c>
      <c r="P321">
        <v>0</v>
      </c>
      <c r="Q321" s="7" t="s">
        <v>128</v>
      </c>
      <c r="R321">
        <v>0</v>
      </c>
      <c r="S321">
        <v>0</v>
      </c>
      <c r="T321">
        <v>1</v>
      </c>
      <c r="U321">
        <v>0.37858599999999998</v>
      </c>
    </row>
    <row r="322" spans="1:21" x14ac:dyDescent="0.25">
      <c r="A322">
        <v>321</v>
      </c>
      <c r="B322">
        <v>289824202</v>
      </c>
      <c r="C322" s="7" t="s">
        <v>70</v>
      </c>
      <c r="D322">
        <v>560.72500000000002</v>
      </c>
      <c r="E322">
        <v>18.124300000000002</v>
      </c>
      <c r="F322">
        <v>562.98</v>
      </c>
      <c r="G322">
        <v>0</v>
      </c>
      <c r="H322">
        <v>11.276999999999999</v>
      </c>
      <c r="I322">
        <v>0</v>
      </c>
      <c r="J322">
        <v>0.62220600000000004</v>
      </c>
      <c r="K322">
        <v>0</v>
      </c>
      <c r="L322">
        <v>6.0176100000000003E-2</v>
      </c>
      <c r="M322">
        <v>3</v>
      </c>
      <c r="N322">
        <v>0</v>
      </c>
      <c r="O322" s="7" t="s">
        <v>28</v>
      </c>
      <c r="P322">
        <v>0</v>
      </c>
      <c r="Q322" s="7" t="s">
        <v>28</v>
      </c>
      <c r="R322">
        <v>0</v>
      </c>
      <c r="S322">
        <v>0</v>
      </c>
      <c r="T322">
        <v>0</v>
      </c>
      <c r="U322">
        <v>0</v>
      </c>
    </row>
    <row r="323" spans="1:21" x14ac:dyDescent="0.25">
      <c r="A323">
        <v>322</v>
      </c>
      <c r="B323">
        <v>138552628</v>
      </c>
      <c r="C323" s="7" t="s">
        <v>70</v>
      </c>
      <c r="D323">
        <v>560.72500000000002</v>
      </c>
      <c r="E323">
        <v>19.143599999999999</v>
      </c>
      <c r="F323">
        <v>560.72500000000002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3</v>
      </c>
      <c r="N323">
        <v>0</v>
      </c>
      <c r="O323" s="7" t="s">
        <v>28</v>
      </c>
      <c r="P323">
        <v>5.4158499999999998E-2</v>
      </c>
      <c r="Q323" s="7" t="s">
        <v>28</v>
      </c>
      <c r="R323">
        <v>0</v>
      </c>
      <c r="S323">
        <v>0</v>
      </c>
      <c r="T323">
        <v>0</v>
      </c>
      <c r="U323">
        <v>5.4158499999999998E-2</v>
      </c>
    </row>
    <row r="324" spans="1:21" x14ac:dyDescent="0.25">
      <c r="A324">
        <v>323</v>
      </c>
      <c r="B324">
        <v>26493040</v>
      </c>
      <c r="C324" s="7" t="s">
        <v>70</v>
      </c>
      <c r="D324">
        <v>560.72500000000002</v>
      </c>
      <c r="E324">
        <v>19.143599999999999</v>
      </c>
      <c r="F324">
        <v>560.72500000000002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1.0382800000000001</v>
      </c>
      <c r="M324">
        <v>3</v>
      </c>
      <c r="N324">
        <v>0</v>
      </c>
      <c r="O324" s="7" t="s">
        <v>28</v>
      </c>
      <c r="P324">
        <v>0</v>
      </c>
      <c r="Q324" s="7" t="s">
        <v>28</v>
      </c>
      <c r="R324">
        <v>0</v>
      </c>
      <c r="S324">
        <v>0</v>
      </c>
      <c r="T324">
        <v>0</v>
      </c>
      <c r="U324">
        <v>0</v>
      </c>
    </row>
    <row r="325" spans="1:21" x14ac:dyDescent="0.25">
      <c r="A325">
        <v>324</v>
      </c>
      <c r="B325">
        <v>552523840</v>
      </c>
      <c r="C325" s="7" t="s">
        <v>70</v>
      </c>
      <c r="D325">
        <v>560.72500000000002</v>
      </c>
      <c r="E325">
        <v>19.143599999999999</v>
      </c>
      <c r="F325">
        <v>560.72500000000002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3</v>
      </c>
      <c r="N325">
        <v>0</v>
      </c>
      <c r="O325" s="7" t="s">
        <v>28</v>
      </c>
      <c r="P325">
        <v>0.93444899999999997</v>
      </c>
      <c r="Q325" s="7" t="s">
        <v>28</v>
      </c>
      <c r="R325">
        <v>0</v>
      </c>
      <c r="S325">
        <v>0</v>
      </c>
      <c r="T325">
        <v>0</v>
      </c>
      <c r="U325">
        <v>0.93444899999999997</v>
      </c>
    </row>
    <row r="326" spans="1:21" x14ac:dyDescent="0.25">
      <c r="A326">
        <v>325</v>
      </c>
      <c r="B326">
        <v>772020571</v>
      </c>
      <c r="C326" s="7" t="s">
        <v>70</v>
      </c>
      <c r="D326">
        <v>560.72500000000002</v>
      </c>
      <c r="E326">
        <v>19.143599999999999</v>
      </c>
      <c r="F326">
        <v>560.72500000000002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0.38566800000000001</v>
      </c>
      <c r="M326">
        <v>3</v>
      </c>
      <c r="N326">
        <v>0</v>
      </c>
      <c r="O326" s="7" t="s">
        <v>28</v>
      </c>
      <c r="P326">
        <v>0</v>
      </c>
      <c r="Q326" s="7" t="s">
        <v>28</v>
      </c>
      <c r="R326">
        <v>0</v>
      </c>
      <c r="S326">
        <v>0</v>
      </c>
      <c r="T326">
        <v>0</v>
      </c>
      <c r="U326">
        <v>0</v>
      </c>
    </row>
    <row r="327" spans="1:21" x14ac:dyDescent="0.25">
      <c r="A327">
        <v>326</v>
      </c>
      <c r="B327">
        <v>323803752</v>
      </c>
      <c r="C327" s="7" t="s">
        <v>70</v>
      </c>
      <c r="D327">
        <v>560.72500000000002</v>
      </c>
      <c r="E327">
        <v>19.143599999999999</v>
      </c>
      <c r="F327">
        <v>560.72500000000002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0.40704299999999999</v>
      </c>
      <c r="M327">
        <v>3</v>
      </c>
      <c r="N327">
        <v>0</v>
      </c>
      <c r="O327" s="7" t="s">
        <v>28</v>
      </c>
      <c r="P327">
        <v>0.34710099999999999</v>
      </c>
      <c r="Q327" s="7" t="s">
        <v>28</v>
      </c>
      <c r="R327">
        <v>0</v>
      </c>
      <c r="S327">
        <v>0</v>
      </c>
      <c r="T327">
        <v>0</v>
      </c>
      <c r="U327">
        <v>0.34710099999999999</v>
      </c>
    </row>
    <row r="328" spans="1:21" x14ac:dyDescent="0.25">
      <c r="A328">
        <v>327</v>
      </c>
      <c r="B328">
        <v>764219511</v>
      </c>
      <c r="C328" s="7" t="s">
        <v>70</v>
      </c>
      <c r="D328">
        <v>560.72500000000002</v>
      </c>
      <c r="E328">
        <v>19.143599999999999</v>
      </c>
      <c r="F328">
        <v>560.72500000000002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0.78821600000000003</v>
      </c>
      <c r="M328">
        <v>3</v>
      </c>
      <c r="N328">
        <v>0</v>
      </c>
      <c r="O328" s="7" t="s">
        <v>28</v>
      </c>
      <c r="P328">
        <v>0.36633900000000003</v>
      </c>
      <c r="Q328" s="7" t="s">
        <v>28</v>
      </c>
      <c r="R328">
        <v>0</v>
      </c>
      <c r="S328">
        <v>0</v>
      </c>
      <c r="T328">
        <v>0</v>
      </c>
      <c r="U328">
        <v>0.36633900000000003</v>
      </c>
    </row>
    <row r="329" spans="1:21" x14ac:dyDescent="0.25">
      <c r="A329">
        <v>328</v>
      </c>
      <c r="B329">
        <v>544166387</v>
      </c>
      <c r="C329" s="7" t="s">
        <v>70</v>
      </c>
      <c r="D329">
        <v>560.72500000000002</v>
      </c>
      <c r="E329">
        <v>20.0532</v>
      </c>
      <c r="F329">
        <v>560.72500000000002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0.61515399999999998</v>
      </c>
      <c r="M329">
        <v>3</v>
      </c>
      <c r="N329">
        <v>0</v>
      </c>
      <c r="O329" s="7" t="s">
        <v>28</v>
      </c>
      <c r="P329">
        <v>0.709395</v>
      </c>
      <c r="Q329" s="7" t="s">
        <v>28</v>
      </c>
      <c r="R329">
        <v>0</v>
      </c>
      <c r="S329">
        <v>0</v>
      </c>
      <c r="T329">
        <v>0</v>
      </c>
      <c r="U329">
        <v>0.709395</v>
      </c>
    </row>
    <row r="330" spans="1:21" x14ac:dyDescent="0.25">
      <c r="A330">
        <v>329</v>
      </c>
      <c r="B330">
        <v>848623397</v>
      </c>
      <c r="C330" s="7" t="s">
        <v>70</v>
      </c>
      <c r="D330">
        <v>560.72500000000002</v>
      </c>
      <c r="E330">
        <v>20.0532</v>
      </c>
      <c r="F330">
        <v>560.72500000000002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3</v>
      </c>
      <c r="N330">
        <v>0</v>
      </c>
      <c r="O330" s="7" t="s">
        <v>28</v>
      </c>
      <c r="P330">
        <v>0.55363899999999999</v>
      </c>
      <c r="Q330" s="7" t="s">
        <v>28</v>
      </c>
      <c r="R330">
        <v>0</v>
      </c>
      <c r="S330">
        <v>0</v>
      </c>
      <c r="T330">
        <v>0</v>
      </c>
      <c r="U330">
        <v>0.55363899999999999</v>
      </c>
    </row>
    <row r="331" spans="1:21" x14ac:dyDescent="0.25">
      <c r="A331">
        <v>330</v>
      </c>
      <c r="B331">
        <v>17130638</v>
      </c>
      <c r="C331" s="7" t="s">
        <v>70</v>
      </c>
      <c r="D331">
        <v>560.72500000000002</v>
      </c>
      <c r="E331">
        <v>20.0532</v>
      </c>
      <c r="F331">
        <v>560.72500000000002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0.65543600000000002</v>
      </c>
      <c r="M331">
        <v>3</v>
      </c>
      <c r="N331">
        <v>0</v>
      </c>
      <c r="O331" s="7" t="s">
        <v>28</v>
      </c>
      <c r="P331">
        <v>0</v>
      </c>
      <c r="Q331" s="7" t="s">
        <v>28</v>
      </c>
      <c r="R331">
        <v>0</v>
      </c>
      <c r="S331">
        <v>0</v>
      </c>
      <c r="T331">
        <v>0</v>
      </c>
      <c r="U331">
        <v>0</v>
      </c>
    </row>
    <row r="332" spans="1:21" x14ac:dyDescent="0.25">
      <c r="A332">
        <v>331</v>
      </c>
      <c r="B332">
        <v>134623092</v>
      </c>
      <c r="C332" s="7" t="s">
        <v>70</v>
      </c>
      <c r="D332">
        <v>560.72500000000002</v>
      </c>
      <c r="E332">
        <v>20.0532</v>
      </c>
      <c r="F332">
        <v>560.72500000000002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0.40771800000000002</v>
      </c>
      <c r="M332">
        <v>3</v>
      </c>
      <c r="N332">
        <v>0</v>
      </c>
      <c r="O332" s="7" t="s">
        <v>28</v>
      </c>
      <c r="P332">
        <v>0.58989199999999997</v>
      </c>
      <c r="Q332" s="7" t="s">
        <v>28</v>
      </c>
      <c r="R332">
        <v>0</v>
      </c>
      <c r="S332">
        <v>0</v>
      </c>
      <c r="T332">
        <v>0</v>
      </c>
      <c r="U332">
        <v>0.58989199999999997</v>
      </c>
    </row>
    <row r="333" spans="1:21" x14ac:dyDescent="0.25">
      <c r="A333">
        <v>332</v>
      </c>
      <c r="B333">
        <v>314548343</v>
      </c>
      <c r="C333" s="7" t="s">
        <v>70</v>
      </c>
      <c r="D333">
        <v>560.72500000000002</v>
      </c>
      <c r="E333">
        <v>20.0532</v>
      </c>
      <c r="F333">
        <v>560.72500000000002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0.36036200000000002</v>
      </c>
      <c r="M333">
        <v>3</v>
      </c>
      <c r="N333">
        <v>0</v>
      </c>
      <c r="O333" s="7" t="s">
        <v>28</v>
      </c>
      <c r="P333">
        <v>0.36694700000000002</v>
      </c>
      <c r="Q333" s="7" t="s">
        <v>28</v>
      </c>
      <c r="R333">
        <v>0</v>
      </c>
      <c r="S333">
        <v>0</v>
      </c>
      <c r="T333">
        <v>0</v>
      </c>
      <c r="U333">
        <v>0.36694700000000002</v>
      </c>
    </row>
    <row r="334" spans="1:21" x14ac:dyDescent="0.25">
      <c r="A334">
        <v>333</v>
      </c>
      <c r="B334">
        <v>153685163</v>
      </c>
      <c r="C334" s="7" t="s">
        <v>70</v>
      </c>
      <c r="D334">
        <v>560.72500000000002</v>
      </c>
      <c r="E334">
        <v>20.473800000000001</v>
      </c>
      <c r="F334">
        <v>560.72500000000002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3</v>
      </c>
      <c r="N334">
        <v>0</v>
      </c>
      <c r="O334" s="7" t="s">
        <v>28</v>
      </c>
      <c r="P334">
        <v>0.32432499999999997</v>
      </c>
      <c r="Q334" s="7" t="s">
        <v>28</v>
      </c>
      <c r="R334">
        <v>0</v>
      </c>
      <c r="S334">
        <v>0</v>
      </c>
      <c r="T334">
        <v>0</v>
      </c>
      <c r="U334">
        <v>0.32432499999999997</v>
      </c>
    </row>
    <row r="335" spans="1:21" x14ac:dyDescent="0.25">
      <c r="A335">
        <v>334</v>
      </c>
      <c r="B335">
        <v>688105255</v>
      </c>
      <c r="C335" s="7" t="s">
        <v>70</v>
      </c>
      <c r="D335">
        <v>560.72500000000002</v>
      </c>
      <c r="E335">
        <v>20.473800000000001</v>
      </c>
      <c r="F335">
        <v>560.72500000000002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3</v>
      </c>
      <c r="N335">
        <v>0</v>
      </c>
      <c r="O335" s="7" t="s">
        <v>28</v>
      </c>
      <c r="P335">
        <v>0</v>
      </c>
      <c r="Q335" s="7" t="s">
        <v>28</v>
      </c>
      <c r="R335">
        <v>0</v>
      </c>
      <c r="S335">
        <v>0</v>
      </c>
      <c r="T335">
        <v>0</v>
      </c>
      <c r="U335">
        <v>0</v>
      </c>
    </row>
    <row r="336" spans="1:21" x14ac:dyDescent="0.25">
      <c r="A336">
        <v>335</v>
      </c>
      <c r="B336">
        <v>785501945</v>
      </c>
      <c r="C336" s="7" t="s">
        <v>70</v>
      </c>
      <c r="D336">
        <v>560.72500000000002</v>
      </c>
      <c r="E336">
        <v>21.89</v>
      </c>
      <c r="F336">
        <v>560.72500000000002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2.0035599999999998</v>
      </c>
      <c r="M336">
        <v>3</v>
      </c>
      <c r="N336">
        <v>0</v>
      </c>
      <c r="O336" s="7" t="s">
        <v>28</v>
      </c>
      <c r="P336">
        <v>0</v>
      </c>
      <c r="Q336" s="7" t="s">
        <v>28</v>
      </c>
      <c r="R336">
        <v>0</v>
      </c>
      <c r="S336">
        <v>0</v>
      </c>
      <c r="T336">
        <v>0</v>
      </c>
      <c r="U336">
        <v>0</v>
      </c>
    </row>
    <row r="337" spans="1:21" x14ac:dyDescent="0.25">
      <c r="A337">
        <v>336</v>
      </c>
      <c r="B337">
        <v>821573238</v>
      </c>
      <c r="C337" s="7" t="s">
        <v>70</v>
      </c>
      <c r="D337">
        <v>568.68100000000004</v>
      </c>
      <c r="E337">
        <v>21.89</v>
      </c>
      <c r="F337">
        <v>570.66999999999996</v>
      </c>
      <c r="G337">
        <v>0</v>
      </c>
      <c r="H337">
        <v>9.9450199999999995</v>
      </c>
      <c r="I337">
        <v>0.5</v>
      </c>
      <c r="J337">
        <v>0.5</v>
      </c>
      <c r="K337">
        <v>0</v>
      </c>
      <c r="L337">
        <v>0.95097799999999999</v>
      </c>
      <c r="M337">
        <v>3</v>
      </c>
      <c r="N337">
        <v>0</v>
      </c>
      <c r="O337" s="7" t="s">
        <v>28</v>
      </c>
      <c r="P337">
        <v>0.80320800000000003</v>
      </c>
      <c r="Q337" s="7" t="s">
        <v>129</v>
      </c>
      <c r="R337">
        <v>0</v>
      </c>
      <c r="S337">
        <v>0</v>
      </c>
      <c r="T337">
        <v>1</v>
      </c>
      <c r="U337">
        <v>1.80321</v>
      </c>
    </row>
    <row r="338" spans="1:21" x14ac:dyDescent="0.25">
      <c r="A338">
        <v>337</v>
      </c>
      <c r="B338">
        <v>954212337</v>
      </c>
      <c r="C338" s="7" t="s">
        <v>70</v>
      </c>
      <c r="D338">
        <v>570.60500000000002</v>
      </c>
      <c r="E338">
        <v>21.89</v>
      </c>
      <c r="F338">
        <v>571.08500000000004</v>
      </c>
      <c r="G338">
        <v>0</v>
      </c>
      <c r="H338">
        <v>2.3970500000000001</v>
      </c>
      <c r="I338">
        <v>0.5</v>
      </c>
      <c r="J338">
        <v>0.155502</v>
      </c>
      <c r="K338">
        <v>0.33760800000000002</v>
      </c>
      <c r="L338">
        <v>0</v>
      </c>
      <c r="M338">
        <v>3</v>
      </c>
      <c r="N338">
        <v>0</v>
      </c>
      <c r="O338" s="7" t="s">
        <v>28</v>
      </c>
      <c r="P338">
        <v>0.35587999999999997</v>
      </c>
      <c r="Q338" s="7" t="s">
        <v>129</v>
      </c>
      <c r="R338">
        <v>0</v>
      </c>
      <c r="S338">
        <v>0</v>
      </c>
      <c r="T338">
        <v>1</v>
      </c>
      <c r="U338">
        <v>1.35588</v>
      </c>
    </row>
    <row r="339" spans="1:21" x14ac:dyDescent="0.25">
      <c r="A339">
        <v>338</v>
      </c>
      <c r="B339">
        <v>586670474</v>
      </c>
      <c r="C339" s="7" t="s">
        <v>70</v>
      </c>
      <c r="D339">
        <v>583.97299999999996</v>
      </c>
      <c r="E339">
        <v>21.142600000000002</v>
      </c>
      <c r="F339">
        <v>587.31500000000005</v>
      </c>
      <c r="G339">
        <v>0</v>
      </c>
      <c r="H339">
        <v>16.709199999999999</v>
      </c>
      <c r="I339">
        <v>0.5</v>
      </c>
      <c r="J339">
        <v>0.83760800000000002</v>
      </c>
      <c r="K339">
        <v>0</v>
      </c>
      <c r="L339">
        <v>0.54327599999999998</v>
      </c>
      <c r="M339">
        <v>3</v>
      </c>
      <c r="N339">
        <v>0</v>
      </c>
      <c r="O339" s="7" t="s">
        <v>28</v>
      </c>
      <c r="P339">
        <v>0</v>
      </c>
      <c r="Q339" s="7" t="s">
        <v>129</v>
      </c>
      <c r="R339">
        <v>0</v>
      </c>
      <c r="S339">
        <v>0</v>
      </c>
      <c r="T339">
        <v>1</v>
      </c>
      <c r="U339">
        <v>0.19615299999999999</v>
      </c>
    </row>
    <row r="340" spans="1:21" x14ac:dyDescent="0.25">
      <c r="A340">
        <v>339</v>
      </c>
      <c r="B340">
        <v>89298551</v>
      </c>
      <c r="C340" s="7" t="s">
        <v>70</v>
      </c>
      <c r="D340">
        <v>591.63</v>
      </c>
      <c r="E340">
        <v>21.142600000000002</v>
      </c>
      <c r="F340">
        <v>593.54399999999998</v>
      </c>
      <c r="G340">
        <v>0</v>
      </c>
      <c r="H340">
        <v>9.5712799999999998</v>
      </c>
      <c r="I340">
        <v>0.5</v>
      </c>
      <c r="J340">
        <v>0.5</v>
      </c>
      <c r="K340">
        <v>0</v>
      </c>
      <c r="L340">
        <v>0.330181</v>
      </c>
      <c r="M340">
        <v>3</v>
      </c>
      <c r="N340">
        <v>0</v>
      </c>
      <c r="O340" s="7" t="s">
        <v>28</v>
      </c>
      <c r="P340">
        <v>0</v>
      </c>
      <c r="Q340" s="7" t="s">
        <v>129</v>
      </c>
      <c r="R340">
        <v>0</v>
      </c>
      <c r="S340">
        <v>0</v>
      </c>
      <c r="T340">
        <v>1</v>
      </c>
      <c r="U340">
        <v>0.98894899999999997</v>
      </c>
    </row>
    <row r="341" spans="1:21" x14ac:dyDescent="0.25">
      <c r="A341">
        <v>340</v>
      </c>
      <c r="B341">
        <v>534840130</v>
      </c>
      <c r="C341" s="7" t="s">
        <v>70</v>
      </c>
      <c r="D341">
        <v>590.63</v>
      </c>
      <c r="E341">
        <v>21.142600000000002</v>
      </c>
      <c r="F341">
        <v>590.63</v>
      </c>
      <c r="G341">
        <v>0</v>
      </c>
      <c r="H341">
        <v>-1.01</v>
      </c>
      <c r="I341">
        <v>0.5</v>
      </c>
      <c r="J341">
        <v>0</v>
      </c>
      <c r="K341">
        <v>0.49</v>
      </c>
      <c r="L341">
        <v>0</v>
      </c>
      <c r="M341">
        <v>3</v>
      </c>
      <c r="N341">
        <v>0</v>
      </c>
      <c r="O341" s="7" t="s">
        <v>28</v>
      </c>
      <c r="P341">
        <v>0</v>
      </c>
      <c r="Q341" s="7" t="s">
        <v>129</v>
      </c>
      <c r="R341">
        <v>0</v>
      </c>
      <c r="S341">
        <v>0</v>
      </c>
      <c r="T341">
        <v>1</v>
      </c>
      <c r="U341">
        <v>0.79716299999999995</v>
      </c>
    </row>
    <row r="342" spans="1:21" x14ac:dyDescent="0.25">
      <c r="A342">
        <v>341</v>
      </c>
      <c r="B342">
        <v>241377480</v>
      </c>
      <c r="C342" s="7" t="s">
        <v>70</v>
      </c>
      <c r="D342">
        <v>592.88</v>
      </c>
      <c r="E342">
        <v>21.142600000000002</v>
      </c>
      <c r="F342">
        <v>593.43899999999996</v>
      </c>
      <c r="G342">
        <v>0</v>
      </c>
      <c r="H342">
        <v>2.7932800000000002</v>
      </c>
      <c r="I342">
        <v>0.5</v>
      </c>
      <c r="J342">
        <v>0.18018100000000001</v>
      </c>
      <c r="K342">
        <v>0.79362299999999997</v>
      </c>
      <c r="L342">
        <v>0</v>
      </c>
      <c r="M342">
        <v>3</v>
      </c>
      <c r="N342">
        <v>0</v>
      </c>
      <c r="O342" s="7" t="s">
        <v>28</v>
      </c>
      <c r="P342">
        <v>0</v>
      </c>
      <c r="Q342" s="7" t="s">
        <v>129</v>
      </c>
      <c r="R342">
        <v>0</v>
      </c>
      <c r="S342">
        <v>0</v>
      </c>
      <c r="T342">
        <v>1</v>
      </c>
      <c r="U342">
        <v>5.8999999999999997E-2</v>
      </c>
    </row>
    <row r="343" spans="1:21" x14ac:dyDescent="0.25">
      <c r="A343">
        <v>342</v>
      </c>
      <c r="B343">
        <v>167270613</v>
      </c>
      <c r="C343" s="7" t="s">
        <v>70</v>
      </c>
      <c r="D343">
        <v>597.45399999999995</v>
      </c>
      <c r="E343">
        <v>21.142600000000002</v>
      </c>
      <c r="F343">
        <v>598.59500000000003</v>
      </c>
      <c r="G343">
        <v>0</v>
      </c>
      <c r="H343">
        <v>5.7037399999999998</v>
      </c>
      <c r="I343">
        <v>0</v>
      </c>
      <c r="J343">
        <v>0.27027000000000001</v>
      </c>
      <c r="K343">
        <v>0.51288599999999995</v>
      </c>
      <c r="L343">
        <v>0</v>
      </c>
      <c r="M343">
        <v>3</v>
      </c>
      <c r="N343">
        <v>0</v>
      </c>
      <c r="O343" s="7" t="s">
        <v>28</v>
      </c>
      <c r="P343">
        <v>0</v>
      </c>
      <c r="Q343" s="7" t="s">
        <v>28</v>
      </c>
      <c r="R343">
        <v>0</v>
      </c>
      <c r="S343">
        <v>0</v>
      </c>
      <c r="T343">
        <v>0</v>
      </c>
      <c r="U343">
        <v>0</v>
      </c>
    </row>
    <row r="344" spans="1:21" x14ac:dyDescent="0.25">
      <c r="A344">
        <v>343</v>
      </c>
      <c r="B344">
        <v>573489589</v>
      </c>
      <c r="C344" s="7" t="s">
        <v>70</v>
      </c>
      <c r="D344">
        <v>597.45399999999995</v>
      </c>
      <c r="E344">
        <v>21.142600000000002</v>
      </c>
      <c r="F344">
        <v>597.45399999999995</v>
      </c>
      <c r="G344">
        <v>0</v>
      </c>
      <c r="H344">
        <v>-1.02577E-2</v>
      </c>
      <c r="I344">
        <v>0</v>
      </c>
      <c r="J344">
        <v>0</v>
      </c>
      <c r="K344">
        <v>0.50262799999999996</v>
      </c>
      <c r="L344">
        <v>0</v>
      </c>
      <c r="M344">
        <v>3</v>
      </c>
      <c r="N344">
        <v>0</v>
      </c>
      <c r="O344" s="7" t="s">
        <v>28</v>
      </c>
      <c r="P344">
        <v>0</v>
      </c>
      <c r="Q344" s="7" t="s">
        <v>28</v>
      </c>
      <c r="R344">
        <v>0</v>
      </c>
      <c r="S344">
        <v>0</v>
      </c>
      <c r="T344">
        <v>0</v>
      </c>
      <c r="U344">
        <v>0</v>
      </c>
    </row>
    <row r="345" spans="1:21" x14ac:dyDescent="0.25">
      <c r="A345">
        <v>344</v>
      </c>
      <c r="B345">
        <v>145372314</v>
      </c>
      <c r="C345" s="7" t="s">
        <v>70</v>
      </c>
      <c r="D345">
        <v>605.95500000000004</v>
      </c>
      <c r="E345">
        <v>21.142600000000002</v>
      </c>
      <c r="F345">
        <v>608.08100000000002</v>
      </c>
      <c r="G345">
        <v>0</v>
      </c>
      <c r="H345">
        <v>10.626799999999999</v>
      </c>
      <c r="I345">
        <v>0</v>
      </c>
      <c r="J345">
        <v>0.50262799999999996</v>
      </c>
      <c r="K345">
        <v>0</v>
      </c>
      <c r="L345">
        <v>1.1561300000000001</v>
      </c>
      <c r="M345">
        <v>3</v>
      </c>
      <c r="N345">
        <v>0</v>
      </c>
      <c r="O345" s="7" t="s">
        <v>28</v>
      </c>
      <c r="P345">
        <v>0</v>
      </c>
      <c r="Q345" s="7" t="s">
        <v>28</v>
      </c>
      <c r="R345">
        <v>0</v>
      </c>
      <c r="S345">
        <v>0</v>
      </c>
      <c r="T345">
        <v>0</v>
      </c>
      <c r="U345">
        <v>0</v>
      </c>
    </row>
    <row r="346" spans="1:21" x14ac:dyDescent="0.25">
      <c r="A346">
        <v>345</v>
      </c>
      <c r="B346">
        <v>148494787</v>
      </c>
      <c r="C346" s="7" t="s">
        <v>70</v>
      </c>
      <c r="D346">
        <v>614.17899999999997</v>
      </c>
      <c r="E346">
        <v>22.558599999999998</v>
      </c>
      <c r="F346">
        <v>616.23500000000001</v>
      </c>
      <c r="G346">
        <v>0</v>
      </c>
      <c r="H346">
        <v>10.279299999999999</v>
      </c>
      <c r="I346">
        <v>0.5</v>
      </c>
      <c r="J346">
        <v>0.5</v>
      </c>
      <c r="K346">
        <v>0</v>
      </c>
      <c r="L346">
        <v>0.468999</v>
      </c>
      <c r="M346">
        <v>3</v>
      </c>
      <c r="N346">
        <v>0</v>
      </c>
      <c r="O346" s="7" t="s">
        <v>28</v>
      </c>
      <c r="P346">
        <v>4.0514500000000002E-2</v>
      </c>
      <c r="Q346" s="7" t="s">
        <v>130</v>
      </c>
      <c r="R346">
        <v>0</v>
      </c>
      <c r="S346">
        <v>0</v>
      </c>
      <c r="T346">
        <v>1</v>
      </c>
      <c r="U346">
        <v>1.04051</v>
      </c>
    </row>
    <row r="347" spans="1:21" x14ac:dyDescent="0.25">
      <c r="A347">
        <v>346</v>
      </c>
      <c r="B347">
        <v>242648219</v>
      </c>
      <c r="C347" s="7" t="s">
        <v>70</v>
      </c>
      <c r="D347">
        <v>613.17899999999997</v>
      </c>
      <c r="E347">
        <v>22.558599999999998</v>
      </c>
      <c r="F347">
        <v>613.17899999999997</v>
      </c>
      <c r="G347">
        <v>0</v>
      </c>
      <c r="H347">
        <v>-1.01</v>
      </c>
      <c r="I347">
        <v>0.5</v>
      </c>
      <c r="J347">
        <v>0</v>
      </c>
      <c r="K347">
        <v>0.49</v>
      </c>
      <c r="L347">
        <v>0</v>
      </c>
      <c r="M347">
        <v>3</v>
      </c>
      <c r="N347">
        <v>0</v>
      </c>
      <c r="O347" s="7" t="s">
        <v>28</v>
      </c>
      <c r="P347">
        <v>0</v>
      </c>
      <c r="Q347" s="7" t="s">
        <v>130</v>
      </c>
      <c r="R347">
        <v>0</v>
      </c>
      <c r="S347">
        <v>0</v>
      </c>
      <c r="T347">
        <v>1</v>
      </c>
      <c r="U347">
        <v>0.922099</v>
      </c>
    </row>
    <row r="348" spans="1:21" x14ac:dyDescent="0.25">
      <c r="A348">
        <v>347</v>
      </c>
      <c r="B348">
        <v>787420277</v>
      </c>
      <c r="C348" s="7" t="s">
        <v>70</v>
      </c>
      <c r="D348">
        <v>612.17899999999997</v>
      </c>
      <c r="E348">
        <v>22.363299999999999</v>
      </c>
      <c r="F348">
        <v>612.17899999999997</v>
      </c>
      <c r="G348">
        <v>0</v>
      </c>
      <c r="H348">
        <v>-1.0198</v>
      </c>
      <c r="I348">
        <v>0.5</v>
      </c>
      <c r="J348">
        <v>0</v>
      </c>
      <c r="K348">
        <v>0.97019999999999995</v>
      </c>
      <c r="L348">
        <v>0</v>
      </c>
      <c r="M348">
        <v>3</v>
      </c>
      <c r="N348">
        <v>0</v>
      </c>
      <c r="O348" s="7" t="s">
        <v>28</v>
      </c>
      <c r="P348">
        <v>0</v>
      </c>
      <c r="Q348" s="7" t="s">
        <v>130</v>
      </c>
      <c r="R348">
        <v>0</v>
      </c>
      <c r="S348">
        <v>0</v>
      </c>
      <c r="T348">
        <v>1</v>
      </c>
      <c r="U348">
        <v>5.8999999999999997E-2</v>
      </c>
    </row>
    <row r="349" spans="1:21" x14ac:dyDescent="0.25">
      <c r="A349">
        <v>348</v>
      </c>
      <c r="B349">
        <v>931893696</v>
      </c>
      <c r="C349" s="7" t="s">
        <v>70</v>
      </c>
      <c r="D349">
        <v>629.53599999999994</v>
      </c>
      <c r="E349">
        <v>22.363299999999999</v>
      </c>
      <c r="F349">
        <v>633.87599999999998</v>
      </c>
      <c r="G349">
        <v>0</v>
      </c>
      <c r="H349">
        <v>21.696899999999999</v>
      </c>
      <c r="I349">
        <v>0</v>
      </c>
      <c r="J349">
        <v>0.97019999999999995</v>
      </c>
      <c r="K349">
        <v>0</v>
      </c>
      <c r="L349">
        <v>0</v>
      </c>
      <c r="M349">
        <v>3</v>
      </c>
      <c r="N349">
        <v>0</v>
      </c>
      <c r="O349" s="7" t="s">
        <v>28</v>
      </c>
      <c r="P349">
        <v>0</v>
      </c>
      <c r="Q349" s="7" t="s">
        <v>28</v>
      </c>
      <c r="R349">
        <v>0</v>
      </c>
      <c r="S349">
        <v>0</v>
      </c>
      <c r="T349">
        <v>0</v>
      </c>
      <c r="U349">
        <v>0</v>
      </c>
    </row>
    <row r="350" spans="1:21" x14ac:dyDescent="0.25">
      <c r="A350">
        <v>349</v>
      </c>
      <c r="B350">
        <v>374164145</v>
      </c>
      <c r="C350" s="7" t="s">
        <v>70</v>
      </c>
      <c r="D350">
        <v>629.53599999999994</v>
      </c>
      <c r="E350">
        <v>23.585100000000001</v>
      </c>
      <c r="F350">
        <v>629.53599999999994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3</v>
      </c>
      <c r="N350">
        <v>0</v>
      </c>
      <c r="O350" s="7" t="s">
        <v>28</v>
      </c>
      <c r="P350">
        <v>0</v>
      </c>
      <c r="Q350" s="7" t="s">
        <v>28</v>
      </c>
      <c r="R350">
        <v>0</v>
      </c>
      <c r="S350">
        <v>0</v>
      </c>
      <c r="T350">
        <v>0</v>
      </c>
      <c r="U350">
        <v>0</v>
      </c>
    </row>
    <row r="351" spans="1:21" x14ac:dyDescent="0.25">
      <c r="A351">
        <v>350</v>
      </c>
      <c r="B351">
        <v>928000801</v>
      </c>
      <c r="C351" s="7" t="s">
        <v>70</v>
      </c>
      <c r="D351">
        <v>629.53599999999994</v>
      </c>
      <c r="E351">
        <v>23.585100000000001</v>
      </c>
      <c r="F351">
        <v>629.53599999999994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0.43806899999999999</v>
      </c>
      <c r="M351">
        <v>3</v>
      </c>
      <c r="N351">
        <v>0</v>
      </c>
      <c r="O351" s="7" t="s">
        <v>28</v>
      </c>
      <c r="P351">
        <v>0</v>
      </c>
      <c r="Q351" s="7" t="s">
        <v>28</v>
      </c>
      <c r="R351">
        <v>0</v>
      </c>
      <c r="S351">
        <v>0</v>
      </c>
      <c r="T351">
        <v>0</v>
      </c>
      <c r="U351">
        <v>0</v>
      </c>
    </row>
    <row r="352" spans="1:21" x14ac:dyDescent="0.25">
      <c r="A352">
        <v>351</v>
      </c>
      <c r="B352">
        <v>264926215</v>
      </c>
      <c r="C352" s="7" t="s">
        <v>70</v>
      </c>
      <c r="D352">
        <v>629.53599999999994</v>
      </c>
      <c r="E352">
        <v>23.585100000000001</v>
      </c>
      <c r="F352">
        <v>629.53599999999994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3</v>
      </c>
      <c r="N352">
        <v>0</v>
      </c>
      <c r="O352" s="7" t="s">
        <v>28</v>
      </c>
      <c r="P352">
        <v>0.394262</v>
      </c>
      <c r="Q352" s="7" t="s">
        <v>28</v>
      </c>
      <c r="R352">
        <v>0</v>
      </c>
      <c r="S352">
        <v>0</v>
      </c>
      <c r="T352">
        <v>0</v>
      </c>
      <c r="U352">
        <v>0.394262</v>
      </c>
    </row>
    <row r="353" spans="1:21" x14ac:dyDescent="0.25">
      <c r="A353">
        <v>352</v>
      </c>
      <c r="B353">
        <v>219710849</v>
      </c>
      <c r="C353" s="7" t="s">
        <v>70</v>
      </c>
      <c r="D353">
        <v>629.53599999999994</v>
      </c>
      <c r="E353">
        <v>24.698799999999999</v>
      </c>
      <c r="F353">
        <v>629.53599999999994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3</v>
      </c>
      <c r="N353">
        <v>0</v>
      </c>
      <c r="O353" s="7" t="s">
        <v>28</v>
      </c>
      <c r="P353">
        <v>0</v>
      </c>
      <c r="Q353" s="7" t="s">
        <v>28</v>
      </c>
      <c r="R353">
        <v>0</v>
      </c>
      <c r="S353">
        <v>0</v>
      </c>
      <c r="T353">
        <v>0</v>
      </c>
      <c r="U353">
        <v>0</v>
      </c>
    </row>
    <row r="354" spans="1:21" x14ac:dyDescent="0.25">
      <c r="A354">
        <v>353</v>
      </c>
      <c r="B354">
        <v>64860405</v>
      </c>
      <c r="C354" s="7" t="s">
        <v>70</v>
      </c>
      <c r="D354">
        <v>629.53599999999994</v>
      </c>
      <c r="E354">
        <v>24.698799999999999</v>
      </c>
      <c r="F354">
        <v>629.53599999999994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0.60210200000000003</v>
      </c>
      <c r="M354">
        <v>3</v>
      </c>
      <c r="N354">
        <v>0</v>
      </c>
      <c r="O354" s="7" t="s">
        <v>28</v>
      </c>
      <c r="P354">
        <v>0</v>
      </c>
      <c r="Q354" s="7" t="s">
        <v>28</v>
      </c>
      <c r="R354">
        <v>0</v>
      </c>
      <c r="S354">
        <v>0</v>
      </c>
      <c r="T354">
        <v>0</v>
      </c>
      <c r="U354">
        <v>0</v>
      </c>
    </row>
    <row r="355" spans="1:21" x14ac:dyDescent="0.25">
      <c r="A355">
        <v>354</v>
      </c>
      <c r="B355">
        <v>913204943</v>
      </c>
      <c r="C355" s="7" t="s">
        <v>70</v>
      </c>
      <c r="D355">
        <v>629.53599999999994</v>
      </c>
      <c r="E355">
        <v>24.698799999999999</v>
      </c>
      <c r="F355">
        <v>629.53599999999994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3</v>
      </c>
      <c r="N355">
        <v>0</v>
      </c>
      <c r="O355" s="7" t="s">
        <v>28</v>
      </c>
      <c r="P355">
        <v>0.54189200000000004</v>
      </c>
      <c r="Q355" s="7" t="s">
        <v>28</v>
      </c>
      <c r="R355">
        <v>0</v>
      </c>
      <c r="S355">
        <v>0</v>
      </c>
      <c r="T355">
        <v>0</v>
      </c>
      <c r="U355">
        <v>0.54189200000000004</v>
      </c>
    </row>
    <row r="356" spans="1:21" x14ac:dyDescent="0.25">
      <c r="A356">
        <v>355</v>
      </c>
      <c r="B356">
        <v>918431205</v>
      </c>
      <c r="C356" s="7" t="s">
        <v>70</v>
      </c>
      <c r="D356">
        <v>629.53599999999994</v>
      </c>
      <c r="E356">
        <v>24.698799999999999</v>
      </c>
      <c r="F356">
        <v>629.53599999999994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3</v>
      </c>
      <c r="N356">
        <v>0</v>
      </c>
      <c r="O356" s="7" t="s">
        <v>28</v>
      </c>
      <c r="P356">
        <v>0</v>
      </c>
      <c r="Q356" s="7" t="s">
        <v>28</v>
      </c>
      <c r="R356">
        <v>0</v>
      </c>
      <c r="S356">
        <v>0</v>
      </c>
      <c r="T356">
        <v>0</v>
      </c>
      <c r="U356">
        <v>0</v>
      </c>
    </row>
    <row r="357" spans="1:21" x14ac:dyDescent="0.25">
      <c r="A357">
        <v>356</v>
      </c>
      <c r="B357">
        <v>382940412</v>
      </c>
      <c r="C357" s="7" t="s">
        <v>70</v>
      </c>
      <c r="D357">
        <v>629.53599999999994</v>
      </c>
      <c r="E357">
        <v>24.698799999999999</v>
      </c>
      <c r="F357">
        <v>629.53599999999994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1.7073499999999999</v>
      </c>
      <c r="M357">
        <v>3</v>
      </c>
      <c r="N357">
        <v>0</v>
      </c>
      <c r="O357" s="7" t="s">
        <v>28</v>
      </c>
      <c r="P357">
        <v>0</v>
      </c>
      <c r="Q357" s="7" t="s">
        <v>28</v>
      </c>
      <c r="R357">
        <v>0</v>
      </c>
      <c r="S357">
        <v>0</v>
      </c>
      <c r="T357">
        <v>0</v>
      </c>
      <c r="U357">
        <v>0</v>
      </c>
    </row>
    <row r="358" spans="1:21" x14ac:dyDescent="0.25">
      <c r="A358">
        <v>357</v>
      </c>
      <c r="B358">
        <v>496851344</v>
      </c>
      <c r="C358" s="7" t="s">
        <v>70</v>
      </c>
      <c r="D358">
        <v>628.53599999999994</v>
      </c>
      <c r="E358">
        <v>24.698799999999999</v>
      </c>
      <c r="F358">
        <v>628.53599999999994</v>
      </c>
      <c r="G358">
        <v>0</v>
      </c>
      <c r="H358">
        <v>-1.01</v>
      </c>
      <c r="I358">
        <v>0.5</v>
      </c>
      <c r="J358">
        <v>0</v>
      </c>
      <c r="K358">
        <v>0.49</v>
      </c>
      <c r="L358">
        <v>0</v>
      </c>
      <c r="M358">
        <v>3</v>
      </c>
      <c r="N358">
        <v>0</v>
      </c>
      <c r="O358" s="7" t="s">
        <v>28</v>
      </c>
      <c r="P358">
        <v>0.53661400000000004</v>
      </c>
      <c r="Q358" s="7" t="s">
        <v>131</v>
      </c>
      <c r="R358">
        <v>0</v>
      </c>
      <c r="S358">
        <v>0</v>
      </c>
      <c r="T358">
        <v>1</v>
      </c>
      <c r="U358">
        <v>1.53661</v>
      </c>
    </row>
    <row r="359" spans="1:21" x14ac:dyDescent="0.25">
      <c r="A359">
        <v>358</v>
      </c>
      <c r="B359">
        <v>189440161</v>
      </c>
      <c r="C359" s="7" t="s">
        <v>70</v>
      </c>
      <c r="D359">
        <v>645.70799999999997</v>
      </c>
      <c r="E359">
        <v>22.691500000000001</v>
      </c>
      <c r="F359">
        <v>650.00099999999998</v>
      </c>
      <c r="G359">
        <v>0</v>
      </c>
      <c r="H359">
        <v>21.464500000000001</v>
      </c>
      <c r="I359">
        <v>0.5</v>
      </c>
      <c r="J359">
        <v>0.99</v>
      </c>
      <c r="K359">
        <v>0</v>
      </c>
      <c r="L359">
        <v>0</v>
      </c>
      <c r="M359">
        <v>3</v>
      </c>
      <c r="N359">
        <v>0</v>
      </c>
      <c r="O359" s="7" t="s">
        <v>28</v>
      </c>
      <c r="P359">
        <v>0</v>
      </c>
      <c r="Q359" s="7" t="s">
        <v>131</v>
      </c>
      <c r="R359">
        <v>0</v>
      </c>
      <c r="S359">
        <v>0</v>
      </c>
      <c r="T359">
        <v>1</v>
      </c>
      <c r="U359">
        <v>5.8999999999999997E-2</v>
      </c>
    </row>
    <row r="360" spans="1:21" x14ac:dyDescent="0.25">
      <c r="A360">
        <v>359</v>
      </c>
      <c r="B360">
        <v>817008087</v>
      </c>
      <c r="C360" s="7" t="s">
        <v>70</v>
      </c>
      <c r="D360">
        <v>644.70799999999997</v>
      </c>
      <c r="E360">
        <v>23.1782</v>
      </c>
      <c r="F360">
        <v>644.70799999999997</v>
      </c>
      <c r="G360">
        <v>0</v>
      </c>
      <c r="H360">
        <v>-1.01</v>
      </c>
      <c r="I360">
        <v>0.5</v>
      </c>
      <c r="J360">
        <v>0</v>
      </c>
      <c r="K360">
        <v>0.49</v>
      </c>
      <c r="L360">
        <v>0</v>
      </c>
      <c r="M360">
        <v>3</v>
      </c>
      <c r="N360">
        <v>0</v>
      </c>
      <c r="O360" s="7" t="s">
        <v>28</v>
      </c>
      <c r="P360">
        <v>0</v>
      </c>
      <c r="Q360" s="7" t="s">
        <v>131</v>
      </c>
      <c r="R360">
        <v>0</v>
      </c>
      <c r="S360">
        <v>0</v>
      </c>
      <c r="T360">
        <v>1</v>
      </c>
      <c r="U360">
        <v>0.5</v>
      </c>
    </row>
    <row r="361" spans="1:21" x14ac:dyDescent="0.25">
      <c r="A361">
        <v>360</v>
      </c>
      <c r="B361">
        <v>709883471</v>
      </c>
      <c r="C361" s="7" t="s">
        <v>70</v>
      </c>
      <c r="D361">
        <v>662.26499999999999</v>
      </c>
      <c r="E361">
        <v>23.1782</v>
      </c>
      <c r="F361">
        <v>666.654</v>
      </c>
      <c r="G361">
        <v>0</v>
      </c>
      <c r="H361">
        <v>21.9465</v>
      </c>
      <c r="I361">
        <v>0.5</v>
      </c>
      <c r="J361">
        <v>0.99</v>
      </c>
      <c r="K361">
        <v>0</v>
      </c>
      <c r="L361">
        <v>0</v>
      </c>
      <c r="M361">
        <v>3</v>
      </c>
      <c r="N361">
        <v>0</v>
      </c>
      <c r="O361" s="7" t="s">
        <v>28</v>
      </c>
      <c r="P361">
        <v>0</v>
      </c>
      <c r="Q361" s="7" t="s">
        <v>131</v>
      </c>
      <c r="R361">
        <v>0</v>
      </c>
      <c r="S361">
        <v>0</v>
      </c>
      <c r="T361">
        <v>1</v>
      </c>
      <c r="U361">
        <v>5.8999999999999997E-2</v>
      </c>
    </row>
    <row r="362" spans="1:21" x14ac:dyDescent="0.25">
      <c r="A362">
        <v>361</v>
      </c>
      <c r="B362">
        <v>921828041</v>
      </c>
      <c r="C362" s="7" t="s">
        <v>70</v>
      </c>
      <c r="D362">
        <v>671.39</v>
      </c>
      <c r="E362">
        <v>24.8125</v>
      </c>
      <c r="F362">
        <v>673.67100000000005</v>
      </c>
      <c r="G362">
        <v>0</v>
      </c>
      <c r="H362">
        <v>11.4062</v>
      </c>
      <c r="I362">
        <v>0.5</v>
      </c>
      <c r="J362">
        <v>0.5</v>
      </c>
      <c r="K362">
        <v>0</v>
      </c>
      <c r="L362">
        <v>0</v>
      </c>
      <c r="M362">
        <v>3</v>
      </c>
      <c r="N362">
        <v>0</v>
      </c>
      <c r="O362" s="7" t="s">
        <v>28</v>
      </c>
      <c r="P362">
        <v>0</v>
      </c>
      <c r="Q362" s="7" t="s">
        <v>131</v>
      </c>
      <c r="R362">
        <v>0</v>
      </c>
      <c r="S362">
        <v>0</v>
      </c>
      <c r="T362">
        <v>1</v>
      </c>
      <c r="U362">
        <v>0.5</v>
      </c>
    </row>
    <row r="363" spans="1:21" x14ac:dyDescent="0.25">
      <c r="A363">
        <v>362</v>
      </c>
      <c r="B363">
        <v>582853247</v>
      </c>
      <c r="C363" s="7" t="s">
        <v>70</v>
      </c>
      <c r="D363">
        <v>681.072</v>
      </c>
      <c r="E363">
        <v>26.205400000000001</v>
      </c>
      <c r="F363">
        <v>683.49300000000005</v>
      </c>
      <c r="G363">
        <v>0</v>
      </c>
      <c r="H363">
        <v>12.1027</v>
      </c>
      <c r="I363">
        <v>0.5</v>
      </c>
      <c r="J363">
        <v>0.5</v>
      </c>
      <c r="K363">
        <v>0</v>
      </c>
      <c r="L363">
        <v>1.0865499999999999</v>
      </c>
      <c r="M363">
        <v>3</v>
      </c>
      <c r="N363">
        <v>0</v>
      </c>
      <c r="O363" s="7" t="s">
        <v>28</v>
      </c>
      <c r="P363">
        <v>0</v>
      </c>
      <c r="Q363" s="7" t="s">
        <v>131</v>
      </c>
      <c r="R363">
        <v>0</v>
      </c>
      <c r="S363">
        <v>0</v>
      </c>
      <c r="T363">
        <v>1</v>
      </c>
      <c r="U363">
        <v>0.5</v>
      </c>
    </row>
    <row r="364" spans="1:21" x14ac:dyDescent="0.25">
      <c r="A364">
        <v>363</v>
      </c>
      <c r="B364">
        <v>195169261</v>
      </c>
      <c r="C364" s="7" t="s">
        <v>70</v>
      </c>
      <c r="D364">
        <v>690.755</v>
      </c>
      <c r="E364">
        <v>26.205400000000001</v>
      </c>
      <c r="F364">
        <v>693.17499999999995</v>
      </c>
      <c r="G364">
        <v>0</v>
      </c>
      <c r="H364">
        <v>12.1027</v>
      </c>
      <c r="I364">
        <v>0.5</v>
      </c>
      <c r="J364">
        <v>0.5</v>
      </c>
      <c r="K364">
        <v>0</v>
      </c>
      <c r="L364">
        <v>0.24063399999999999</v>
      </c>
      <c r="M364">
        <v>3</v>
      </c>
      <c r="N364">
        <v>0</v>
      </c>
      <c r="O364" s="7" t="s">
        <v>28</v>
      </c>
      <c r="P364">
        <v>0.47789199999999998</v>
      </c>
      <c r="Q364" s="7" t="s">
        <v>131</v>
      </c>
      <c r="R364">
        <v>0</v>
      </c>
      <c r="S364">
        <v>0</v>
      </c>
      <c r="T364">
        <v>1</v>
      </c>
      <c r="U364">
        <v>1.4778899999999999</v>
      </c>
    </row>
    <row r="365" spans="1:21" x14ac:dyDescent="0.25">
      <c r="A365">
        <v>364</v>
      </c>
      <c r="B365">
        <v>863256402</v>
      </c>
      <c r="C365" s="7" t="s">
        <v>70</v>
      </c>
      <c r="D365">
        <v>696.25900000000001</v>
      </c>
      <c r="E365">
        <v>26.205400000000001</v>
      </c>
      <c r="F365">
        <v>697.63400000000001</v>
      </c>
      <c r="G365">
        <v>0</v>
      </c>
      <c r="H365">
        <v>6.8758499999999998</v>
      </c>
      <c r="I365">
        <v>0.5</v>
      </c>
      <c r="J365">
        <v>0.30069499999999999</v>
      </c>
      <c r="K365">
        <v>0.19531899999999999</v>
      </c>
      <c r="L365">
        <v>0</v>
      </c>
      <c r="M365">
        <v>3</v>
      </c>
      <c r="N365">
        <v>0</v>
      </c>
      <c r="O365" s="7" t="s">
        <v>28</v>
      </c>
      <c r="P365">
        <v>0</v>
      </c>
      <c r="Q365" s="7" t="s">
        <v>131</v>
      </c>
      <c r="R365">
        <v>0</v>
      </c>
      <c r="S365">
        <v>0</v>
      </c>
      <c r="T365">
        <v>1</v>
      </c>
      <c r="U365">
        <v>0.71657099999999996</v>
      </c>
    </row>
    <row r="366" spans="1:21" x14ac:dyDescent="0.25">
      <c r="A366">
        <v>365</v>
      </c>
      <c r="B366">
        <v>963113104</v>
      </c>
      <c r="C366" s="7" t="s">
        <v>70</v>
      </c>
      <c r="D366">
        <v>709.14</v>
      </c>
      <c r="E366">
        <v>24.594000000000001</v>
      </c>
      <c r="F366">
        <v>712.36</v>
      </c>
      <c r="G366">
        <v>0</v>
      </c>
      <c r="H366">
        <v>16.1007</v>
      </c>
      <c r="I366">
        <v>0.5</v>
      </c>
      <c r="J366">
        <v>0.69531900000000002</v>
      </c>
      <c r="K366">
        <v>0</v>
      </c>
      <c r="L366">
        <v>0</v>
      </c>
      <c r="M366">
        <v>3</v>
      </c>
      <c r="N366">
        <v>0</v>
      </c>
      <c r="O366" s="7" t="s">
        <v>28</v>
      </c>
      <c r="P366">
        <v>0</v>
      </c>
      <c r="Q366" s="7" t="s">
        <v>131</v>
      </c>
      <c r="R366">
        <v>0</v>
      </c>
      <c r="S366">
        <v>0</v>
      </c>
      <c r="T366">
        <v>1</v>
      </c>
      <c r="U366">
        <v>0.32421299999999997</v>
      </c>
    </row>
    <row r="367" spans="1:21" x14ac:dyDescent="0.25">
      <c r="A367">
        <v>366</v>
      </c>
      <c r="B367">
        <v>431757026</v>
      </c>
      <c r="C367" s="7" t="s">
        <v>70</v>
      </c>
      <c r="D367">
        <v>708.14</v>
      </c>
      <c r="E367">
        <v>24.612200000000001</v>
      </c>
      <c r="F367">
        <v>708.14</v>
      </c>
      <c r="G367">
        <v>0</v>
      </c>
      <c r="H367">
        <v>-1.01</v>
      </c>
      <c r="I367">
        <v>0.5</v>
      </c>
      <c r="J367">
        <v>0</v>
      </c>
      <c r="K367">
        <v>0.49</v>
      </c>
      <c r="L367">
        <v>0</v>
      </c>
      <c r="M367">
        <v>3</v>
      </c>
      <c r="N367">
        <v>0</v>
      </c>
      <c r="O367" s="7" t="s">
        <v>28</v>
      </c>
      <c r="P367">
        <v>0</v>
      </c>
      <c r="Q367" s="7" t="s">
        <v>131</v>
      </c>
      <c r="R367">
        <v>0</v>
      </c>
      <c r="S367">
        <v>0</v>
      </c>
      <c r="T367">
        <v>1</v>
      </c>
      <c r="U367">
        <v>0.5</v>
      </c>
    </row>
    <row r="368" spans="1:21" x14ac:dyDescent="0.25">
      <c r="A368">
        <v>367</v>
      </c>
      <c r="B368">
        <v>296575919</v>
      </c>
      <c r="C368" s="7" t="s">
        <v>70</v>
      </c>
      <c r="D368">
        <v>707.14</v>
      </c>
      <c r="E368">
        <v>24.612200000000001</v>
      </c>
      <c r="F368">
        <v>707.14</v>
      </c>
      <c r="G368">
        <v>0</v>
      </c>
      <c r="H368">
        <v>-1.0198</v>
      </c>
      <c r="I368">
        <v>0.5</v>
      </c>
      <c r="J368">
        <v>0</v>
      </c>
      <c r="K368">
        <v>0.97019999999999995</v>
      </c>
      <c r="L368">
        <v>0</v>
      </c>
      <c r="M368">
        <v>3</v>
      </c>
      <c r="N368">
        <v>0</v>
      </c>
      <c r="O368" s="7" t="s">
        <v>28</v>
      </c>
      <c r="P368">
        <v>0</v>
      </c>
      <c r="Q368" s="7" t="s">
        <v>131</v>
      </c>
      <c r="R368">
        <v>0</v>
      </c>
      <c r="S368">
        <v>0</v>
      </c>
      <c r="T368">
        <v>1</v>
      </c>
      <c r="U368">
        <v>5.8999999999999997E-2</v>
      </c>
    </row>
    <row r="369" spans="1:21" x14ac:dyDescent="0.25">
      <c r="A369">
        <v>368</v>
      </c>
      <c r="B369">
        <v>346155792</v>
      </c>
      <c r="C369" s="7" t="s">
        <v>70</v>
      </c>
      <c r="D369">
        <v>726.24300000000005</v>
      </c>
      <c r="E369">
        <v>24.612200000000001</v>
      </c>
      <c r="F369">
        <v>731.01800000000003</v>
      </c>
      <c r="G369">
        <v>0</v>
      </c>
      <c r="H369">
        <v>23.878799999999998</v>
      </c>
      <c r="I369">
        <v>0</v>
      </c>
      <c r="J369">
        <v>0.97019999999999995</v>
      </c>
      <c r="K369">
        <v>0</v>
      </c>
      <c r="L369">
        <v>0.63065400000000005</v>
      </c>
      <c r="M369">
        <v>3</v>
      </c>
      <c r="N369">
        <v>0</v>
      </c>
      <c r="O369" s="7" t="s">
        <v>28</v>
      </c>
      <c r="P369">
        <v>0</v>
      </c>
      <c r="Q369" s="7" t="s">
        <v>28</v>
      </c>
      <c r="R369">
        <v>0</v>
      </c>
      <c r="S369">
        <v>0</v>
      </c>
      <c r="T369">
        <v>0</v>
      </c>
      <c r="U369">
        <v>0</v>
      </c>
    </row>
    <row r="370" spans="1:21" x14ac:dyDescent="0.25">
      <c r="A370">
        <v>369</v>
      </c>
      <c r="B370">
        <v>105543828</v>
      </c>
      <c r="C370" s="7" t="s">
        <v>70</v>
      </c>
      <c r="D370">
        <v>726.24300000000005</v>
      </c>
      <c r="E370">
        <v>25.363299999999999</v>
      </c>
      <c r="F370">
        <v>726.24300000000005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3</v>
      </c>
      <c r="N370">
        <v>0</v>
      </c>
      <c r="O370" s="7" t="s">
        <v>28</v>
      </c>
      <c r="P370">
        <v>0.56758799999999998</v>
      </c>
      <c r="Q370" s="7" t="s">
        <v>28</v>
      </c>
      <c r="R370">
        <v>0</v>
      </c>
      <c r="S370">
        <v>0</v>
      </c>
      <c r="T370">
        <v>0</v>
      </c>
      <c r="U370">
        <v>0.56758799999999998</v>
      </c>
    </row>
    <row r="371" spans="1:21" x14ac:dyDescent="0.25">
      <c r="A371">
        <v>370</v>
      </c>
      <c r="B371">
        <v>205450790</v>
      </c>
      <c r="C371" s="7" t="s">
        <v>70</v>
      </c>
      <c r="D371">
        <v>726.24300000000005</v>
      </c>
      <c r="E371">
        <v>27.331800000000001</v>
      </c>
      <c r="F371">
        <v>726.24300000000005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0.23532900000000001</v>
      </c>
      <c r="M371">
        <v>3</v>
      </c>
      <c r="N371">
        <v>0</v>
      </c>
      <c r="O371" s="7" t="s">
        <v>28</v>
      </c>
      <c r="P371">
        <v>0</v>
      </c>
      <c r="Q371" s="7" t="s">
        <v>28</v>
      </c>
      <c r="R371">
        <v>0</v>
      </c>
      <c r="S371">
        <v>0</v>
      </c>
      <c r="T371">
        <v>0</v>
      </c>
      <c r="U371">
        <v>0</v>
      </c>
    </row>
    <row r="372" spans="1:21" x14ac:dyDescent="0.25">
      <c r="A372">
        <v>371</v>
      </c>
      <c r="B372">
        <v>429783974</v>
      </c>
      <c r="C372" s="7" t="s">
        <v>70</v>
      </c>
      <c r="D372">
        <v>726.24300000000005</v>
      </c>
      <c r="E372">
        <v>27.331800000000001</v>
      </c>
      <c r="F372">
        <v>726.24300000000005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1.2580199999999999</v>
      </c>
      <c r="M372">
        <v>3</v>
      </c>
      <c r="N372">
        <v>0</v>
      </c>
      <c r="O372" s="7" t="s">
        <v>28</v>
      </c>
      <c r="P372">
        <v>0.21179700000000001</v>
      </c>
      <c r="Q372" s="7" t="s">
        <v>28</v>
      </c>
      <c r="R372">
        <v>0</v>
      </c>
      <c r="S372">
        <v>0</v>
      </c>
      <c r="T372">
        <v>0</v>
      </c>
      <c r="U372">
        <v>0.21179700000000001</v>
      </c>
    </row>
    <row r="373" spans="1:21" x14ac:dyDescent="0.25">
      <c r="A373">
        <v>372</v>
      </c>
      <c r="B373">
        <v>120832171</v>
      </c>
      <c r="C373" s="7" t="s">
        <v>70</v>
      </c>
      <c r="D373">
        <v>725.24300000000005</v>
      </c>
      <c r="E373">
        <v>27.331800000000001</v>
      </c>
      <c r="F373">
        <v>725.24300000000005</v>
      </c>
      <c r="G373">
        <v>0</v>
      </c>
      <c r="H373">
        <v>-1.01</v>
      </c>
      <c r="I373">
        <v>0.5</v>
      </c>
      <c r="J373">
        <v>0</v>
      </c>
      <c r="K373">
        <v>0.49</v>
      </c>
      <c r="L373">
        <v>0</v>
      </c>
      <c r="M373">
        <v>3</v>
      </c>
      <c r="N373">
        <v>0</v>
      </c>
      <c r="O373" s="7" t="s">
        <v>28</v>
      </c>
      <c r="P373">
        <v>0.132219</v>
      </c>
      <c r="Q373" s="7" t="s">
        <v>132</v>
      </c>
      <c r="R373">
        <v>0</v>
      </c>
      <c r="S373">
        <v>0</v>
      </c>
      <c r="T373">
        <v>1</v>
      </c>
      <c r="U373">
        <v>1.13222</v>
      </c>
    </row>
    <row r="374" spans="1:21" x14ac:dyDescent="0.25">
      <c r="A374">
        <v>373</v>
      </c>
      <c r="B374">
        <v>712127419</v>
      </c>
      <c r="C374" s="7" t="s">
        <v>70</v>
      </c>
      <c r="D374">
        <v>741.59799999999996</v>
      </c>
      <c r="E374">
        <v>26.847999999999999</v>
      </c>
      <c r="F374">
        <v>745.68600000000004</v>
      </c>
      <c r="G374">
        <v>0</v>
      </c>
      <c r="H374">
        <v>20.439399999999999</v>
      </c>
      <c r="I374">
        <v>0.5</v>
      </c>
      <c r="J374">
        <v>0.79868899999999998</v>
      </c>
      <c r="K374">
        <v>0.18748500000000001</v>
      </c>
      <c r="L374">
        <v>0</v>
      </c>
      <c r="M374">
        <v>3</v>
      </c>
      <c r="N374">
        <v>0</v>
      </c>
      <c r="O374" s="7" t="s">
        <v>28</v>
      </c>
      <c r="P374">
        <v>0</v>
      </c>
      <c r="Q374" s="7" t="s">
        <v>132</v>
      </c>
      <c r="R374">
        <v>0</v>
      </c>
      <c r="S374">
        <v>0</v>
      </c>
      <c r="T374">
        <v>1</v>
      </c>
      <c r="U374">
        <v>5.8999999999999997E-2</v>
      </c>
    </row>
    <row r="375" spans="1:21" x14ac:dyDescent="0.25">
      <c r="A375">
        <v>374</v>
      </c>
      <c r="B375">
        <v>347477913</v>
      </c>
      <c r="C375" s="7" t="s">
        <v>70</v>
      </c>
      <c r="D375">
        <v>755.56399999999996</v>
      </c>
      <c r="E375">
        <v>26.847999999999999</v>
      </c>
      <c r="F375">
        <v>759.05600000000004</v>
      </c>
      <c r="G375">
        <v>0</v>
      </c>
      <c r="H375">
        <v>17.457599999999999</v>
      </c>
      <c r="I375">
        <v>0.5</v>
      </c>
      <c r="J375">
        <v>0.68748500000000001</v>
      </c>
      <c r="K375">
        <v>0</v>
      </c>
      <c r="L375">
        <v>0</v>
      </c>
      <c r="M375">
        <v>3</v>
      </c>
      <c r="N375">
        <v>0</v>
      </c>
      <c r="O375" s="7" t="s">
        <v>28</v>
      </c>
      <c r="P375">
        <v>0</v>
      </c>
      <c r="Q375" s="7" t="s">
        <v>132</v>
      </c>
      <c r="R375">
        <v>0</v>
      </c>
      <c r="S375">
        <v>0</v>
      </c>
      <c r="T375">
        <v>1</v>
      </c>
      <c r="U375">
        <v>0.331264</v>
      </c>
    </row>
    <row r="376" spans="1:21" x14ac:dyDescent="0.25">
      <c r="A376">
        <v>375</v>
      </c>
      <c r="B376">
        <v>246648460</v>
      </c>
      <c r="C376" s="7" t="s">
        <v>70</v>
      </c>
      <c r="D376">
        <v>766.39800000000002</v>
      </c>
      <c r="E376">
        <v>29.0837</v>
      </c>
      <c r="F376">
        <v>769.10599999999999</v>
      </c>
      <c r="G376">
        <v>0</v>
      </c>
      <c r="H376">
        <v>13.5418</v>
      </c>
      <c r="I376">
        <v>0.5</v>
      </c>
      <c r="J376">
        <v>0.5</v>
      </c>
      <c r="K376">
        <v>0</v>
      </c>
      <c r="L376">
        <v>0.34084100000000001</v>
      </c>
      <c r="M376">
        <v>3</v>
      </c>
      <c r="N376">
        <v>0</v>
      </c>
      <c r="O376" s="7" t="s">
        <v>28</v>
      </c>
      <c r="P376">
        <v>0</v>
      </c>
      <c r="Q376" s="7" t="s">
        <v>132</v>
      </c>
      <c r="R376">
        <v>0</v>
      </c>
      <c r="S376">
        <v>0</v>
      </c>
      <c r="T376">
        <v>1</v>
      </c>
      <c r="U376">
        <v>0.5</v>
      </c>
    </row>
    <row r="377" spans="1:21" x14ac:dyDescent="0.25">
      <c r="A377">
        <v>376</v>
      </c>
      <c r="B377">
        <v>517059965</v>
      </c>
      <c r="C377" s="7" t="s">
        <v>70</v>
      </c>
      <c r="D377">
        <v>777.23099999999999</v>
      </c>
      <c r="E377">
        <v>29.0837</v>
      </c>
      <c r="F377">
        <v>779.93899999999996</v>
      </c>
      <c r="G377">
        <v>0</v>
      </c>
      <c r="H377">
        <v>13.5418</v>
      </c>
      <c r="I377">
        <v>0.5</v>
      </c>
      <c r="J377">
        <v>0.5</v>
      </c>
      <c r="K377">
        <v>0</v>
      </c>
      <c r="L377">
        <v>0.35306900000000002</v>
      </c>
      <c r="M377">
        <v>3</v>
      </c>
      <c r="N377">
        <v>0</v>
      </c>
      <c r="O377" s="7" t="s">
        <v>28</v>
      </c>
      <c r="P377">
        <v>0</v>
      </c>
      <c r="Q377" s="7" t="s">
        <v>132</v>
      </c>
      <c r="R377">
        <v>0</v>
      </c>
      <c r="S377">
        <v>0</v>
      </c>
      <c r="T377">
        <v>1</v>
      </c>
      <c r="U377">
        <v>0.80675699999999995</v>
      </c>
    </row>
    <row r="378" spans="1:21" x14ac:dyDescent="0.25">
      <c r="A378">
        <v>377</v>
      </c>
      <c r="B378">
        <v>997470530</v>
      </c>
      <c r="C378" s="7" t="s">
        <v>70</v>
      </c>
      <c r="D378">
        <v>788.06500000000005</v>
      </c>
      <c r="E378">
        <v>29.0837</v>
      </c>
      <c r="F378">
        <v>790.77300000000002</v>
      </c>
      <c r="G378">
        <v>0</v>
      </c>
      <c r="H378">
        <v>13.5418</v>
      </c>
      <c r="I378">
        <v>0.5</v>
      </c>
      <c r="J378">
        <v>0.5</v>
      </c>
      <c r="K378">
        <v>0</v>
      </c>
      <c r="L378">
        <v>0.55156000000000005</v>
      </c>
      <c r="M378">
        <v>3</v>
      </c>
      <c r="N378">
        <v>0</v>
      </c>
      <c r="O378" s="7" t="s">
        <v>28</v>
      </c>
      <c r="P378">
        <v>0</v>
      </c>
      <c r="Q378" s="7" t="s">
        <v>132</v>
      </c>
      <c r="R378">
        <v>0</v>
      </c>
      <c r="S378">
        <v>0</v>
      </c>
      <c r="T378">
        <v>1</v>
      </c>
      <c r="U378">
        <v>0.81776199999999999</v>
      </c>
    </row>
    <row r="379" spans="1:21" x14ac:dyDescent="0.25">
      <c r="A379">
        <v>378</v>
      </c>
      <c r="B379">
        <v>707032715</v>
      </c>
      <c r="C379" s="7" t="s">
        <v>70</v>
      </c>
      <c r="D379">
        <v>798.89800000000002</v>
      </c>
      <c r="E379">
        <v>29.0837</v>
      </c>
      <c r="F379">
        <v>801.60599999999999</v>
      </c>
      <c r="G379">
        <v>0</v>
      </c>
      <c r="H379">
        <v>13.5418</v>
      </c>
      <c r="I379">
        <v>0.5</v>
      </c>
      <c r="J379">
        <v>0.5</v>
      </c>
      <c r="K379">
        <v>0</v>
      </c>
      <c r="L379">
        <v>0</v>
      </c>
      <c r="M379">
        <v>3</v>
      </c>
      <c r="N379">
        <v>0</v>
      </c>
      <c r="O379" s="7" t="s">
        <v>28</v>
      </c>
      <c r="P379">
        <v>0</v>
      </c>
      <c r="Q379" s="7" t="s">
        <v>132</v>
      </c>
      <c r="R379">
        <v>0</v>
      </c>
      <c r="S379">
        <v>0</v>
      </c>
      <c r="T379">
        <v>1</v>
      </c>
      <c r="U379">
        <v>0.99640399999999996</v>
      </c>
    </row>
    <row r="380" spans="1:21" x14ac:dyDescent="0.25">
      <c r="A380">
        <v>379</v>
      </c>
      <c r="B380">
        <v>286192731</v>
      </c>
      <c r="C380" s="7" t="s">
        <v>70</v>
      </c>
      <c r="D380">
        <v>810.41600000000005</v>
      </c>
      <c r="E380">
        <v>30.796199999999999</v>
      </c>
      <c r="F380">
        <v>813.29600000000005</v>
      </c>
      <c r="G380">
        <v>0</v>
      </c>
      <c r="H380">
        <v>14.398099999999999</v>
      </c>
      <c r="I380">
        <v>0.5</v>
      </c>
      <c r="J380">
        <v>0.5</v>
      </c>
      <c r="K380">
        <v>0</v>
      </c>
      <c r="L380">
        <v>1.21254</v>
      </c>
      <c r="M380">
        <v>3</v>
      </c>
      <c r="N380">
        <v>0</v>
      </c>
      <c r="O380" s="7" t="s">
        <v>28</v>
      </c>
      <c r="P380">
        <v>0</v>
      </c>
      <c r="Q380" s="7" t="s">
        <v>132</v>
      </c>
      <c r="R380">
        <v>0</v>
      </c>
      <c r="S380">
        <v>0</v>
      </c>
      <c r="T380">
        <v>1</v>
      </c>
      <c r="U380">
        <v>0.5</v>
      </c>
    </row>
    <row r="381" spans="1:21" x14ac:dyDescent="0.25">
      <c r="A381">
        <v>380</v>
      </c>
      <c r="B381">
        <v>642642507</v>
      </c>
      <c r="C381" s="7" t="s">
        <v>70</v>
      </c>
      <c r="D381">
        <v>821.93499999999995</v>
      </c>
      <c r="E381">
        <v>30.796199999999999</v>
      </c>
      <c r="F381">
        <v>824.81500000000005</v>
      </c>
      <c r="G381">
        <v>0</v>
      </c>
      <c r="H381">
        <v>14.398099999999999</v>
      </c>
      <c r="I381">
        <v>0.5</v>
      </c>
      <c r="J381">
        <v>0.5</v>
      </c>
      <c r="K381">
        <v>0</v>
      </c>
      <c r="L381">
        <v>6.3355499999999995E-2</v>
      </c>
      <c r="M381">
        <v>3</v>
      </c>
      <c r="N381">
        <v>0</v>
      </c>
      <c r="O381" s="7" t="s">
        <v>28</v>
      </c>
      <c r="P381">
        <v>0.59128400000000003</v>
      </c>
      <c r="Q381" s="7" t="s">
        <v>132</v>
      </c>
      <c r="R381">
        <v>0</v>
      </c>
      <c r="S381">
        <v>0</v>
      </c>
      <c r="T381">
        <v>1</v>
      </c>
      <c r="U381">
        <v>1.59128</v>
      </c>
    </row>
    <row r="382" spans="1:21" x14ac:dyDescent="0.25">
      <c r="A382">
        <v>381</v>
      </c>
      <c r="B382">
        <v>252541533</v>
      </c>
      <c r="C382" s="7" t="s">
        <v>70</v>
      </c>
      <c r="D382">
        <v>833.45299999999997</v>
      </c>
      <c r="E382">
        <v>30.796199999999999</v>
      </c>
      <c r="F382">
        <v>836.33299999999997</v>
      </c>
      <c r="G382">
        <v>0</v>
      </c>
      <c r="H382">
        <v>14.398099999999999</v>
      </c>
      <c r="I382">
        <v>0.5</v>
      </c>
      <c r="J382">
        <v>0.5</v>
      </c>
      <c r="K382">
        <v>0</v>
      </c>
      <c r="L382">
        <v>1.35198</v>
      </c>
      <c r="M382">
        <v>3</v>
      </c>
      <c r="N382">
        <v>0</v>
      </c>
      <c r="O382" s="7" t="s">
        <v>28</v>
      </c>
      <c r="P382">
        <v>0</v>
      </c>
      <c r="Q382" s="7" t="s">
        <v>132</v>
      </c>
      <c r="R382">
        <v>0</v>
      </c>
      <c r="S382">
        <v>0</v>
      </c>
      <c r="T382">
        <v>1</v>
      </c>
      <c r="U382">
        <v>0.55701999999999996</v>
      </c>
    </row>
    <row r="383" spans="1:21" x14ac:dyDescent="0.25">
      <c r="A383">
        <v>382</v>
      </c>
      <c r="B383">
        <v>339574670</v>
      </c>
      <c r="C383" s="7" t="s">
        <v>70</v>
      </c>
      <c r="D383">
        <v>844.97199999999998</v>
      </c>
      <c r="E383">
        <v>30.796199999999999</v>
      </c>
      <c r="F383">
        <v>847.85199999999998</v>
      </c>
      <c r="G383">
        <v>0</v>
      </c>
      <c r="H383">
        <v>14.398099999999999</v>
      </c>
      <c r="I383">
        <v>0.5</v>
      </c>
      <c r="J383">
        <v>0.5</v>
      </c>
      <c r="K383">
        <v>0</v>
      </c>
      <c r="L383">
        <v>0.141122</v>
      </c>
      <c r="M383">
        <v>3</v>
      </c>
      <c r="N383">
        <v>0</v>
      </c>
      <c r="O383" s="7" t="s">
        <v>28</v>
      </c>
      <c r="P383">
        <v>0.71677999999999997</v>
      </c>
      <c r="Q383" s="7" t="s">
        <v>132</v>
      </c>
      <c r="R383">
        <v>0</v>
      </c>
      <c r="S383">
        <v>0</v>
      </c>
      <c r="T383">
        <v>1</v>
      </c>
      <c r="U383">
        <v>1.71678</v>
      </c>
    </row>
    <row r="384" spans="1:21" x14ac:dyDescent="0.25">
      <c r="A384">
        <v>383</v>
      </c>
      <c r="B384">
        <v>109210196</v>
      </c>
      <c r="C384" s="7" t="s">
        <v>70</v>
      </c>
      <c r="D384">
        <v>856.49</v>
      </c>
      <c r="E384">
        <v>30.796199999999999</v>
      </c>
      <c r="F384">
        <v>859.37</v>
      </c>
      <c r="G384">
        <v>0</v>
      </c>
      <c r="H384">
        <v>14.398099999999999</v>
      </c>
      <c r="I384">
        <v>0.5</v>
      </c>
      <c r="J384">
        <v>0.5</v>
      </c>
      <c r="K384">
        <v>0</v>
      </c>
      <c r="L384">
        <v>0</v>
      </c>
      <c r="M384">
        <v>3</v>
      </c>
      <c r="N384">
        <v>0</v>
      </c>
      <c r="O384" s="7" t="s">
        <v>28</v>
      </c>
      <c r="P384">
        <v>0</v>
      </c>
      <c r="Q384" s="7" t="s">
        <v>132</v>
      </c>
      <c r="R384">
        <v>0</v>
      </c>
      <c r="S384">
        <v>0</v>
      </c>
      <c r="T384">
        <v>1</v>
      </c>
      <c r="U384">
        <v>0.62700999999999996</v>
      </c>
    </row>
    <row r="385" spans="1:21" x14ac:dyDescent="0.25">
      <c r="A385">
        <v>384</v>
      </c>
      <c r="B385">
        <v>778115495</v>
      </c>
      <c r="C385" s="7" t="s">
        <v>70</v>
      </c>
      <c r="D385">
        <v>868.00900000000001</v>
      </c>
      <c r="E385">
        <v>30.796199999999999</v>
      </c>
      <c r="F385">
        <v>870.88800000000003</v>
      </c>
      <c r="G385">
        <v>0</v>
      </c>
      <c r="H385">
        <v>14.398099999999999</v>
      </c>
      <c r="I385">
        <v>0.5</v>
      </c>
      <c r="J385">
        <v>0.5</v>
      </c>
      <c r="K385">
        <v>0</v>
      </c>
      <c r="L385">
        <v>0</v>
      </c>
      <c r="M385">
        <v>3</v>
      </c>
      <c r="N385">
        <v>0</v>
      </c>
      <c r="O385" s="7" t="s">
        <v>28</v>
      </c>
      <c r="P385">
        <v>0</v>
      </c>
      <c r="Q385" s="7" t="s">
        <v>132</v>
      </c>
      <c r="R385">
        <v>0</v>
      </c>
      <c r="S385">
        <v>0</v>
      </c>
      <c r="T385">
        <v>1</v>
      </c>
      <c r="U385">
        <v>0.5</v>
      </c>
    </row>
    <row r="386" spans="1:21" x14ac:dyDescent="0.25">
      <c r="A386">
        <v>385</v>
      </c>
      <c r="B386">
        <v>409348478</v>
      </c>
      <c r="C386" s="7" t="s">
        <v>70</v>
      </c>
      <c r="D386">
        <v>879.56399999999996</v>
      </c>
      <c r="E386">
        <v>30.886900000000001</v>
      </c>
      <c r="F386">
        <v>882.452</v>
      </c>
      <c r="G386">
        <v>0</v>
      </c>
      <c r="H386">
        <v>14.4434</v>
      </c>
      <c r="I386">
        <v>0.5</v>
      </c>
      <c r="J386">
        <v>0.5</v>
      </c>
      <c r="K386">
        <v>0</v>
      </c>
      <c r="L386">
        <v>0.51900999999999997</v>
      </c>
      <c r="M386">
        <v>3</v>
      </c>
      <c r="N386">
        <v>0</v>
      </c>
      <c r="O386" s="7" t="s">
        <v>28</v>
      </c>
      <c r="P386">
        <v>0</v>
      </c>
      <c r="Q386" s="7" t="s">
        <v>132</v>
      </c>
      <c r="R386">
        <v>0</v>
      </c>
      <c r="S386">
        <v>0</v>
      </c>
      <c r="T386">
        <v>1</v>
      </c>
      <c r="U386">
        <v>0.5</v>
      </c>
    </row>
    <row r="387" spans="1:21" x14ac:dyDescent="0.25">
      <c r="A387">
        <v>386</v>
      </c>
      <c r="B387">
        <v>409216068</v>
      </c>
      <c r="C387" s="7" t="s">
        <v>70</v>
      </c>
      <c r="D387">
        <v>891.13699999999994</v>
      </c>
      <c r="E387">
        <v>30.9344</v>
      </c>
      <c r="F387">
        <v>894.03099999999995</v>
      </c>
      <c r="G387">
        <v>0</v>
      </c>
      <c r="H387">
        <v>14.4672</v>
      </c>
      <c r="I387">
        <v>0.5</v>
      </c>
      <c r="J387">
        <v>0.5</v>
      </c>
      <c r="K387">
        <v>0</v>
      </c>
      <c r="L387">
        <v>0.58108099999999996</v>
      </c>
      <c r="M387">
        <v>3</v>
      </c>
      <c r="N387">
        <v>0</v>
      </c>
      <c r="O387" s="7" t="s">
        <v>28</v>
      </c>
      <c r="P387">
        <v>0</v>
      </c>
      <c r="Q387" s="7" t="s">
        <v>132</v>
      </c>
      <c r="R387">
        <v>0</v>
      </c>
      <c r="S387">
        <v>0</v>
      </c>
      <c r="T387">
        <v>1</v>
      </c>
      <c r="U387">
        <v>0.967109</v>
      </c>
    </row>
    <row r="388" spans="1:21" x14ac:dyDescent="0.25">
      <c r="A388">
        <v>387</v>
      </c>
      <c r="B388">
        <v>999756168</v>
      </c>
      <c r="C388" s="7" t="s">
        <v>70</v>
      </c>
      <c r="D388">
        <v>890.13699999999994</v>
      </c>
      <c r="E388">
        <v>31.494399999999999</v>
      </c>
      <c r="F388">
        <v>890.13699999999994</v>
      </c>
      <c r="G388">
        <v>0</v>
      </c>
      <c r="H388">
        <v>-1.01</v>
      </c>
      <c r="I388">
        <v>0.5</v>
      </c>
      <c r="J388">
        <v>0</v>
      </c>
      <c r="K388">
        <v>0.49</v>
      </c>
      <c r="L388">
        <v>0</v>
      </c>
      <c r="M388">
        <v>3</v>
      </c>
      <c r="N388">
        <v>0</v>
      </c>
      <c r="O388" s="7" t="s">
        <v>28</v>
      </c>
      <c r="P388">
        <v>2.2973199999999999E-2</v>
      </c>
      <c r="Q388" s="7" t="s">
        <v>132</v>
      </c>
      <c r="R388">
        <v>0</v>
      </c>
      <c r="S388">
        <v>0</v>
      </c>
      <c r="T388">
        <v>1</v>
      </c>
      <c r="U388">
        <v>1.0229699999999999</v>
      </c>
    </row>
    <row r="389" spans="1:21" x14ac:dyDescent="0.25">
      <c r="A389">
        <v>388</v>
      </c>
      <c r="B389">
        <v>552694014</v>
      </c>
      <c r="C389" s="7" t="s">
        <v>70</v>
      </c>
      <c r="D389">
        <v>895.91200000000003</v>
      </c>
      <c r="E389">
        <v>30.3935</v>
      </c>
      <c r="F389">
        <v>897.35199999999998</v>
      </c>
      <c r="G389">
        <v>0</v>
      </c>
      <c r="H389">
        <v>7.2000700000000002</v>
      </c>
      <c r="I389">
        <v>0.5</v>
      </c>
      <c r="J389">
        <v>0.27027000000000001</v>
      </c>
      <c r="K389">
        <v>0.70533500000000005</v>
      </c>
      <c r="L389">
        <v>0</v>
      </c>
      <c r="M389">
        <v>3</v>
      </c>
      <c r="N389">
        <v>0</v>
      </c>
      <c r="O389" s="7" t="s">
        <v>28</v>
      </c>
      <c r="P389">
        <v>0</v>
      </c>
      <c r="Q389" s="7" t="s">
        <v>132</v>
      </c>
      <c r="R389">
        <v>0</v>
      </c>
      <c r="S389">
        <v>0</v>
      </c>
      <c r="T389">
        <v>1</v>
      </c>
      <c r="U389">
        <v>5.8999999999999997E-2</v>
      </c>
    </row>
    <row r="390" spans="1:21" x14ac:dyDescent="0.25">
      <c r="A390">
        <v>389</v>
      </c>
      <c r="B390">
        <v>541287964</v>
      </c>
      <c r="C390" s="7" t="s">
        <v>70</v>
      </c>
      <c r="D390">
        <v>913.06200000000001</v>
      </c>
      <c r="E390">
        <v>30.3935</v>
      </c>
      <c r="F390">
        <v>917.34900000000005</v>
      </c>
      <c r="G390">
        <v>0</v>
      </c>
      <c r="H390">
        <v>21.4376</v>
      </c>
      <c r="I390">
        <v>0</v>
      </c>
      <c r="J390">
        <v>0.70533500000000005</v>
      </c>
      <c r="K390">
        <v>0</v>
      </c>
      <c r="L390">
        <v>0.77612300000000001</v>
      </c>
      <c r="M390">
        <v>3</v>
      </c>
      <c r="N390">
        <v>0</v>
      </c>
      <c r="O390" s="7" t="s">
        <v>28</v>
      </c>
      <c r="P390">
        <v>0</v>
      </c>
      <c r="Q390" s="7" t="s">
        <v>28</v>
      </c>
      <c r="R390">
        <v>0</v>
      </c>
      <c r="S390">
        <v>0</v>
      </c>
      <c r="T390">
        <v>0</v>
      </c>
      <c r="U390">
        <v>0</v>
      </c>
    </row>
    <row r="391" spans="1:21" x14ac:dyDescent="0.25">
      <c r="A391">
        <v>390</v>
      </c>
      <c r="B391">
        <v>453364300</v>
      </c>
      <c r="C391" s="7" t="s">
        <v>70</v>
      </c>
      <c r="D391">
        <v>913.06200000000001</v>
      </c>
      <c r="E391">
        <v>31.379200000000001</v>
      </c>
      <c r="F391">
        <v>913.06200000000001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3</v>
      </c>
      <c r="N391">
        <v>0</v>
      </c>
      <c r="O391" s="7" t="s">
        <v>28</v>
      </c>
      <c r="P391">
        <v>0.69851099999999999</v>
      </c>
      <c r="Q391" s="7" t="s">
        <v>28</v>
      </c>
      <c r="R391">
        <v>0</v>
      </c>
      <c r="S391">
        <v>0</v>
      </c>
      <c r="T391">
        <v>0</v>
      </c>
      <c r="U391">
        <v>0.69851099999999999</v>
      </c>
    </row>
    <row r="392" spans="1:21" x14ac:dyDescent="0.25">
      <c r="A392">
        <v>391</v>
      </c>
      <c r="B392">
        <v>779227039</v>
      </c>
      <c r="C392" s="7" t="s">
        <v>70</v>
      </c>
      <c r="D392">
        <v>913.06200000000001</v>
      </c>
      <c r="E392">
        <v>31.698</v>
      </c>
      <c r="F392">
        <v>913.06200000000001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0</v>
      </c>
      <c r="O392" s="7" t="s">
        <v>28</v>
      </c>
      <c r="P392">
        <v>0</v>
      </c>
      <c r="Q392" s="7" t="s">
        <v>28</v>
      </c>
      <c r="R392">
        <v>0</v>
      </c>
      <c r="S392">
        <v>0</v>
      </c>
      <c r="T392">
        <v>0</v>
      </c>
      <c r="U392">
        <v>0</v>
      </c>
    </row>
    <row r="393" spans="1:21" x14ac:dyDescent="0.25">
      <c r="A393">
        <v>392</v>
      </c>
      <c r="B393">
        <v>148017212</v>
      </c>
      <c r="C393" s="7" t="s">
        <v>70</v>
      </c>
      <c r="D393">
        <v>913.06200000000001</v>
      </c>
      <c r="E393">
        <v>34.319600000000001</v>
      </c>
      <c r="F393">
        <v>913.06200000000001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0.531532</v>
      </c>
      <c r="M393">
        <v>3</v>
      </c>
      <c r="N393">
        <v>0</v>
      </c>
      <c r="O393" s="7" t="s">
        <v>28</v>
      </c>
      <c r="P393">
        <v>0</v>
      </c>
      <c r="Q393" s="7" t="s">
        <v>28</v>
      </c>
      <c r="R393">
        <v>0</v>
      </c>
      <c r="S393">
        <v>0</v>
      </c>
      <c r="T393">
        <v>0</v>
      </c>
      <c r="U393">
        <v>0</v>
      </c>
    </row>
    <row r="394" spans="1:21" x14ac:dyDescent="0.25">
      <c r="A394">
        <v>393</v>
      </c>
      <c r="B394">
        <v>987179134</v>
      </c>
      <c r="C394" s="7" t="s">
        <v>70</v>
      </c>
      <c r="D394">
        <v>913.06200000000001</v>
      </c>
      <c r="E394">
        <v>34.319600000000001</v>
      </c>
      <c r="F394">
        <v>913.06200000000001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0.74340399999999995</v>
      </c>
      <c r="M394">
        <v>3</v>
      </c>
      <c r="N394">
        <v>0</v>
      </c>
      <c r="O394" s="7" t="s">
        <v>28</v>
      </c>
      <c r="P394">
        <v>0.47837800000000003</v>
      </c>
      <c r="Q394" s="7" t="s">
        <v>28</v>
      </c>
      <c r="R394">
        <v>0</v>
      </c>
      <c r="S394">
        <v>0</v>
      </c>
      <c r="T394">
        <v>0</v>
      </c>
      <c r="U394">
        <v>0.47837800000000003</v>
      </c>
    </row>
    <row r="395" spans="1:21" x14ac:dyDescent="0.25">
      <c r="A395">
        <v>394</v>
      </c>
      <c r="B395">
        <v>180434972</v>
      </c>
      <c r="C395" s="7" t="s">
        <v>70</v>
      </c>
      <c r="D395">
        <v>913.06200000000001</v>
      </c>
      <c r="E395">
        <v>34.319600000000001</v>
      </c>
      <c r="F395">
        <v>913.06200000000001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0</v>
      </c>
      <c r="O395" s="7" t="s">
        <v>28</v>
      </c>
      <c r="P395">
        <v>0.66906299999999996</v>
      </c>
      <c r="Q395" s="7" t="s">
        <v>28</v>
      </c>
      <c r="R395">
        <v>0</v>
      </c>
      <c r="S395">
        <v>0</v>
      </c>
      <c r="T395">
        <v>0</v>
      </c>
      <c r="U395">
        <v>0.66906299999999996</v>
      </c>
    </row>
    <row r="396" spans="1:21" x14ac:dyDescent="0.25">
      <c r="A396">
        <v>395</v>
      </c>
      <c r="B396">
        <v>74258728</v>
      </c>
      <c r="C396" s="7" t="s">
        <v>70</v>
      </c>
      <c r="D396">
        <v>913.06200000000001</v>
      </c>
      <c r="E396">
        <v>34.319600000000001</v>
      </c>
      <c r="F396">
        <v>913.06200000000001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0.56398999999999999</v>
      </c>
      <c r="M396">
        <v>3</v>
      </c>
      <c r="N396">
        <v>0</v>
      </c>
      <c r="O396" s="7" t="s">
        <v>28</v>
      </c>
      <c r="P396">
        <v>0</v>
      </c>
      <c r="Q396" s="7" t="s">
        <v>28</v>
      </c>
      <c r="R396">
        <v>0</v>
      </c>
      <c r="S396">
        <v>0</v>
      </c>
      <c r="T396">
        <v>0</v>
      </c>
      <c r="U396">
        <v>0</v>
      </c>
    </row>
    <row r="397" spans="1:21" x14ac:dyDescent="0.25">
      <c r="A397">
        <v>396</v>
      </c>
      <c r="B397">
        <v>464333262</v>
      </c>
      <c r="C397" s="7" t="s">
        <v>70</v>
      </c>
      <c r="D397">
        <v>913.06200000000001</v>
      </c>
      <c r="E397">
        <v>34.319600000000001</v>
      </c>
      <c r="F397">
        <v>913.06200000000001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0.63955200000000001</v>
      </c>
      <c r="M397">
        <v>3</v>
      </c>
      <c r="N397">
        <v>0</v>
      </c>
      <c r="O397" s="7" t="s">
        <v>28</v>
      </c>
      <c r="P397">
        <v>0.50759100000000001</v>
      </c>
      <c r="Q397" s="7" t="s">
        <v>28</v>
      </c>
      <c r="R397">
        <v>0</v>
      </c>
      <c r="S397">
        <v>0</v>
      </c>
      <c r="T397">
        <v>0</v>
      </c>
      <c r="U397">
        <v>0.50759100000000001</v>
      </c>
    </row>
    <row r="398" spans="1:21" x14ac:dyDescent="0.25">
      <c r="A398">
        <v>397</v>
      </c>
      <c r="B398">
        <v>101181173</v>
      </c>
      <c r="C398" s="7" t="s">
        <v>70</v>
      </c>
      <c r="D398">
        <v>913.06200000000001</v>
      </c>
      <c r="E398">
        <v>34.319600000000001</v>
      </c>
      <c r="F398">
        <v>913.06200000000001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0</v>
      </c>
      <c r="O398" s="7" t="s">
        <v>28</v>
      </c>
      <c r="P398">
        <v>0.575596</v>
      </c>
      <c r="Q398" s="7" t="s">
        <v>28</v>
      </c>
      <c r="R398">
        <v>0</v>
      </c>
      <c r="S398">
        <v>0</v>
      </c>
      <c r="T398">
        <v>0</v>
      </c>
      <c r="U398">
        <v>0.575596</v>
      </c>
    </row>
    <row r="399" spans="1:21" x14ac:dyDescent="0.25">
      <c r="A399">
        <v>398</v>
      </c>
      <c r="B399">
        <v>181233041</v>
      </c>
      <c r="C399" s="7" t="s">
        <v>70</v>
      </c>
      <c r="D399">
        <v>913.06200000000001</v>
      </c>
      <c r="E399">
        <v>34.319600000000001</v>
      </c>
      <c r="F399">
        <v>913.06200000000001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1.1493500000000001</v>
      </c>
      <c r="M399">
        <v>3</v>
      </c>
      <c r="N399">
        <v>0</v>
      </c>
      <c r="O399" s="7" t="s">
        <v>28</v>
      </c>
      <c r="P399">
        <v>0</v>
      </c>
      <c r="Q399" s="7" t="s">
        <v>28</v>
      </c>
      <c r="R399">
        <v>0</v>
      </c>
      <c r="S399">
        <v>0</v>
      </c>
      <c r="T399">
        <v>0</v>
      </c>
      <c r="U399">
        <v>0</v>
      </c>
    </row>
    <row r="400" spans="1:21" x14ac:dyDescent="0.25">
      <c r="A400">
        <v>399</v>
      </c>
      <c r="B400">
        <v>757583585</v>
      </c>
      <c r="C400" s="7" t="s">
        <v>70</v>
      </c>
      <c r="D400">
        <v>919.68299999999999</v>
      </c>
      <c r="E400">
        <v>34.319600000000001</v>
      </c>
      <c r="F400">
        <v>921.33699999999999</v>
      </c>
      <c r="G400">
        <v>0</v>
      </c>
      <c r="H400">
        <v>8.2709799999999998</v>
      </c>
      <c r="I400">
        <v>0.5</v>
      </c>
      <c r="J400">
        <v>0.27027000000000001</v>
      </c>
      <c r="K400">
        <v>0.225135</v>
      </c>
      <c r="L400">
        <v>0</v>
      </c>
      <c r="M400">
        <v>3</v>
      </c>
      <c r="N400">
        <v>0</v>
      </c>
      <c r="O400" s="7" t="s">
        <v>28</v>
      </c>
      <c r="P400">
        <v>3.44152E-2</v>
      </c>
      <c r="Q400" s="7" t="s">
        <v>133</v>
      </c>
      <c r="R400">
        <v>0</v>
      </c>
      <c r="S400">
        <v>0</v>
      </c>
      <c r="T400">
        <v>1</v>
      </c>
      <c r="U400">
        <v>1.0344199999999999</v>
      </c>
    </row>
    <row r="401" spans="1:21" x14ac:dyDescent="0.25">
      <c r="A401">
        <v>400</v>
      </c>
      <c r="B401">
        <v>388104017</v>
      </c>
      <c r="C401" s="7" t="s">
        <v>70</v>
      </c>
      <c r="D401">
        <v>918.68299999999999</v>
      </c>
      <c r="E401">
        <v>33.889299999999999</v>
      </c>
      <c r="F401">
        <v>918.68299999999999</v>
      </c>
      <c r="G401">
        <v>0</v>
      </c>
      <c r="H401">
        <v>-1.0145</v>
      </c>
      <c r="I401">
        <v>0.5</v>
      </c>
      <c r="J401">
        <v>0</v>
      </c>
      <c r="K401">
        <v>0.71063200000000004</v>
      </c>
      <c r="L401">
        <v>0</v>
      </c>
      <c r="M401">
        <v>3</v>
      </c>
      <c r="N401">
        <v>0</v>
      </c>
      <c r="O401" s="7" t="s">
        <v>28</v>
      </c>
      <c r="P401">
        <v>0</v>
      </c>
      <c r="Q401" s="7" t="s">
        <v>133</v>
      </c>
      <c r="R401">
        <v>0</v>
      </c>
      <c r="S401">
        <v>0</v>
      </c>
      <c r="T401">
        <v>1</v>
      </c>
      <c r="U401">
        <v>0.29737799999999998</v>
      </c>
    </row>
    <row r="402" spans="1:21" x14ac:dyDescent="0.25">
      <c r="A402">
        <v>401</v>
      </c>
      <c r="B402">
        <v>615048719</v>
      </c>
      <c r="C402" s="7" t="s">
        <v>70</v>
      </c>
      <c r="D402">
        <v>936.45699999999999</v>
      </c>
      <c r="E402">
        <v>31.264199999999999</v>
      </c>
      <c r="F402">
        <v>940.90099999999995</v>
      </c>
      <c r="G402">
        <v>0</v>
      </c>
      <c r="H402">
        <v>22.217400000000001</v>
      </c>
      <c r="I402">
        <v>0</v>
      </c>
      <c r="J402">
        <v>0.71063200000000004</v>
      </c>
      <c r="K402">
        <v>0</v>
      </c>
      <c r="L402">
        <v>0</v>
      </c>
      <c r="M402">
        <v>3</v>
      </c>
      <c r="N402">
        <v>0</v>
      </c>
      <c r="O402" s="7" t="s">
        <v>28</v>
      </c>
      <c r="P402">
        <v>0</v>
      </c>
      <c r="Q402" s="7" t="s">
        <v>28</v>
      </c>
      <c r="R402">
        <v>0</v>
      </c>
      <c r="S402">
        <v>0</v>
      </c>
      <c r="T402">
        <v>0</v>
      </c>
      <c r="U402">
        <v>0</v>
      </c>
    </row>
    <row r="403" spans="1:21" x14ac:dyDescent="0.25">
      <c r="A403">
        <v>402</v>
      </c>
      <c r="B403">
        <v>681962565</v>
      </c>
      <c r="C403" s="7" t="s">
        <v>70</v>
      </c>
      <c r="D403">
        <v>936.45699999999999</v>
      </c>
      <c r="E403">
        <v>33.652500000000003</v>
      </c>
      <c r="F403">
        <v>936.45699999999999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0</v>
      </c>
      <c r="O403" s="7" t="s">
        <v>28</v>
      </c>
      <c r="P403">
        <v>0</v>
      </c>
      <c r="Q403" s="7" t="s">
        <v>28</v>
      </c>
      <c r="R403">
        <v>0</v>
      </c>
      <c r="S403">
        <v>0</v>
      </c>
      <c r="T403">
        <v>0</v>
      </c>
      <c r="U403">
        <v>0</v>
      </c>
    </row>
    <row r="404" spans="1:21" x14ac:dyDescent="0.25">
      <c r="A404">
        <v>403</v>
      </c>
      <c r="B404">
        <v>533863293</v>
      </c>
      <c r="C404" s="7" t="s">
        <v>70</v>
      </c>
      <c r="D404">
        <v>936.45699999999999</v>
      </c>
      <c r="E404">
        <v>33.652500000000003</v>
      </c>
      <c r="F404">
        <v>936.45699999999999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3</v>
      </c>
      <c r="N404">
        <v>0</v>
      </c>
      <c r="O404" s="7" t="s">
        <v>28</v>
      </c>
      <c r="P404">
        <v>0</v>
      </c>
      <c r="Q404" s="7" t="s">
        <v>28</v>
      </c>
      <c r="R404">
        <v>0</v>
      </c>
      <c r="S404">
        <v>0</v>
      </c>
      <c r="T404">
        <v>0</v>
      </c>
      <c r="U404">
        <v>0</v>
      </c>
    </row>
    <row r="405" spans="1:21" x14ac:dyDescent="0.25">
      <c r="A405">
        <v>404</v>
      </c>
      <c r="B405">
        <v>967843412</v>
      </c>
      <c r="C405" s="7" t="s">
        <v>70</v>
      </c>
      <c r="D405">
        <v>936.45699999999999</v>
      </c>
      <c r="E405">
        <v>34.3949</v>
      </c>
      <c r="F405">
        <v>936.45699999999999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1.05701</v>
      </c>
      <c r="M405">
        <v>3</v>
      </c>
      <c r="N405">
        <v>0</v>
      </c>
      <c r="O405" s="7" t="s">
        <v>28</v>
      </c>
      <c r="P405">
        <v>0</v>
      </c>
      <c r="Q405" s="7" t="s">
        <v>28</v>
      </c>
      <c r="R405">
        <v>0</v>
      </c>
      <c r="S405">
        <v>0</v>
      </c>
      <c r="T405">
        <v>0</v>
      </c>
      <c r="U405">
        <v>0</v>
      </c>
    </row>
    <row r="406" spans="1:21" x14ac:dyDescent="0.25">
      <c r="A406">
        <v>405</v>
      </c>
      <c r="B406">
        <v>341320993</v>
      </c>
      <c r="C406" s="7" t="s">
        <v>70</v>
      </c>
      <c r="D406">
        <v>936.45699999999999</v>
      </c>
      <c r="E406">
        <v>34.3949</v>
      </c>
      <c r="F406">
        <v>936.45699999999999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3</v>
      </c>
      <c r="N406">
        <v>0</v>
      </c>
      <c r="O406" s="7" t="s">
        <v>28</v>
      </c>
      <c r="P406">
        <v>0.95130999999999999</v>
      </c>
      <c r="Q406" s="7" t="s">
        <v>28</v>
      </c>
      <c r="R406">
        <v>0</v>
      </c>
      <c r="S406">
        <v>0</v>
      </c>
      <c r="T406">
        <v>0</v>
      </c>
      <c r="U406">
        <v>0.95130999999999999</v>
      </c>
    </row>
    <row r="407" spans="1:21" x14ac:dyDescent="0.25">
      <c r="A407">
        <v>406</v>
      </c>
      <c r="B407">
        <v>803839102</v>
      </c>
      <c r="C407" s="7" t="s">
        <v>70</v>
      </c>
      <c r="D407">
        <v>936.45699999999999</v>
      </c>
      <c r="E407">
        <v>35.579000000000001</v>
      </c>
      <c r="F407">
        <v>936.45699999999999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2.2770000000000001</v>
      </c>
      <c r="M407">
        <v>3</v>
      </c>
      <c r="N407">
        <v>0</v>
      </c>
      <c r="O407" s="7" t="s">
        <v>28</v>
      </c>
      <c r="P407">
        <v>0</v>
      </c>
      <c r="Q407" s="7" t="s">
        <v>28</v>
      </c>
      <c r="R407">
        <v>0</v>
      </c>
      <c r="S407">
        <v>0</v>
      </c>
      <c r="T407">
        <v>0</v>
      </c>
      <c r="U407">
        <v>0</v>
      </c>
    </row>
    <row r="408" spans="1:21" x14ac:dyDescent="0.25">
      <c r="A408">
        <v>407</v>
      </c>
      <c r="B408">
        <v>343360349</v>
      </c>
      <c r="C408" s="7" t="s">
        <v>70</v>
      </c>
      <c r="D408">
        <v>963.32</v>
      </c>
      <c r="E408">
        <v>35.579000000000001</v>
      </c>
      <c r="F408">
        <v>970.03599999999994</v>
      </c>
      <c r="G408">
        <v>0</v>
      </c>
      <c r="H408">
        <v>33.579000000000001</v>
      </c>
      <c r="I408">
        <v>1</v>
      </c>
      <c r="J408">
        <v>1</v>
      </c>
      <c r="K408">
        <v>0</v>
      </c>
      <c r="L408">
        <v>0.28439999999999999</v>
      </c>
      <c r="M408">
        <v>3</v>
      </c>
      <c r="N408">
        <v>0</v>
      </c>
      <c r="O408" s="7" t="s">
        <v>28</v>
      </c>
      <c r="P408">
        <v>4.9299900000000001E-2</v>
      </c>
      <c r="Q408" s="7" t="s">
        <v>134</v>
      </c>
      <c r="R408">
        <v>0</v>
      </c>
      <c r="S408">
        <v>0</v>
      </c>
      <c r="T408">
        <v>2</v>
      </c>
      <c r="U408">
        <v>2.0493000000000001</v>
      </c>
    </row>
    <row r="409" spans="1:21" x14ac:dyDescent="0.25">
      <c r="A409">
        <v>408</v>
      </c>
      <c r="B409">
        <v>672092285</v>
      </c>
      <c r="C409" s="7" t="s">
        <v>70</v>
      </c>
      <c r="D409">
        <v>961.32</v>
      </c>
      <c r="E409">
        <v>35.579000000000001</v>
      </c>
      <c r="F409">
        <v>961.32</v>
      </c>
      <c r="G409">
        <v>0</v>
      </c>
      <c r="H409">
        <v>-2.02</v>
      </c>
      <c r="I409">
        <v>1</v>
      </c>
      <c r="J409">
        <v>0</v>
      </c>
      <c r="K409">
        <v>0.98</v>
      </c>
      <c r="L409">
        <v>0</v>
      </c>
      <c r="M409">
        <v>3</v>
      </c>
      <c r="N409">
        <v>0</v>
      </c>
      <c r="O409" s="7" t="s">
        <v>28</v>
      </c>
      <c r="P409">
        <v>0</v>
      </c>
      <c r="Q409" s="7" t="s">
        <v>134</v>
      </c>
      <c r="R409">
        <v>0</v>
      </c>
      <c r="S409">
        <v>0</v>
      </c>
      <c r="T409">
        <v>2</v>
      </c>
      <c r="U409">
        <v>1.25596</v>
      </c>
    </row>
    <row r="410" spans="1:21" x14ac:dyDescent="0.25">
      <c r="A410">
        <v>409</v>
      </c>
      <c r="B410">
        <v>505585372</v>
      </c>
      <c r="C410" s="7" t="s">
        <v>70</v>
      </c>
      <c r="D410">
        <v>962.875</v>
      </c>
      <c r="E410">
        <v>32.5807</v>
      </c>
      <c r="F410">
        <v>963.25599999999997</v>
      </c>
      <c r="G410">
        <v>0</v>
      </c>
      <c r="H410">
        <v>1.9078999999999999</v>
      </c>
      <c r="I410">
        <v>0.5</v>
      </c>
      <c r="J410">
        <v>9.0105500000000005E-2</v>
      </c>
      <c r="K410">
        <v>1.3621000000000001</v>
      </c>
      <c r="L410">
        <v>0</v>
      </c>
      <c r="M410">
        <v>3</v>
      </c>
      <c r="N410">
        <v>0</v>
      </c>
      <c r="O410" s="7" t="s">
        <v>28</v>
      </c>
      <c r="P410">
        <v>0</v>
      </c>
      <c r="Q410" s="7" t="s">
        <v>135</v>
      </c>
      <c r="R410">
        <v>0</v>
      </c>
      <c r="S410">
        <v>0</v>
      </c>
      <c r="T410">
        <v>1</v>
      </c>
      <c r="U410">
        <v>0.11799999999999999</v>
      </c>
    </row>
    <row r="411" spans="1:21" x14ac:dyDescent="0.25">
      <c r="A411">
        <v>410</v>
      </c>
      <c r="B411">
        <v>979223678</v>
      </c>
      <c r="C411" s="7" t="s">
        <v>70</v>
      </c>
      <c r="D411">
        <v>998.37699999999995</v>
      </c>
      <c r="E411">
        <v>32.5807</v>
      </c>
      <c r="F411">
        <v>1007.25</v>
      </c>
      <c r="G411">
        <v>0</v>
      </c>
      <c r="H411">
        <v>44.378100000000003</v>
      </c>
      <c r="I411">
        <v>0</v>
      </c>
      <c r="J411">
        <v>1.3621000000000001</v>
      </c>
      <c r="K411">
        <v>0</v>
      </c>
      <c r="L411">
        <v>0</v>
      </c>
      <c r="M411">
        <v>3</v>
      </c>
      <c r="N411">
        <v>0</v>
      </c>
      <c r="O411" s="7" t="s">
        <v>28</v>
      </c>
      <c r="P411">
        <v>0</v>
      </c>
      <c r="Q411" s="7" t="s">
        <v>28</v>
      </c>
      <c r="R411">
        <v>0</v>
      </c>
      <c r="S411">
        <v>0</v>
      </c>
      <c r="T411">
        <v>0</v>
      </c>
      <c r="U411">
        <v>0</v>
      </c>
    </row>
    <row r="412" spans="1:21" x14ac:dyDescent="0.25">
      <c r="A412">
        <v>411</v>
      </c>
      <c r="B412">
        <v>960136073</v>
      </c>
      <c r="C412" s="7" t="s">
        <v>70</v>
      </c>
      <c r="D412">
        <v>998.37699999999995</v>
      </c>
      <c r="E412">
        <v>33.163699999999999</v>
      </c>
      <c r="F412">
        <v>998.37699999999995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0.65381199999999995</v>
      </c>
      <c r="M412">
        <v>3</v>
      </c>
      <c r="N412">
        <v>0</v>
      </c>
      <c r="O412" s="7" t="s">
        <v>28</v>
      </c>
      <c r="P412">
        <v>0</v>
      </c>
      <c r="Q412" s="7" t="s">
        <v>28</v>
      </c>
      <c r="R412">
        <v>0</v>
      </c>
      <c r="S412">
        <v>0</v>
      </c>
      <c r="T412">
        <v>0</v>
      </c>
      <c r="U412">
        <v>0</v>
      </c>
    </row>
    <row r="413" spans="1:21" x14ac:dyDescent="0.25">
      <c r="A413">
        <v>412</v>
      </c>
      <c r="B413">
        <v>417411667</v>
      </c>
      <c r="C413" s="7" t="s">
        <v>70</v>
      </c>
      <c r="D413">
        <v>998.37699999999995</v>
      </c>
      <c r="E413">
        <v>35.014099999999999</v>
      </c>
      <c r="F413">
        <v>998.37699999999995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0</v>
      </c>
      <c r="O413" s="7" t="s">
        <v>28</v>
      </c>
      <c r="P413">
        <v>0.58843100000000004</v>
      </c>
      <c r="Q413" s="7" t="s">
        <v>28</v>
      </c>
      <c r="R413">
        <v>0</v>
      </c>
      <c r="S413">
        <v>0</v>
      </c>
      <c r="T413">
        <v>0</v>
      </c>
      <c r="U413">
        <v>0.58843100000000004</v>
      </c>
    </row>
    <row r="414" spans="1:21" x14ac:dyDescent="0.25">
      <c r="A414">
        <v>413</v>
      </c>
      <c r="B414">
        <v>100485665</v>
      </c>
      <c r="C414" s="7" t="s">
        <v>70</v>
      </c>
      <c r="D414">
        <v>998.37699999999995</v>
      </c>
      <c r="E414">
        <v>37.235300000000002</v>
      </c>
      <c r="F414">
        <v>998.37699999999995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1.4219200000000001</v>
      </c>
      <c r="M414">
        <v>3</v>
      </c>
      <c r="N414">
        <v>0</v>
      </c>
      <c r="O414" s="7" t="s">
        <v>28</v>
      </c>
      <c r="P414">
        <v>0</v>
      </c>
      <c r="Q414" s="7" t="s">
        <v>28</v>
      </c>
      <c r="R414">
        <v>0</v>
      </c>
      <c r="S414">
        <v>0</v>
      </c>
      <c r="T414">
        <v>0</v>
      </c>
      <c r="U414">
        <v>0</v>
      </c>
    </row>
    <row r="415" spans="1:21" x14ac:dyDescent="0.25">
      <c r="A415">
        <v>414</v>
      </c>
      <c r="B415">
        <v>554506727</v>
      </c>
      <c r="C415" s="7" t="s">
        <v>70</v>
      </c>
      <c r="D415">
        <v>1012.47</v>
      </c>
      <c r="E415">
        <v>37.235300000000002</v>
      </c>
      <c r="F415">
        <v>1015.99</v>
      </c>
      <c r="G415">
        <v>0</v>
      </c>
      <c r="H415">
        <v>17.617699999999999</v>
      </c>
      <c r="I415">
        <v>0.5</v>
      </c>
      <c r="J415">
        <v>0.5</v>
      </c>
      <c r="K415">
        <v>0</v>
      </c>
      <c r="L415">
        <v>0.58010200000000001</v>
      </c>
      <c r="M415">
        <v>3</v>
      </c>
      <c r="N415">
        <v>0</v>
      </c>
      <c r="O415" s="7" t="s">
        <v>28</v>
      </c>
      <c r="P415">
        <v>0.27972999999999998</v>
      </c>
      <c r="Q415" s="7" t="s">
        <v>136</v>
      </c>
      <c r="R415">
        <v>0</v>
      </c>
      <c r="S415">
        <v>0</v>
      </c>
      <c r="T415">
        <v>1</v>
      </c>
      <c r="U415">
        <v>1.27973</v>
      </c>
    </row>
    <row r="416" spans="1:21" x14ac:dyDescent="0.25">
      <c r="A416">
        <v>415</v>
      </c>
      <c r="B416">
        <v>402911378</v>
      </c>
      <c r="C416" s="7" t="s">
        <v>70</v>
      </c>
      <c r="D416">
        <v>1011.47</v>
      </c>
      <c r="E416">
        <v>37.235300000000002</v>
      </c>
      <c r="F416">
        <v>1011.47</v>
      </c>
      <c r="G416">
        <v>0</v>
      </c>
      <c r="H416">
        <v>-1.01</v>
      </c>
      <c r="I416">
        <v>0.5</v>
      </c>
      <c r="J416">
        <v>0</v>
      </c>
      <c r="K416">
        <v>0.49</v>
      </c>
      <c r="L416">
        <v>0</v>
      </c>
      <c r="M416">
        <v>3</v>
      </c>
      <c r="N416">
        <v>0</v>
      </c>
      <c r="O416" s="7" t="s">
        <v>28</v>
      </c>
      <c r="P416">
        <v>2.2092199999999999E-2</v>
      </c>
      <c r="Q416" s="7" t="s">
        <v>136</v>
      </c>
      <c r="R416">
        <v>0</v>
      </c>
      <c r="S416">
        <v>0</v>
      </c>
      <c r="T416">
        <v>1</v>
      </c>
      <c r="U416">
        <v>1.0220899999999999</v>
      </c>
    </row>
    <row r="417" spans="1:21" x14ac:dyDescent="0.25">
      <c r="A417">
        <v>416</v>
      </c>
      <c r="B417">
        <v>753950356</v>
      </c>
      <c r="C417" s="7" t="s">
        <v>70</v>
      </c>
      <c r="D417">
        <v>1038.25</v>
      </c>
      <c r="E417">
        <v>34.816299999999998</v>
      </c>
      <c r="F417">
        <v>1044.94</v>
      </c>
      <c r="G417">
        <v>0</v>
      </c>
      <c r="H417">
        <v>33.4681</v>
      </c>
      <c r="I417">
        <v>0.5</v>
      </c>
      <c r="J417">
        <v>0.99</v>
      </c>
      <c r="K417">
        <v>0</v>
      </c>
      <c r="L417">
        <v>0</v>
      </c>
      <c r="M417">
        <v>3</v>
      </c>
      <c r="N417">
        <v>0</v>
      </c>
      <c r="O417" s="7" t="s">
        <v>28</v>
      </c>
      <c r="P417">
        <v>0</v>
      </c>
      <c r="Q417" s="7" t="s">
        <v>136</v>
      </c>
      <c r="R417">
        <v>0</v>
      </c>
      <c r="S417">
        <v>0</v>
      </c>
      <c r="T417">
        <v>1</v>
      </c>
      <c r="U417">
        <v>5.8999999999999997E-2</v>
      </c>
    </row>
    <row r="418" spans="1:21" x14ac:dyDescent="0.25">
      <c r="A418">
        <v>417</v>
      </c>
      <c r="B418">
        <v>874565421</v>
      </c>
      <c r="C418" s="7" t="s">
        <v>70</v>
      </c>
      <c r="D418">
        <v>1051.8699999999999</v>
      </c>
      <c r="E418">
        <v>36.062199999999997</v>
      </c>
      <c r="F418">
        <v>1055.28</v>
      </c>
      <c r="G418">
        <v>0</v>
      </c>
      <c r="H418">
        <v>17.031099999999999</v>
      </c>
      <c r="I418">
        <v>0.5</v>
      </c>
      <c r="J418">
        <v>0.5</v>
      </c>
      <c r="K418">
        <v>0</v>
      </c>
      <c r="L418">
        <v>0</v>
      </c>
      <c r="M418">
        <v>3</v>
      </c>
      <c r="N418">
        <v>0</v>
      </c>
      <c r="O418" s="7" t="s">
        <v>28</v>
      </c>
      <c r="P418">
        <v>0</v>
      </c>
      <c r="Q418" s="7" t="s">
        <v>136</v>
      </c>
      <c r="R418">
        <v>0</v>
      </c>
      <c r="S418">
        <v>0</v>
      </c>
      <c r="T418">
        <v>1</v>
      </c>
      <c r="U418">
        <v>0.5</v>
      </c>
    </row>
    <row r="419" spans="1:21" x14ac:dyDescent="0.25">
      <c r="A419">
        <v>418</v>
      </c>
      <c r="B419">
        <v>972524948</v>
      </c>
      <c r="C419" s="7" t="s">
        <v>70</v>
      </c>
      <c r="D419">
        <v>1066.19</v>
      </c>
      <c r="E419">
        <v>37.802799999999998</v>
      </c>
      <c r="F419">
        <v>1069.77</v>
      </c>
      <c r="G419">
        <v>0</v>
      </c>
      <c r="H419">
        <v>17.901399999999999</v>
      </c>
      <c r="I419">
        <v>0.5</v>
      </c>
      <c r="J419">
        <v>0.5</v>
      </c>
      <c r="K419">
        <v>0</v>
      </c>
      <c r="L419">
        <v>0</v>
      </c>
      <c r="M419">
        <v>3</v>
      </c>
      <c r="N419">
        <v>0</v>
      </c>
      <c r="O419" s="7" t="s">
        <v>28</v>
      </c>
      <c r="P419">
        <v>0</v>
      </c>
      <c r="Q419" s="7" t="s">
        <v>136</v>
      </c>
      <c r="R419">
        <v>0</v>
      </c>
      <c r="S419">
        <v>0</v>
      </c>
      <c r="T419">
        <v>1</v>
      </c>
      <c r="U419">
        <v>0.5</v>
      </c>
    </row>
    <row r="420" spans="1:21" x14ac:dyDescent="0.25">
      <c r="A420">
        <v>419</v>
      </c>
      <c r="B420">
        <v>495902099</v>
      </c>
      <c r="C420" s="7" t="s">
        <v>70</v>
      </c>
      <c r="D420">
        <v>1065.19</v>
      </c>
      <c r="E420">
        <v>37.815300000000001</v>
      </c>
      <c r="F420">
        <v>1065.19</v>
      </c>
      <c r="G420">
        <v>0</v>
      </c>
      <c r="H420">
        <v>-1.01</v>
      </c>
      <c r="I420">
        <v>0.5</v>
      </c>
      <c r="J420">
        <v>0</v>
      </c>
      <c r="K420">
        <v>0.49</v>
      </c>
      <c r="L420">
        <v>0</v>
      </c>
      <c r="M420">
        <v>3</v>
      </c>
      <c r="N420">
        <v>0</v>
      </c>
      <c r="O420" s="7" t="s">
        <v>28</v>
      </c>
      <c r="P420">
        <v>0</v>
      </c>
      <c r="Q420" s="7" t="s">
        <v>136</v>
      </c>
      <c r="R420">
        <v>0</v>
      </c>
      <c r="S420">
        <v>0</v>
      </c>
      <c r="T420">
        <v>1</v>
      </c>
      <c r="U420">
        <v>0.5</v>
      </c>
    </row>
    <row r="421" spans="1:21" x14ac:dyDescent="0.25">
      <c r="A421">
        <v>420</v>
      </c>
      <c r="B421">
        <v>333131467</v>
      </c>
      <c r="C421" s="7" t="s">
        <v>70</v>
      </c>
      <c r="D421">
        <v>1071.6600000000001</v>
      </c>
      <c r="E421">
        <v>37.815300000000001</v>
      </c>
      <c r="F421">
        <v>1073.28</v>
      </c>
      <c r="G421">
        <v>0</v>
      </c>
      <c r="H421">
        <v>8.0697600000000005</v>
      </c>
      <c r="I421">
        <v>0.5</v>
      </c>
      <c r="J421">
        <v>0.24024000000000001</v>
      </c>
      <c r="K421">
        <v>0.73476399999999997</v>
      </c>
      <c r="L421">
        <v>0</v>
      </c>
      <c r="M421">
        <v>3</v>
      </c>
      <c r="N421">
        <v>0</v>
      </c>
      <c r="O421" s="7" t="s">
        <v>28</v>
      </c>
      <c r="P421">
        <v>0</v>
      </c>
      <c r="Q421" s="7" t="s">
        <v>136</v>
      </c>
      <c r="R421">
        <v>0</v>
      </c>
      <c r="S421">
        <v>0</v>
      </c>
      <c r="T421">
        <v>1</v>
      </c>
      <c r="U421">
        <v>5.8999999999999997E-2</v>
      </c>
    </row>
    <row r="422" spans="1:21" x14ac:dyDescent="0.25">
      <c r="A422">
        <v>421</v>
      </c>
      <c r="B422">
        <v>653026098</v>
      </c>
      <c r="C422" s="7" t="s">
        <v>70</v>
      </c>
      <c r="D422">
        <v>1071.6600000000001</v>
      </c>
      <c r="E422">
        <v>37.815300000000001</v>
      </c>
      <c r="F422">
        <v>1071.6600000000001</v>
      </c>
      <c r="G422">
        <v>0</v>
      </c>
      <c r="H422">
        <v>-1.46953E-2</v>
      </c>
      <c r="I422">
        <v>0</v>
      </c>
      <c r="J422">
        <v>0</v>
      </c>
      <c r="K422">
        <v>0.72006899999999996</v>
      </c>
      <c r="L422">
        <v>0</v>
      </c>
      <c r="M422">
        <v>3</v>
      </c>
      <c r="N422">
        <v>0</v>
      </c>
      <c r="O422" s="7" t="s">
        <v>28</v>
      </c>
      <c r="P422">
        <v>0</v>
      </c>
      <c r="Q422" s="7" t="s">
        <v>28</v>
      </c>
      <c r="R422">
        <v>0</v>
      </c>
      <c r="S422">
        <v>0</v>
      </c>
      <c r="T422">
        <v>0</v>
      </c>
      <c r="U422">
        <v>0</v>
      </c>
    </row>
    <row r="423" spans="1:21" x14ac:dyDescent="0.25">
      <c r="A423">
        <v>422</v>
      </c>
      <c r="B423">
        <v>505412516</v>
      </c>
      <c r="C423" s="7" t="s">
        <v>70</v>
      </c>
      <c r="D423">
        <v>1093.45</v>
      </c>
      <c r="E423">
        <v>37.815300000000001</v>
      </c>
      <c r="F423">
        <v>1098.8900000000001</v>
      </c>
      <c r="G423">
        <v>0</v>
      </c>
      <c r="H423">
        <v>27.229600000000001</v>
      </c>
      <c r="I423">
        <v>0</v>
      </c>
      <c r="J423">
        <v>0.72006899999999996</v>
      </c>
      <c r="K423">
        <v>0</v>
      </c>
      <c r="L423">
        <v>0</v>
      </c>
      <c r="M423">
        <v>3</v>
      </c>
      <c r="N423">
        <v>0</v>
      </c>
      <c r="O423" s="7" t="s">
        <v>28</v>
      </c>
      <c r="P423">
        <v>0</v>
      </c>
      <c r="Q423" s="7" t="s">
        <v>28</v>
      </c>
      <c r="R423">
        <v>0</v>
      </c>
      <c r="S423">
        <v>0</v>
      </c>
      <c r="T423">
        <v>0</v>
      </c>
      <c r="U423">
        <v>0</v>
      </c>
    </row>
    <row r="424" spans="1:21" x14ac:dyDescent="0.25">
      <c r="A424">
        <v>423</v>
      </c>
      <c r="B424">
        <v>816186026</v>
      </c>
      <c r="C424" s="7" t="s">
        <v>70</v>
      </c>
      <c r="D424">
        <v>1093.45</v>
      </c>
      <c r="E424">
        <v>40.686399999999999</v>
      </c>
      <c r="F424">
        <v>1093.45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3</v>
      </c>
      <c r="N424">
        <v>0</v>
      </c>
      <c r="O424" s="7" t="s">
        <v>28</v>
      </c>
      <c r="P424">
        <v>0</v>
      </c>
      <c r="Q424" s="7" t="s">
        <v>28</v>
      </c>
      <c r="R424">
        <v>0</v>
      </c>
      <c r="S424">
        <v>0</v>
      </c>
      <c r="T424">
        <v>0</v>
      </c>
      <c r="U424">
        <v>0</v>
      </c>
    </row>
    <row r="425" spans="1:21" x14ac:dyDescent="0.25">
      <c r="A425">
        <v>424</v>
      </c>
      <c r="B425">
        <v>371952423</v>
      </c>
      <c r="C425" s="7" t="s">
        <v>70</v>
      </c>
      <c r="D425">
        <v>1093.45</v>
      </c>
      <c r="E425">
        <v>40.686399999999999</v>
      </c>
      <c r="F425">
        <v>1093.45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3</v>
      </c>
      <c r="N425">
        <v>0</v>
      </c>
      <c r="O425" s="7" t="s">
        <v>28</v>
      </c>
      <c r="P425">
        <v>0</v>
      </c>
      <c r="Q425" s="7" t="s">
        <v>28</v>
      </c>
      <c r="R425">
        <v>0</v>
      </c>
      <c r="S425">
        <v>0</v>
      </c>
      <c r="T425">
        <v>0</v>
      </c>
      <c r="U425">
        <v>0</v>
      </c>
    </row>
    <row r="426" spans="1:21" x14ac:dyDescent="0.25">
      <c r="A426">
        <v>425</v>
      </c>
      <c r="B426">
        <v>509247036</v>
      </c>
      <c r="C426" s="7" t="s">
        <v>70</v>
      </c>
      <c r="D426">
        <v>1093.45</v>
      </c>
      <c r="E426">
        <v>40.686399999999999</v>
      </c>
      <c r="F426">
        <v>1093.45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3</v>
      </c>
      <c r="N426">
        <v>0</v>
      </c>
      <c r="O426" s="7" t="s">
        <v>28</v>
      </c>
      <c r="P426">
        <v>0</v>
      </c>
      <c r="Q426" s="7" t="s">
        <v>28</v>
      </c>
      <c r="R426">
        <v>0</v>
      </c>
      <c r="S426">
        <v>0</v>
      </c>
      <c r="T426">
        <v>0</v>
      </c>
      <c r="U426">
        <v>0</v>
      </c>
    </row>
    <row r="427" spans="1:21" x14ac:dyDescent="0.25">
      <c r="A427">
        <v>426</v>
      </c>
      <c r="B427">
        <v>684909644</v>
      </c>
      <c r="C427" s="7" t="s">
        <v>70</v>
      </c>
      <c r="D427">
        <v>1093.45</v>
      </c>
      <c r="E427">
        <v>44.659399999999998</v>
      </c>
      <c r="F427">
        <v>1093.45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0.63063100000000005</v>
      </c>
      <c r="M427">
        <v>3</v>
      </c>
      <c r="N427">
        <v>0</v>
      </c>
      <c r="O427" s="7" t="s">
        <v>28</v>
      </c>
      <c r="P427">
        <v>0</v>
      </c>
      <c r="Q427" s="7" t="s">
        <v>28</v>
      </c>
      <c r="R427">
        <v>0</v>
      </c>
      <c r="S427">
        <v>0</v>
      </c>
      <c r="T427">
        <v>0</v>
      </c>
      <c r="U427">
        <v>0</v>
      </c>
    </row>
    <row r="428" spans="1:21" x14ac:dyDescent="0.25">
      <c r="A428">
        <v>427</v>
      </c>
      <c r="B428">
        <v>266244777</v>
      </c>
      <c r="C428" s="7" t="s">
        <v>70</v>
      </c>
      <c r="D428">
        <v>1093.45</v>
      </c>
      <c r="E428">
        <v>44.659399999999998</v>
      </c>
      <c r="F428">
        <v>1093.45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3</v>
      </c>
      <c r="N428">
        <v>0</v>
      </c>
      <c r="O428" s="7" t="s">
        <v>28</v>
      </c>
      <c r="P428">
        <v>0.56756799999999996</v>
      </c>
      <c r="Q428" s="7" t="s">
        <v>28</v>
      </c>
      <c r="R428">
        <v>0</v>
      </c>
      <c r="S428">
        <v>0</v>
      </c>
      <c r="T428">
        <v>0</v>
      </c>
      <c r="U428">
        <v>0.56756799999999996</v>
      </c>
    </row>
    <row r="429" spans="1:21" x14ac:dyDescent="0.25">
      <c r="A429">
        <v>428</v>
      </c>
      <c r="B429">
        <v>472430546</v>
      </c>
      <c r="C429" s="7" t="s">
        <v>70</v>
      </c>
      <c r="D429">
        <v>1093.45</v>
      </c>
      <c r="E429">
        <v>44.659399999999998</v>
      </c>
      <c r="F429">
        <v>1093.45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0.34134900000000001</v>
      </c>
      <c r="M429">
        <v>3</v>
      </c>
      <c r="N429">
        <v>0</v>
      </c>
      <c r="O429" s="7" t="s">
        <v>28</v>
      </c>
      <c r="P429">
        <v>0</v>
      </c>
      <c r="Q429" s="7" t="s">
        <v>28</v>
      </c>
      <c r="R429">
        <v>0</v>
      </c>
      <c r="S429">
        <v>0</v>
      </c>
      <c r="T429">
        <v>0</v>
      </c>
      <c r="U429">
        <v>0</v>
      </c>
    </row>
    <row r="430" spans="1:21" x14ac:dyDescent="0.25">
      <c r="A430">
        <v>429</v>
      </c>
      <c r="B430">
        <v>75339336</v>
      </c>
      <c r="C430" s="7" t="s">
        <v>70</v>
      </c>
      <c r="D430">
        <v>1093.45</v>
      </c>
      <c r="E430">
        <v>44.659399999999998</v>
      </c>
      <c r="F430">
        <v>1093.45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1.2187300000000001</v>
      </c>
      <c r="M430">
        <v>3</v>
      </c>
      <c r="N430">
        <v>0</v>
      </c>
      <c r="O430" s="7" t="s">
        <v>28</v>
      </c>
      <c r="P430">
        <v>0.30721399999999999</v>
      </c>
      <c r="Q430" s="7" t="s">
        <v>28</v>
      </c>
      <c r="R430">
        <v>0</v>
      </c>
      <c r="S430">
        <v>0</v>
      </c>
      <c r="T430">
        <v>0</v>
      </c>
      <c r="U430">
        <v>0.30721399999999999</v>
      </c>
    </row>
    <row r="431" spans="1:21" x14ac:dyDescent="0.25">
      <c r="A431">
        <v>430</v>
      </c>
      <c r="B431">
        <v>606580838</v>
      </c>
      <c r="C431" s="7" t="s">
        <v>70</v>
      </c>
      <c r="D431">
        <v>1110.51</v>
      </c>
      <c r="E431">
        <v>44.659399999999998</v>
      </c>
      <c r="F431">
        <v>1114.78</v>
      </c>
      <c r="G431">
        <v>0</v>
      </c>
      <c r="H431">
        <v>21.329699999999999</v>
      </c>
      <c r="I431">
        <v>0.5</v>
      </c>
      <c r="J431">
        <v>0.5</v>
      </c>
      <c r="K431">
        <v>0</v>
      </c>
      <c r="L431">
        <v>0.75344599999999995</v>
      </c>
      <c r="M431">
        <v>3</v>
      </c>
      <c r="N431">
        <v>0</v>
      </c>
      <c r="O431" s="7" t="s">
        <v>28</v>
      </c>
      <c r="P431">
        <v>9.6860100000000005E-2</v>
      </c>
      <c r="Q431" s="7" t="s">
        <v>137</v>
      </c>
      <c r="R431">
        <v>0</v>
      </c>
      <c r="S431">
        <v>0</v>
      </c>
      <c r="T431">
        <v>1</v>
      </c>
      <c r="U431">
        <v>1.0968599999999999</v>
      </c>
    </row>
    <row r="432" spans="1:21" x14ac:dyDescent="0.25">
      <c r="A432">
        <v>431</v>
      </c>
      <c r="B432">
        <v>409110375</v>
      </c>
      <c r="C432" s="7" t="s">
        <v>70</v>
      </c>
      <c r="D432">
        <v>1120.44</v>
      </c>
      <c r="E432">
        <v>44.659399999999998</v>
      </c>
      <c r="F432">
        <v>1122.92</v>
      </c>
      <c r="G432">
        <v>0</v>
      </c>
      <c r="H432">
        <v>12.4072</v>
      </c>
      <c r="I432">
        <v>0.5</v>
      </c>
      <c r="J432">
        <v>0.30030000000000001</v>
      </c>
      <c r="K432">
        <v>0.19570599999999999</v>
      </c>
      <c r="L432">
        <v>0</v>
      </c>
      <c r="M432">
        <v>3</v>
      </c>
      <c r="N432">
        <v>0</v>
      </c>
      <c r="O432" s="7" t="s">
        <v>28</v>
      </c>
      <c r="P432">
        <v>0.17810100000000001</v>
      </c>
      <c r="Q432" s="7" t="s">
        <v>137</v>
      </c>
      <c r="R432">
        <v>0</v>
      </c>
      <c r="S432">
        <v>0</v>
      </c>
      <c r="T432">
        <v>1</v>
      </c>
      <c r="U432">
        <v>1.1780999999999999</v>
      </c>
    </row>
    <row r="433" spans="1:21" x14ac:dyDescent="0.25">
      <c r="A433">
        <v>432</v>
      </c>
      <c r="B433">
        <v>755992754</v>
      </c>
      <c r="C433" s="7" t="s">
        <v>70</v>
      </c>
      <c r="D433">
        <v>1144.0899999999999</v>
      </c>
      <c r="E433">
        <v>43.926099999999998</v>
      </c>
      <c r="F433">
        <v>1150</v>
      </c>
      <c r="G433">
        <v>0</v>
      </c>
      <c r="H433">
        <v>29.5596</v>
      </c>
      <c r="I433">
        <v>0.5</v>
      </c>
      <c r="J433">
        <v>0.69570600000000005</v>
      </c>
      <c r="K433">
        <v>0</v>
      </c>
      <c r="L433">
        <v>5.49486E-2</v>
      </c>
      <c r="M433">
        <v>3</v>
      </c>
      <c r="N433">
        <v>0</v>
      </c>
      <c r="O433" s="7" t="s">
        <v>28</v>
      </c>
      <c r="P433">
        <v>0</v>
      </c>
      <c r="Q433" s="7" t="s">
        <v>137</v>
      </c>
      <c r="R433">
        <v>0</v>
      </c>
      <c r="S433">
        <v>0</v>
      </c>
      <c r="T433">
        <v>1</v>
      </c>
      <c r="U433">
        <v>0.32386500000000001</v>
      </c>
    </row>
    <row r="434" spans="1:21" x14ac:dyDescent="0.25">
      <c r="A434">
        <v>433</v>
      </c>
      <c r="B434">
        <v>554247322</v>
      </c>
      <c r="C434" s="7" t="s">
        <v>70</v>
      </c>
      <c r="D434">
        <v>1143.0899999999999</v>
      </c>
      <c r="E434">
        <v>43.926099999999998</v>
      </c>
      <c r="F434">
        <v>1143.0899999999999</v>
      </c>
      <c r="G434">
        <v>0</v>
      </c>
      <c r="H434">
        <v>-1.01</v>
      </c>
      <c r="I434">
        <v>0.5</v>
      </c>
      <c r="J434">
        <v>0</v>
      </c>
      <c r="K434">
        <v>0.49</v>
      </c>
      <c r="L434">
        <v>0</v>
      </c>
      <c r="M434">
        <v>3</v>
      </c>
      <c r="N434">
        <v>0</v>
      </c>
      <c r="O434" s="7" t="s">
        <v>28</v>
      </c>
      <c r="P434">
        <v>0</v>
      </c>
      <c r="Q434" s="7" t="s">
        <v>137</v>
      </c>
      <c r="R434">
        <v>0</v>
      </c>
      <c r="S434">
        <v>0</v>
      </c>
      <c r="T434">
        <v>1</v>
      </c>
      <c r="U434">
        <v>0.549454</v>
      </c>
    </row>
    <row r="435" spans="1:21" x14ac:dyDescent="0.25">
      <c r="A435">
        <v>434</v>
      </c>
      <c r="B435">
        <v>754713312</v>
      </c>
      <c r="C435" s="7" t="s">
        <v>70</v>
      </c>
      <c r="D435">
        <v>1159.43</v>
      </c>
      <c r="E435">
        <v>42.558900000000001</v>
      </c>
      <c r="F435">
        <v>1163.51</v>
      </c>
      <c r="G435">
        <v>0</v>
      </c>
      <c r="H435">
        <v>20.416599999999999</v>
      </c>
      <c r="I435">
        <v>0.5</v>
      </c>
      <c r="J435">
        <v>0.50345200000000001</v>
      </c>
      <c r="K435">
        <v>0.47681699999999999</v>
      </c>
      <c r="L435">
        <v>0</v>
      </c>
      <c r="M435">
        <v>3</v>
      </c>
      <c r="N435">
        <v>0</v>
      </c>
      <c r="O435" s="7" t="s">
        <v>28</v>
      </c>
      <c r="P435">
        <v>0</v>
      </c>
      <c r="Q435" s="7" t="s">
        <v>137</v>
      </c>
      <c r="R435">
        <v>0</v>
      </c>
      <c r="S435">
        <v>0</v>
      </c>
      <c r="T435">
        <v>1</v>
      </c>
      <c r="U435">
        <v>5.8999999999999997E-2</v>
      </c>
    </row>
    <row r="436" spans="1:21" x14ac:dyDescent="0.25">
      <c r="A436">
        <v>435</v>
      </c>
      <c r="B436">
        <v>763846463</v>
      </c>
      <c r="C436" s="7" t="s">
        <v>70</v>
      </c>
      <c r="D436">
        <v>1191.8900000000001</v>
      </c>
      <c r="E436">
        <v>42.558900000000001</v>
      </c>
      <c r="F436">
        <v>1200</v>
      </c>
      <c r="G436">
        <v>0</v>
      </c>
      <c r="H436">
        <v>40.572299999999998</v>
      </c>
      <c r="I436">
        <v>0.5</v>
      </c>
      <c r="J436">
        <v>0.97681700000000005</v>
      </c>
      <c r="K436">
        <v>0</v>
      </c>
      <c r="L436">
        <v>0.420427</v>
      </c>
      <c r="M436">
        <v>3</v>
      </c>
      <c r="N436">
        <v>0</v>
      </c>
      <c r="O436" s="7" t="s">
        <v>28</v>
      </c>
      <c r="P436">
        <v>0</v>
      </c>
      <c r="Q436" s="7" t="s">
        <v>137</v>
      </c>
      <c r="R436">
        <v>0</v>
      </c>
      <c r="S436">
        <v>0</v>
      </c>
      <c r="T436">
        <v>1</v>
      </c>
      <c r="U436">
        <v>7.0864300000000005E-2</v>
      </c>
    </row>
    <row r="437" spans="1:21" x14ac:dyDescent="0.25">
      <c r="A437">
        <v>436</v>
      </c>
      <c r="B437">
        <v>219356870</v>
      </c>
      <c r="C437" s="7" t="s">
        <v>70</v>
      </c>
      <c r="D437">
        <v>1203.3800000000001</v>
      </c>
      <c r="E437">
        <v>42.626100000000001</v>
      </c>
      <c r="F437">
        <v>1206.26</v>
      </c>
      <c r="G437">
        <v>0</v>
      </c>
      <c r="H437">
        <v>14.364100000000001</v>
      </c>
      <c r="I437">
        <v>0.5</v>
      </c>
      <c r="J437">
        <v>0.36050399999999999</v>
      </c>
      <c r="K437">
        <v>0.13670599999999999</v>
      </c>
      <c r="L437">
        <v>0</v>
      </c>
      <c r="M437">
        <v>3</v>
      </c>
      <c r="N437">
        <v>0</v>
      </c>
      <c r="O437" s="7" t="s">
        <v>28</v>
      </c>
      <c r="P437">
        <v>0</v>
      </c>
      <c r="Q437" s="7" t="s">
        <v>137</v>
      </c>
      <c r="R437">
        <v>0</v>
      </c>
      <c r="S437">
        <v>0</v>
      </c>
      <c r="T437">
        <v>1</v>
      </c>
      <c r="U437">
        <v>0.87838400000000005</v>
      </c>
    </row>
    <row r="438" spans="1:21" x14ac:dyDescent="0.25">
      <c r="A438">
        <v>437</v>
      </c>
      <c r="B438">
        <v>410799490</v>
      </c>
      <c r="C438" s="7" t="s">
        <v>70</v>
      </c>
      <c r="D438">
        <v>1224.29</v>
      </c>
      <c r="E438">
        <v>42.626100000000001</v>
      </c>
      <c r="F438">
        <v>1229.52</v>
      </c>
      <c r="G438">
        <v>0</v>
      </c>
      <c r="H438">
        <v>26.1403</v>
      </c>
      <c r="I438">
        <v>0.5</v>
      </c>
      <c r="J438">
        <v>0.63670599999999999</v>
      </c>
      <c r="K438">
        <v>0</v>
      </c>
      <c r="L438">
        <v>0</v>
      </c>
      <c r="M438">
        <v>3</v>
      </c>
      <c r="N438">
        <v>0</v>
      </c>
      <c r="O438" s="7" t="s">
        <v>28</v>
      </c>
      <c r="P438">
        <v>0</v>
      </c>
      <c r="Q438" s="7" t="s">
        <v>137</v>
      </c>
      <c r="R438">
        <v>0</v>
      </c>
      <c r="S438">
        <v>0</v>
      </c>
      <c r="T438">
        <v>1</v>
      </c>
      <c r="U438">
        <v>0.37696499999999999</v>
      </c>
    </row>
    <row r="439" spans="1:21" x14ac:dyDescent="0.25">
      <c r="A439">
        <v>438</v>
      </c>
      <c r="B439">
        <v>97873848</v>
      </c>
      <c r="C439" s="7" t="s">
        <v>70</v>
      </c>
      <c r="D439">
        <v>1235.42</v>
      </c>
      <c r="E439">
        <v>43.62</v>
      </c>
      <c r="F439">
        <v>1238.21</v>
      </c>
      <c r="G439">
        <v>0</v>
      </c>
      <c r="H439">
        <v>13.9091</v>
      </c>
      <c r="I439">
        <v>0.5</v>
      </c>
      <c r="J439">
        <v>0.34186800000000001</v>
      </c>
      <c r="K439">
        <v>0.154969</v>
      </c>
      <c r="L439">
        <v>0</v>
      </c>
      <c r="M439">
        <v>3</v>
      </c>
      <c r="N439">
        <v>0</v>
      </c>
      <c r="O439" s="7" t="s">
        <v>28</v>
      </c>
      <c r="P439">
        <v>0</v>
      </c>
      <c r="Q439" s="7" t="s">
        <v>137</v>
      </c>
      <c r="R439">
        <v>0</v>
      </c>
      <c r="S439">
        <v>0</v>
      </c>
      <c r="T439">
        <v>1</v>
      </c>
      <c r="U439">
        <v>0.5</v>
      </c>
    </row>
    <row r="440" spans="1:21" x14ac:dyDescent="0.25">
      <c r="A440">
        <v>439</v>
      </c>
      <c r="B440">
        <v>122114084</v>
      </c>
      <c r="C440" s="7" t="s">
        <v>70</v>
      </c>
      <c r="D440">
        <v>1257.48</v>
      </c>
      <c r="E440">
        <v>43.62</v>
      </c>
      <c r="F440">
        <v>1262.99</v>
      </c>
      <c r="G440">
        <v>0</v>
      </c>
      <c r="H440">
        <v>27.569800000000001</v>
      </c>
      <c r="I440">
        <v>0.5</v>
      </c>
      <c r="J440">
        <v>0.65496900000000002</v>
      </c>
      <c r="K440">
        <v>0</v>
      </c>
      <c r="L440">
        <v>0</v>
      </c>
      <c r="M440">
        <v>3</v>
      </c>
      <c r="N440">
        <v>0</v>
      </c>
      <c r="O440" s="7" t="s">
        <v>28</v>
      </c>
      <c r="P440">
        <v>0</v>
      </c>
      <c r="Q440" s="7" t="s">
        <v>137</v>
      </c>
      <c r="R440">
        <v>0</v>
      </c>
      <c r="S440">
        <v>0</v>
      </c>
      <c r="T440">
        <v>1</v>
      </c>
      <c r="U440">
        <v>0.36052800000000002</v>
      </c>
    </row>
    <row r="441" spans="1:21" x14ac:dyDescent="0.25">
      <c r="A441">
        <v>440</v>
      </c>
      <c r="B441">
        <v>878262718</v>
      </c>
      <c r="C441" s="7" t="s">
        <v>70</v>
      </c>
      <c r="D441">
        <v>1274.3499999999999</v>
      </c>
      <c r="E441">
        <v>44.180999999999997</v>
      </c>
      <c r="F441">
        <v>1278.57</v>
      </c>
      <c r="G441">
        <v>0</v>
      </c>
      <c r="H441">
        <v>21.090499999999999</v>
      </c>
      <c r="I441">
        <v>0.5</v>
      </c>
      <c r="J441">
        <v>0.5</v>
      </c>
      <c r="K441">
        <v>0</v>
      </c>
      <c r="L441">
        <v>0</v>
      </c>
      <c r="M441">
        <v>3</v>
      </c>
      <c r="N441">
        <v>0</v>
      </c>
      <c r="O441" s="7" t="s">
        <v>28</v>
      </c>
      <c r="P441">
        <v>0</v>
      </c>
      <c r="Q441" s="7" t="s">
        <v>137</v>
      </c>
      <c r="R441">
        <v>0</v>
      </c>
      <c r="S441">
        <v>0</v>
      </c>
      <c r="T441">
        <v>1</v>
      </c>
      <c r="U441">
        <v>0.5</v>
      </c>
    </row>
    <row r="442" spans="1:21" x14ac:dyDescent="0.25">
      <c r="A442">
        <v>441</v>
      </c>
      <c r="B442">
        <v>680385536</v>
      </c>
      <c r="C442" s="7" t="s">
        <v>70</v>
      </c>
      <c r="D442">
        <v>1292.71</v>
      </c>
      <c r="E442">
        <v>47.8857</v>
      </c>
      <c r="F442">
        <v>1297.3</v>
      </c>
      <c r="G442">
        <v>0</v>
      </c>
      <c r="H442">
        <v>22.942799999999998</v>
      </c>
      <c r="I442">
        <v>0.5</v>
      </c>
      <c r="J442">
        <v>0.5</v>
      </c>
      <c r="K442">
        <v>0</v>
      </c>
      <c r="L442">
        <v>0.27626200000000001</v>
      </c>
      <c r="M442">
        <v>3</v>
      </c>
      <c r="N442">
        <v>0</v>
      </c>
      <c r="O442" s="7" t="s">
        <v>28</v>
      </c>
      <c r="P442">
        <v>0</v>
      </c>
      <c r="Q442" s="7" t="s">
        <v>137</v>
      </c>
      <c r="R442">
        <v>0</v>
      </c>
      <c r="S442">
        <v>0</v>
      </c>
      <c r="T442">
        <v>1</v>
      </c>
      <c r="U442">
        <v>0.5</v>
      </c>
    </row>
    <row r="443" spans="1:21" x14ac:dyDescent="0.25">
      <c r="A443">
        <v>442</v>
      </c>
      <c r="B443">
        <v>614636719</v>
      </c>
      <c r="C443" s="7" t="s">
        <v>70</v>
      </c>
      <c r="D443">
        <v>1311.06</v>
      </c>
      <c r="E443">
        <v>47.8857</v>
      </c>
      <c r="F443">
        <v>1315.65</v>
      </c>
      <c r="G443">
        <v>0</v>
      </c>
      <c r="H443">
        <v>22.942799999999998</v>
      </c>
      <c r="I443">
        <v>0.5</v>
      </c>
      <c r="J443">
        <v>0.5</v>
      </c>
      <c r="K443">
        <v>0</v>
      </c>
      <c r="L443">
        <v>0.71284700000000001</v>
      </c>
      <c r="M443">
        <v>3</v>
      </c>
      <c r="N443">
        <v>0</v>
      </c>
      <c r="O443" s="7" t="s">
        <v>28</v>
      </c>
      <c r="P443">
        <v>0</v>
      </c>
      <c r="Q443" s="7" t="s">
        <v>137</v>
      </c>
      <c r="R443">
        <v>0</v>
      </c>
      <c r="S443">
        <v>0</v>
      </c>
      <c r="T443">
        <v>1</v>
      </c>
      <c r="U443">
        <v>0.74863599999999997</v>
      </c>
    </row>
    <row r="444" spans="1:21" x14ac:dyDescent="0.25">
      <c r="A444">
        <v>443</v>
      </c>
      <c r="B444">
        <v>667089082</v>
      </c>
      <c r="C444" s="7" t="s">
        <v>70</v>
      </c>
      <c r="D444">
        <v>1329.42</v>
      </c>
      <c r="E444">
        <v>47.8857</v>
      </c>
      <c r="F444">
        <v>1334</v>
      </c>
      <c r="G444">
        <v>0</v>
      </c>
      <c r="H444">
        <v>22.942799999999998</v>
      </c>
      <c r="I444">
        <v>0.5</v>
      </c>
      <c r="J444">
        <v>0.5</v>
      </c>
      <c r="K444">
        <v>0</v>
      </c>
      <c r="L444">
        <v>0.97976399999999997</v>
      </c>
      <c r="M444">
        <v>3</v>
      </c>
      <c r="N444">
        <v>0</v>
      </c>
      <c r="O444" s="7" t="s">
        <v>28</v>
      </c>
      <c r="P444">
        <v>0.14156199999999999</v>
      </c>
      <c r="Q444" s="7" t="s">
        <v>137</v>
      </c>
      <c r="R444">
        <v>0</v>
      </c>
      <c r="S444">
        <v>0</v>
      </c>
      <c r="T444">
        <v>1</v>
      </c>
      <c r="U444">
        <v>1.1415599999999999</v>
      </c>
    </row>
    <row r="445" spans="1:21" x14ac:dyDescent="0.25">
      <c r="A445">
        <v>444</v>
      </c>
      <c r="B445">
        <v>754475882</v>
      </c>
      <c r="C445" s="7" t="s">
        <v>70</v>
      </c>
      <c r="D445">
        <v>1347.77</v>
      </c>
      <c r="E445">
        <v>47.8857</v>
      </c>
      <c r="F445">
        <v>1352.36</v>
      </c>
      <c r="G445">
        <v>0</v>
      </c>
      <c r="H445">
        <v>22.942799999999998</v>
      </c>
      <c r="I445">
        <v>0.5</v>
      </c>
      <c r="J445">
        <v>0.5</v>
      </c>
      <c r="K445">
        <v>0</v>
      </c>
      <c r="L445">
        <v>0.82543800000000001</v>
      </c>
      <c r="M445">
        <v>3</v>
      </c>
      <c r="N445">
        <v>0</v>
      </c>
      <c r="O445" s="7" t="s">
        <v>28</v>
      </c>
      <c r="P445">
        <v>0.38178800000000002</v>
      </c>
      <c r="Q445" s="7" t="s">
        <v>137</v>
      </c>
      <c r="R445">
        <v>0</v>
      </c>
      <c r="S445">
        <v>0</v>
      </c>
      <c r="T445">
        <v>1</v>
      </c>
      <c r="U445">
        <v>1.3817900000000001</v>
      </c>
    </row>
    <row r="446" spans="1:21" x14ac:dyDescent="0.25">
      <c r="A446">
        <v>445</v>
      </c>
      <c r="B446">
        <v>664340012</v>
      </c>
      <c r="C446" s="7" t="s">
        <v>70</v>
      </c>
      <c r="D446">
        <v>1366.12</v>
      </c>
      <c r="E446">
        <v>47.8857</v>
      </c>
      <c r="F446">
        <v>1370.71</v>
      </c>
      <c r="G446">
        <v>0</v>
      </c>
      <c r="H446">
        <v>22.942799999999998</v>
      </c>
      <c r="I446">
        <v>0.5</v>
      </c>
      <c r="J446">
        <v>0.5</v>
      </c>
      <c r="K446">
        <v>0</v>
      </c>
      <c r="L446">
        <v>2.5027900000000001</v>
      </c>
      <c r="M446">
        <v>3</v>
      </c>
      <c r="N446">
        <v>0</v>
      </c>
      <c r="O446" s="7" t="s">
        <v>28</v>
      </c>
      <c r="P446">
        <v>0.242894</v>
      </c>
      <c r="Q446" s="7" t="s">
        <v>137</v>
      </c>
      <c r="R446">
        <v>0</v>
      </c>
      <c r="S446">
        <v>0</v>
      </c>
      <c r="T446">
        <v>1</v>
      </c>
      <c r="U446">
        <v>1.2428900000000001</v>
      </c>
    </row>
    <row r="447" spans="1:21" x14ac:dyDescent="0.25">
      <c r="A447">
        <v>446</v>
      </c>
      <c r="B447">
        <v>662731058</v>
      </c>
      <c r="C447" s="7" t="s">
        <v>70</v>
      </c>
      <c r="D447">
        <v>1364.12</v>
      </c>
      <c r="E447">
        <v>47.8857</v>
      </c>
      <c r="F447">
        <v>1364.12</v>
      </c>
      <c r="G447">
        <v>0</v>
      </c>
      <c r="H447">
        <v>-2.02</v>
      </c>
      <c r="I447">
        <v>1</v>
      </c>
      <c r="J447">
        <v>0</v>
      </c>
      <c r="K447">
        <v>0.98</v>
      </c>
      <c r="L447">
        <v>0</v>
      </c>
      <c r="M447">
        <v>3</v>
      </c>
      <c r="N447">
        <v>0</v>
      </c>
      <c r="O447" s="7" t="s">
        <v>28</v>
      </c>
      <c r="P447">
        <v>0.75251299999999999</v>
      </c>
      <c r="Q447" s="7" t="s">
        <v>138</v>
      </c>
      <c r="R447">
        <v>0</v>
      </c>
      <c r="S447">
        <v>0</v>
      </c>
      <c r="T447">
        <v>2</v>
      </c>
      <c r="U447">
        <v>2.75251</v>
      </c>
    </row>
    <row r="448" spans="1:21" x14ac:dyDescent="0.25">
      <c r="A448">
        <v>447</v>
      </c>
      <c r="B448">
        <v>608743063</v>
      </c>
      <c r="C448" s="7" t="s">
        <v>70</v>
      </c>
      <c r="D448">
        <v>1363.12</v>
      </c>
      <c r="E448">
        <v>47.8857</v>
      </c>
      <c r="F448">
        <v>1363.12</v>
      </c>
      <c r="G448">
        <v>0</v>
      </c>
      <c r="H448">
        <v>-1.0296000000000001</v>
      </c>
      <c r="I448">
        <v>0.5</v>
      </c>
      <c r="J448">
        <v>0</v>
      </c>
      <c r="K448">
        <v>1.4503999999999999</v>
      </c>
      <c r="L448">
        <v>0</v>
      </c>
      <c r="M448">
        <v>3</v>
      </c>
      <c r="N448">
        <v>0</v>
      </c>
      <c r="O448" s="7" t="s">
        <v>28</v>
      </c>
      <c r="P448">
        <v>0</v>
      </c>
      <c r="Q448" s="7" t="s">
        <v>137</v>
      </c>
      <c r="R448">
        <v>0</v>
      </c>
      <c r="S448">
        <v>0</v>
      </c>
      <c r="T448">
        <v>1</v>
      </c>
      <c r="U448">
        <v>0.11799999999999999</v>
      </c>
    </row>
    <row r="449" spans="1:21" x14ac:dyDescent="0.25">
      <c r="A449">
        <v>448</v>
      </c>
      <c r="B449">
        <v>319927294</v>
      </c>
      <c r="C449" s="7" t="s">
        <v>70</v>
      </c>
      <c r="D449">
        <v>1418.46</v>
      </c>
      <c r="E449">
        <v>47.8857</v>
      </c>
      <c r="F449">
        <v>1432.3</v>
      </c>
      <c r="G449">
        <v>0</v>
      </c>
      <c r="H449">
        <v>69.171400000000006</v>
      </c>
      <c r="I449">
        <v>0</v>
      </c>
      <c r="J449">
        <v>1.44451</v>
      </c>
      <c r="K449">
        <v>5.7689999999999998E-3</v>
      </c>
      <c r="L449">
        <v>0</v>
      </c>
      <c r="M449">
        <v>3</v>
      </c>
      <c r="N449">
        <v>0</v>
      </c>
      <c r="O449" s="7" t="s">
        <v>28</v>
      </c>
      <c r="P449">
        <v>0</v>
      </c>
      <c r="Q449" s="7" t="s">
        <v>28</v>
      </c>
      <c r="R449">
        <v>0</v>
      </c>
      <c r="S449">
        <v>0</v>
      </c>
      <c r="T449">
        <v>0</v>
      </c>
      <c r="U449">
        <v>0</v>
      </c>
    </row>
    <row r="450" spans="1:21" x14ac:dyDescent="0.25">
      <c r="A450">
        <v>449</v>
      </c>
      <c r="B450">
        <v>399476449</v>
      </c>
      <c r="C450" s="7" t="s">
        <v>70</v>
      </c>
      <c r="D450">
        <v>1418.68</v>
      </c>
      <c r="E450">
        <v>47.8857</v>
      </c>
      <c r="F450">
        <v>1418.74</v>
      </c>
      <c r="G450">
        <v>0</v>
      </c>
      <c r="H450">
        <v>0.276252</v>
      </c>
      <c r="I450">
        <v>0</v>
      </c>
      <c r="J450">
        <v>5.7689999999999998E-3</v>
      </c>
      <c r="K450">
        <v>0</v>
      </c>
      <c r="L450">
        <v>0.586067</v>
      </c>
      <c r="M450">
        <v>3</v>
      </c>
      <c r="N450">
        <v>0</v>
      </c>
      <c r="O450" s="7" t="s">
        <v>28</v>
      </c>
      <c r="P450">
        <v>0</v>
      </c>
      <c r="Q450" s="7" t="s">
        <v>28</v>
      </c>
      <c r="R450">
        <v>0</v>
      </c>
      <c r="S450">
        <v>0</v>
      </c>
      <c r="T450">
        <v>0</v>
      </c>
      <c r="U450">
        <v>0</v>
      </c>
    </row>
    <row r="451" spans="1:21" x14ac:dyDescent="0.25">
      <c r="A451">
        <v>450</v>
      </c>
      <c r="B451">
        <v>823902069</v>
      </c>
      <c r="C451" s="7" t="s">
        <v>70</v>
      </c>
      <c r="D451">
        <v>1418.68</v>
      </c>
      <c r="E451">
        <v>48.373899999999999</v>
      </c>
      <c r="F451">
        <v>1418.68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3</v>
      </c>
      <c r="N451">
        <v>0</v>
      </c>
      <c r="O451" s="7" t="s">
        <v>28</v>
      </c>
      <c r="P451">
        <v>0.52746000000000004</v>
      </c>
      <c r="Q451" s="7" t="s">
        <v>28</v>
      </c>
      <c r="R451">
        <v>0</v>
      </c>
      <c r="S451">
        <v>0</v>
      </c>
      <c r="T451">
        <v>0</v>
      </c>
      <c r="U451">
        <v>0.52746000000000004</v>
      </c>
    </row>
    <row r="452" spans="1:21" x14ac:dyDescent="0.25">
      <c r="A452">
        <v>451</v>
      </c>
      <c r="B452">
        <v>503335271</v>
      </c>
      <c r="C452" s="7" t="s">
        <v>70</v>
      </c>
      <c r="D452">
        <v>1418.68</v>
      </c>
      <c r="E452">
        <v>51.759900000000002</v>
      </c>
      <c r="F452">
        <v>1418.68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1.08795</v>
      </c>
      <c r="M452">
        <v>3</v>
      </c>
      <c r="N452">
        <v>0</v>
      </c>
      <c r="O452" s="7" t="s">
        <v>28</v>
      </c>
      <c r="P452">
        <v>0</v>
      </c>
      <c r="Q452" s="7" t="s">
        <v>28</v>
      </c>
      <c r="R452">
        <v>0</v>
      </c>
      <c r="S452">
        <v>0</v>
      </c>
      <c r="T452">
        <v>0</v>
      </c>
      <c r="U452">
        <v>0</v>
      </c>
    </row>
    <row r="453" spans="1:21" x14ac:dyDescent="0.25">
      <c r="A453">
        <v>452</v>
      </c>
      <c r="B453">
        <v>499421395</v>
      </c>
      <c r="C453" s="7" t="s">
        <v>70</v>
      </c>
      <c r="D453">
        <v>1418.68</v>
      </c>
      <c r="E453">
        <v>51.759900000000002</v>
      </c>
      <c r="F453">
        <v>1418.68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1.47454</v>
      </c>
      <c r="M453">
        <v>3</v>
      </c>
      <c r="N453">
        <v>0</v>
      </c>
      <c r="O453" s="7" t="s">
        <v>28</v>
      </c>
      <c r="P453">
        <v>0.97915300000000005</v>
      </c>
      <c r="Q453" s="7" t="s">
        <v>28</v>
      </c>
      <c r="R453">
        <v>0</v>
      </c>
      <c r="S453">
        <v>0</v>
      </c>
      <c r="T453">
        <v>0</v>
      </c>
      <c r="U453">
        <v>0.97915300000000005</v>
      </c>
    </row>
    <row r="454" spans="1:21" x14ac:dyDescent="0.25">
      <c r="A454">
        <v>453</v>
      </c>
      <c r="B454">
        <v>112437424</v>
      </c>
      <c r="C454" s="7" t="s">
        <v>70</v>
      </c>
      <c r="D454">
        <v>1438.59</v>
      </c>
      <c r="E454">
        <v>51.759900000000002</v>
      </c>
      <c r="F454">
        <v>1443.56</v>
      </c>
      <c r="G454">
        <v>0</v>
      </c>
      <c r="H454">
        <v>24.88</v>
      </c>
      <c r="I454">
        <v>0.5</v>
      </c>
      <c r="J454">
        <v>0.5</v>
      </c>
      <c r="K454">
        <v>0</v>
      </c>
      <c r="L454">
        <v>1.2174</v>
      </c>
      <c r="M454">
        <v>3</v>
      </c>
      <c r="N454">
        <v>0</v>
      </c>
      <c r="O454" s="7" t="s">
        <v>28</v>
      </c>
      <c r="P454">
        <v>0.32708300000000001</v>
      </c>
      <c r="Q454" s="7" t="s">
        <v>139</v>
      </c>
      <c r="R454">
        <v>0</v>
      </c>
      <c r="S454">
        <v>0</v>
      </c>
      <c r="T454">
        <v>1</v>
      </c>
      <c r="U454">
        <v>1.32708</v>
      </c>
    </row>
    <row r="455" spans="1:21" x14ac:dyDescent="0.25">
      <c r="A455">
        <v>454</v>
      </c>
      <c r="B455">
        <v>690505706</v>
      </c>
      <c r="C455" s="7" t="s">
        <v>70</v>
      </c>
      <c r="D455">
        <v>1440.28</v>
      </c>
      <c r="E455">
        <v>51.759900000000002</v>
      </c>
      <c r="F455">
        <v>1440.7</v>
      </c>
      <c r="G455">
        <v>0</v>
      </c>
      <c r="H455">
        <v>2.0999099999999999</v>
      </c>
      <c r="I455">
        <v>0.5</v>
      </c>
      <c r="J455">
        <v>6.0060099999999998E-2</v>
      </c>
      <c r="K455">
        <v>0.431141</v>
      </c>
      <c r="L455">
        <v>0</v>
      </c>
      <c r="M455">
        <v>3</v>
      </c>
      <c r="N455">
        <v>0</v>
      </c>
      <c r="O455" s="7" t="s">
        <v>28</v>
      </c>
      <c r="P455">
        <v>0.59565699999999999</v>
      </c>
      <c r="Q455" s="7" t="s">
        <v>139</v>
      </c>
      <c r="R455">
        <v>0</v>
      </c>
      <c r="S455">
        <v>0</v>
      </c>
      <c r="T455">
        <v>1</v>
      </c>
      <c r="U455">
        <v>1.5956600000000001</v>
      </c>
    </row>
    <row r="456" spans="1:21" x14ac:dyDescent="0.25">
      <c r="A456">
        <v>455</v>
      </c>
      <c r="B456">
        <v>217190435</v>
      </c>
      <c r="C456" s="7" t="s">
        <v>70</v>
      </c>
      <c r="D456">
        <v>1475.36</v>
      </c>
      <c r="E456">
        <v>48.176299999999998</v>
      </c>
      <c r="F456">
        <v>1484.13</v>
      </c>
      <c r="G456">
        <v>0</v>
      </c>
      <c r="H456">
        <v>43.858899999999998</v>
      </c>
      <c r="I456">
        <v>0.5</v>
      </c>
      <c r="J456">
        <v>0.931141</v>
      </c>
      <c r="K456">
        <v>0</v>
      </c>
      <c r="L456">
        <v>0</v>
      </c>
      <c r="M456">
        <v>3</v>
      </c>
      <c r="N456">
        <v>0</v>
      </c>
      <c r="O456" s="7" t="s">
        <v>28</v>
      </c>
      <c r="P456">
        <v>0</v>
      </c>
      <c r="Q456" s="7" t="s">
        <v>139</v>
      </c>
      <c r="R456">
        <v>0</v>
      </c>
      <c r="S456">
        <v>0</v>
      </c>
      <c r="T456">
        <v>1</v>
      </c>
      <c r="U456">
        <v>0.111973</v>
      </c>
    </row>
    <row r="457" spans="1:21" x14ac:dyDescent="0.25">
      <c r="A457">
        <v>456</v>
      </c>
      <c r="B457">
        <v>216659257</v>
      </c>
      <c r="C457" s="7" t="s">
        <v>70</v>
      </c>
      <c r="D457">
        <v>1495.48</v>
      </c>
      <c r="E457">
        <v>52.286299999999997</v>
      </c>
      <c r="F457">
        <v>1500.51</v>
      </c>
      <c r="G457">
        <v>0</v>
      </c>
      <c r="H457">
        <v>25.1431</v>
      </c>
      <c r="I457">
        <v>0.5</v>
      </c>
      <c r="J457">
        <v>0.5</v>
      </c>
      <c r="K457">
        <v>0</v>
      </c>
      <c r="L457">
        <v>6.0060099999999998E-2</v>
      </c>
      <c r="M457">
        <v>3</v>
      </c>
      <c r="N457">
        <v>0</v>
      </c>
      <c r="O457" s="7" t="s">
        <v>28</v>
      </c>
      <c r="P457">
        <v>0</v>
      </c>
      <c r="Q457" s="7" t="s">
        <v>139</v>
      </c>
      <c r="R457">
        <v>0</v>
      </c>
      <c r="S457">
        <v>0</v>
      </c>
      <c r="T457">
        <v>1</v>
      </c>
      <c r="U457">
        <v>0.5</v>
      </c>
    </row>
    <row r="458" spans="1:21" x14ac:dyDescent="0.25">
      <c r="A458">
        <v>457</v>
      </c>
      <c r="B458">
        <v>928193350</v>
      </c>
      <c r="C458" s="7" t="s">
        <v>70</v>
      </c>
      <c r="D458">
        <v>1494.48</v>
      </c>
      <c r="E458">
        <v>52.286299999999997</v>
      </c>
      <c r="F458">
        <v>1494.48</v>
      </c>
      <c r="G458">
        <v>0</v>
      </c>
      <c r="H458">
        <v>-1.01</v>
      </c>
      <c r="I458">
        <v>0.5</v>
      </c>
      <c r="J458">
        <v>0</v>
      </c>
      <c r="K458">
        <v>0.49</v>
      </c>
      <c r="L458">
        <v>0</v>
      </c>
      <c r="M458">
        <v>3</v>
      </c>
      <c r="N458">
        <v>0</v>
      </c>
      <c r="O458" s="7" t="s">
        <v>28</v>
      </c>
      <c r="P458">
        <v>0</v>
      </c>
      <c r="Q458" s="7" t="s">
        <v>139</v>
      </c>
      <c r="R458">
        <v>0</v>
      </c>
      <c r="S458">
        <v>0</v>
      </c>
      <c r="T458">
        <v>1</v>
      </c>
      <c r="U458">
        <v>0.55405400000000005</v>
      </c>
    </row>
    <row r="459" spans="1:21" x14ac:dyDescent="0.25">
      <c r="A459">
        <v>458</v>
      </c>
      <c r="B459">
        <v>214032322</v>
      </c>
      <c r="C459" s="7" t="s">
        <v>70</v>
      </c>
      <c r="D459">
        <v>1506.24</v>
      </c>
      <c r="E459">
        <v>52.286299999999997</v>
      </c>
      <c r="F459">
        <v>1509.18</v>
      </c>
      <c r="G459">
        <v>0</v>
      </c>
      <c r="H459">
        <v>14.687799999999999</v>
      </c>
      <c r="I459">
        <v>0.5</v>
      </c>
      <c r="J459">
        <v>0.30030000000000001</v>
      </c>
      <c r="K459">
        <v>0.67590600000000001</v>
      </c>
      <c r="L459">
        <v>0</v>
      </c>
      <c r="M459">
        <v>3</v>
      </c>
      <c r="N459">
        <v>0</v>
      </c>
      <c r="O459" s="7" t="s">
        <v>28</v>
      </c>
      <c r="P459">
        <v>0</v>
      </c>
      <c r="Q459" s="7" t="s">
        <v>139</v>
      </c>
      <c r="R459">
        <v>0</v>
      </c>
      <c r="S459">
        <v>0</v>
      </c>
      <c r="T459">
        <v>1</v>
      </c>
      <c r="U459">
        <v>5.8999999999999997E-2</v>
      </c>
    </row>
    <row r="460" spans="1:21" x14ac:dyDescent="0.25">
      <c r="A460">
        <v>459</v>
      </c>
      <c r="B460">
        <v>544625282</v>
      </c>
      <c r="C460" s="7" t="s">
        <v>70</v>
      </c>
      <c r="D460">
        <v>1534.51</v>
      </c>
      <c r="E460">
        <v>52.286299999999997</v>
      </c>
      <c r="F460">
        <v>1541.58</v>
      </c>
      <c r="G460">
        <v>0</v>
      </c>
      <c r="H460">
        <v>35.340600000000002</v>
      </c>
      <c r="I460">
        <v>0</v>
      </c>
      <c r="J460">
        <v>0.67590600000000001</v>
      </c>
      <c r="K460">
        <v>0</v>
      </c>
      <c r="L460">
        <v>0.78078099999999995</v>
      </c>
      <c r="M460">
        <v>3</v>
      </c>
      <c r="N460">
        <v>0</v>
      </c>
      <c r="O460" s="7" t="s">
        <v>28</v>
      </c>
      <c r="P460">
        <v>0</v>
      </c>
      <c r="Q460" s="7" t="s">
        <v>28</v>
      </c>
      <c r="R460">
        <v>0</v>
      </c>
      <c r="S460">
        <v>0</v>
      </c>
      <c r="T460">
        <v>0</v>
      </c>
      <c r="U460">
        <v>0</v>
      </c>
    </row>
    <row r="461" spans="1:21" x14ac:dyDescent="0.25">
      <c r="A461">
        <v>460</v>
      </c>
      <c r="B461">
        <v>837644506</v>
      </c>
      <c r="C461" s="7" t="s">
        <v>70</v>
      </c>
      <c r="D461">
        <v>1534.51</v>
      </c>
      <c r="E461">
        <v>53.835599999999999</v>
      </c>
      <c r="F461">
        <v>1534.51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O461" s="7" t="s">
        <v>28</v>
      </c>
      <c r="P461">
        <v>0.70270299999999997</v>
      </c>
      <c r="Q461" s="7" t="s">
        <v>28</v>
      </c>
      <c r="R461">
        <v>0</v>
      </c>
      <c r="S461">
        <v>0</v>
      </c>
      <c r="T461">
        <v>0</v>
      </c>
      <c r="U461">
        <v>0.70270299999999997</v>
      </c>
    </row>
    <row r="462" spans="1:21" x14ac:dyDescent="0.25">
      <c r="A462">
        <v>461</v>
      </c>
      <c r="B462">
        <v>502279971</v>
      </c>
      <c r="C462" s="7" t="s">
        <v>70</v>
      </c>
      <c r="D462">
        <v>1534.51</v>
      </c>
      <c r="E462">
        <v>55.116199999999999</v>
      </c>
      <c r="F462">
        <v>1534.51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1.09067</v>
      </c>
      <c r="M462">
        <v>3</v>
      </c>
      <c r="N462">
        <v>0</v>
      </c>
      <c r="O462" s="7" t="s">
        <v>28</v>
      </c>
      <c r="P462">
        <v>0</v>
      </c>
      <c r="Q462" s="7" t="s">
        <v>28</v>
      </c>
      <c r="R462">
        <v>0</v>
      </c>
      <c r="S462">
        <v>0</v>
      </c>
      <c r="T462">
        <v>0</v>
      </c>
      <c r="U462">
        <v>0</v>
      </c>
    </row>
    <row r="463" spans="1:21" x14ac:dyDescent="0.25">
      <c r="A463">
        <v>462</v>
      </c>
      <c r="B463">
        <v>119422827</v>
      </c>
      <c r="C463" s="7" t="s">
        <v>70</v>
      </c>
      <c r="D463">
        <v>1534.51</v>
      </c>
      <c r="E463">
        <v>56.304299999999998</v>
      </c>
      <c r="F463">
        <v>1534.51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0.27137800000000001</v>
      </c>
      <c r="M463">
        <v>3</v>
      </c>
      <c r="N463">
        <v>0</v>
      </c>
      <c r="O463" s="7" t="s">
        <v>28</v>
      </c>
      <c r="P463">
        <v>0.98160499999999995</v>
      </c>
      <c r="Q463" s="7" t="s">
        <v>28</v>
      </c>
      <c r="R463">
        <v>0</v>
      </c>
      <c r="S463">
        <v>0</v>
      </c>
      <c r="T463">
        <v>0</v>
      </c>
      <c r="U463">
        <v>0.98160499999999995</v>
      </c>
    </row>
    <row r="464" spans="1:21" x14ac:dyDescent="0.25">
      <c r="A464">
        <v>463</v>
      </c>
      <c r="B464">
        <v>365005252</v>
      </c>
      <c r="C464" s="7" t="s">
        <v>70</v>
      </c>
      <c r="D464">
        <v>1534.51</v>
      </c>
      <c r="E464">
        <v>56.304299999999998</v>
      </c>
      <c r="F464">
        <v>1534.51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3</v>
      </c>
      <c r="N464">
        <v>0</v>
      </c>
      <c r="O464" s="7" t="s">
        <v>28</v>
      </c>
      <c r="P464">
        <v>0.24424000000000001</v>
      </c>
      <c r="Q464" s="7" t="s">
        <v>28</v>
      </c>
      <c r="R464">
        <v>0</v>
      </c>
      <c r="S464">
        <v>0</v>
      </c>
      <c r="T464">
        <v>0</v>
      </c>
      <c r="U464">
        <v>0.24424000000000001</v>
      </c>
    </row>
    <row r="465" spans="1:21" x14ac:dyDescent="0.25">
      <c r="A465">
        <v>464</v>
      </c>
      <c r="B465">
        <v>759661178</v>
      </c>
      <c r="C465" s="7" t="s">
        <v>70</v>
      </c>
      <c r="D465">
        <v>1534.51</v>
      </c>
      <c r="E465">
        <v>59.341700000000003</v>
      </c>
      <c r="F465">
        <v>1534.51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3</v>
      </c>
      <c r="N465">
        <v>0</v>
      </c>
      <c r="O465" s="7" t="s">
        <v>28</v>
      </c>
      <c r="P465">
        <v>0</v>
      </c>
      <c r="Q465" s="7" t="s">
        <v>28</v>
      </c>
      <c r="R465">
        <v>0</v>
      </c>
      <c r="S465">
        <v>0</v>
      </c>
      <c r="T465">
        <v>0</v>
      </c>
      <c r="U465">
        <v>0</v>
      </c>
    </row>
    <row r="466" spans="1:21" x14ac:dyDescent="0.25">
      <c r="A466">
        <v>465</v>
      </c>
      <c r="B466">
        <v>729177729</v>
      </c>
      <c r="C466" s="7" t="s">
        <v>70</v>
      </c>
      <c r="D466">
        <v>1534.51</v>
      </c>
      <c r="E466">
        <v>59.341700000000003</v>
      </c>
      <c r="F466">
        <v>1534.51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0.18018000000000001</v>
      </c>
      <c r="M466">
        <v>3</v>
      </c>
      <c r="N466">
        <v>0</v>
      </c>
      <c r="O466" s="7" t="s">
        <v>28</v>
      </c>
      <c r="P466">
        <v>0</v>
      </c>
      <c r="Q466" s="7" t="s">
        <v>28</v>
      </c>
      <c r="R466">
        <v>0</v>
      </c>
      <c r="S466">
        <v>0</v>
      </c>
      <c r="T466">
        <v>0</v>
      </c>
      <c r="U466">
        <v>0</v>
      </c>
    </row>
    <row r="467" spans="1:21" x14ac:dyDescent="0.25">
      <c r="A467">
        <v>466</v>
      </c>
      <c r="B467">
        <v>307984075</v>
      </c>
      <c r="C467" s="7" t="s">
        <v>70</v>
      </c>
      <c r="D467">
        <v>1534.51</v>
      </c>
      <c r="E467">
        <v>59.341700000000003</v>
      </c>
      <c r="F467">
        <v>1534.51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6.0060099999999998E-2</v>
      </c>
      <c r="M467">
        <v>3</v>
      </c>
      <c r="N467">
        <v>0</v>
      </c>
      <c r="O467" s="7" t="s">
        <v>28</v>
      </c>
      <c r="P467">
        <v>0.162162</v>
      </c>
      <c r="Q467" s="7" t="s">
        <v>28</v>
      </c>
      <c r="R467">
        <v>0</v>
      </c>
      <c r="S467">
        <v>0</v>
      </c>
      <c r="T467">
        <v>0</v>
      </c>
      <c r="U467">
        <v>0.162162</v>
      </c>
    </row>
    <row r="468" spans="1:21" x14ac:dyDescent="0.25">
      <c r="A468">
        <v>467</v>
      </c>
      <c r="B468">
        <v>561616936</v>
      </c>
      <c r="C468" s="7" t="s">
        <v>70</v>
      </c>
      <c r="D468">
        <v>1534.51</v>
      </c>
      <c r="E468">
        <v>59.341700000000003</v>
      </c>
      <c r="F468">
        <v>1534.51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0.61695299999999997</v>
      </c>
      <c r="M468">
        <v>3</v>
      </c>
      <c r="N468">
        <v>0</v>
      </c>
      <c r="O468" s="7" t="s">
        <v>28</v>
      </c>
      <c r="P468">
        <v>5.4054100000000001E-2</v>
      </c>
      <c r="Q468" s="7" t="s">
        <v>28</v>
      </c>
      <c r="R468">
        <v>0</v>
      </c>
      <c r="S468">
        <v>0</v>
      </c>
      <c r="T468">
        <v>0</v>
      </c>
      <c r="U468">
        <v>5.4054100000000001E-2</v>
      </c>
    </row>
    <row r="469" spans="1:21" x14ac:dyDescent="0.25">
      <c r="A469">
        <v>468</v>
      </c>
      <c r="B469">
        <v>499736493</v>
      </c>
      <c r="C469" s="7" t="s">
        <v>70</v>
      </c>
      <c r="D469">
        <v>1534.51</v>
      </c>
      <c r="E469">
        <v>59.341700000000003</v>
      </c>
      <c r="F469">
        <v>1534.51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3</v>
      </c>
      <c r="N469">
        <v>0</v>
      </c>
      <c r="O469" s="7" t="s">
        <v>28</v>
      </c>
      <c r="P469">
        <v>0.55525800000000003</v>
      </c>
      <c r="Q469" s="7" t="s">
        <v>28</v>
      </c>
      <c r="R469">
        <v>0</v>
      </c>
      <c r="S469">
        <v>0</v>
      </c>
      <c r="T469">
        <v>0</v>
      </c>
      <c r="U469">
        <v>0.55525800000000003</v>
      </c>
    </row>
    <row r="470" spans="1:21" x14ac:dyDescent="0.25">
      <c r="A470">
        <v>469</v>
      </c>
      <c r="B470">
        <v>240232293</v>
      </c>
      <c r="C470" s="7" t="s">
        <v>70</v>
      </c>
      <c r="D470">
        <v>1534.51</v>
      </c>
      <c r="E470">
        <v>59.341700000000003</v>
      </c>
      <c r="F470">
        <v>1534.51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1.19756</v>
      </c>
      <c r="M470">
        <v>3</v>
      </c>
      <c r="N470">
        <v>0</v>
      </c>
      <c r="O470" s="7" t="s">
        <v>28</v>
      </c>
      <c r="P470">
        <v>0</v>
      </c>
      <c r="Q470" s="7" t="s">
        <v>28</v>
      </c>
      <c r="R470">
        <v>0</v>
      </c>
      <c r="S470">
        <v>0</v>
      </c>
      <c r="T470">
        <v>0</v>
      </c>
      <c r="U470">
        <v>0</v>
      </c>
    </row>
    <row r="471" spans="1:21" x14ac:dyDescent="0.25">
      <c r="A471">
        <v>470</v>
      </c>
      <c r="B471">
        <v>462297772</v>
      </c>
      <c r="C471" s="7" t="s">
        <v>70</v>
      </c>
      <c r="D471">
        <v>1542.43</v>
      </c>
      <c r="E471">
        <v>59.341700000000003</v>
      </c>
      <c r="F471">
        <v>1544.4</v>
      </c>
      <c r="G471">
        <v>0</v>
      </c>
      <c r="H471">
        <v>9.8834999999999997</v>
      </c>
      <c r="I471">
        <v>0.5</v>
      </c>
      <c r="J471">
        <v>0.18351100000000001</v>
      </c>
      <c r="K471">
        <v>0.31015999999999999</v>
      </c>
      <c r="L471">
        <v>0</v>
      </c>
      <c r="M471">
        <v>3</v>
      </c>
      <c r="N471">
        <v>0</v>
      </c>
      <c r="O471" s="7" t="s">
        <v>28</v>
      </c>
      <c r="P471">
        <v>7.7804200000000004E-2</v>
      </c>
      <c r="Q471" s="7" t="s">
        <v>140</v>
      </c>
      <c r="R471">
        <v>0</v>
      </c>
      <c r="S471">
        <v>0</v>
      </c>
      <c r="T471">
        <v>1</v>
      </c>
      <c r="U471">
        <v>1.0778000000000001</v>
      </c>
    </row>
    <row r="472" spans="1:21" x14ac:dyDescent="0.25">
      <c r="A472">
        <v>471</v>
      </c>
      <c r="B472">
        <v>115732100</v>
      </c>
      <c r="C472" s="7" t="s">
        <v>70</v>
      </c>
      <c r="D472">
        <v>1576.36</v>
      </c>
      <c r="E472">
        <v>53.588900000000002</v>
      </c>
      <c r="F472">
        <v>1584.84</v>
      </c>
      <c r="G472">
        <v>0</v>
      </c>
      <c r="H472">
        <v>42.415599999999998</v>
      </c>
      <c r="I472">
        <v>0.5</v>
      </c>
      <c r="J472">
        <v>0.81015999999999999</v>
      </c>
      <c r="K472">
        <v>0</v>
      </c>
      <c r="L472">
        <v>0</v>
      </c>
      <c r="M472">
        <v>3</v>
      </c>
      <c r="N472">
        <v>0</v>
      </c>
      <c r="O472" s="7" t="s">
        <v>28</v>
      </c>
      <c r="P472">
        <v>0</v>
      </c>
      <c r="Q472" s="7" t="s">
        <v>140</v>
      </c>
      <c r="R472">
        <v>0</v>
      </c>
      <c r="S472">
        <v>0</v>
      </c>
      <c r="T472">
        <v>1</v>
      </c>
      <c r="U472">
        <v>0.220856</v>
      </c>
    </row>
    <row r="473" spans="1:21" x14ac:dyDescent="0.25">
      <c r="A473">
        <v>472</v>
      </c>
      <c r="B473">
        <v>652686799</v>
      </c>
      <c r="C473" s="7" t="s">
        <v>70</v>
      </c>
      <c r="D473">
        <v>1598.64</v>
      </c>
      <c r="E473">
        <v>57.695799999999998</v>
      </c>
      <c r="F473">
        <v>1604.21</v>
      </c>
      <c r="G473">
        <v>0</v>
      </c>
      <c r="H473">
        <v>27.847899999999999</v>
      </c>
      <c r="I473">
        <v>0.5</v>
      </c>
      <c r="J473">
        <v>0.5</v>
      </c>
      <c r="K473">
        <v>0</v>
      </c>
      <c r="L473">
        <v>0</v>
      </c>
      <c r="M473">
        <v>3</v>
      </c>
      <c r="N473">
        <v>0</v>
      </c>
      <c r="O473" s="7" t="s">
        <v>28</v>
      </c>
      <c r="P473">
        <v>0</v>
      </c>
      <c r="Q473" s="7" t="s">
        <v>140</v>
      </c>
      <c r="R473">
        <v>0</v>
      </c>
      <c r="S473">
        <v>0</v>
      </c>
      <c r="T473">
        <v>1</v>
      </c>
      <c r="U473">
        <v>0.5</v>
      </c>
    </row>
    <row r="474" spans="1:21" x14ac:dyDescent="0.25">
      <c r="A474">
        <v>473</v>
      </c>
      <c r="B474">
        <v>153815200</v>
      </c>
      <c r="C474" s="7" t="s">
        <v>70</v>
      </c>
      <c r="D474">
        <v>1621.75</v>
      </c>
      <c r="E474">
        <v>59.777900000000002</v>
      </c>
      <c r="F474">
        <v>1627.53</v>
      </c>
      <c r="G474">
        <v>0</v>
      </c>
      <c r="H474">
        <v>28.888999999999999</v>
      </c>
      <c r="I474">
        <v>0.5</v>
      </c>
      <c r="J474">
        <v>0.5</v>
      </c>
      <c r="K474">
        <v>0</v>
      </c>
      <c r="L474">
        <v>0.20852499999999999</v>
      </c>
      <c r="M474">
        <v>3</v>
      </c>
      <c r="N474">
        <v>0</v>
      </c>
      <c r="O474" s="7" t="s">
        <v>28</v>
      </c>
      <c r="P474">
        <v>0</v>
      </c>
      <c r="Q474" s="7" t="s">
        <v>140</v>
      </c>
      <c r="R474">
        <v>0</v>
      </c>
      <c r="S474">
        <v>0</v>
      </c>
      <c r="T474">
        <v>1</v>
      </c>
      <c r="U474">
        <v>0.5</v>
      </c>
    </row>
    <row r="475" spans="1:21" x14ac:dyDescent="0.25">
      <c r="A475">
        <v>474</v>
      </c>
      <c r="B475">
        <v>139810323</v>
      </c>
      <c r="C475" s="7" t="s">
        <v>70</v>
      </c>
      <c r="D475">
        <v>1646.1</v>
      </c>
      <c r="E475">
        <v>62.8733</v>
      </c>
      <c r="F475">
        <v>1652.19</v>
      </c>
      <c r="G475">
        <v>0</v>
      </c>
      <c r="H475">
        <v>30.436699999999998</v>
      </c>
      <c r="I475">
        <v>0.5</v>
      </c>
      <c r="J475">
        <v>0.5</v>
      </c>
      <c r="K475">
        <v>0</v>
      </c>
      <c r="L475">
        <v>0</v>
      </c>
      <c r="M475">
        <v>3</v>
      </c>
      <c r="N475">
        <v>0</v>
      </c>
      <c r="O475" s="7" t="s">
        <v>28</v>
      </c>
      <c r="P475">
        <v>0</v>
      </c>
      <c r="Q475" s="7" t="s">
        <v>140</v>
      </c>
      <c r="R475">
        <v>0</v>
      </c>
      <c r="S475">
        <v>0</v>
      </c>
      <c r="T475">
        <v>1</v>
      </c>
      <c r="U475">
        <v>0.68767299999999998</v>
      </c>
    </row>
    <row r="476" spans="1:21" x14ac:dyDescent="0.25">
      <c r="A476">
        <v>475</v>
      </c>
      <c r="B476">
        <v>240757007</v>
      </c>
      <c r="C476" s="7" t="s">
        <v>70</v>
      </c>
      <c r="D476">
        <v>1645.1</v>
      </c>
      <c r="E476">
        <v>62.8733</v>
      </c>
      <c r="F476">
        <v>1645.1</v>
      </c>
      <c r="G476">
        <v>0</v>
      </c>
      <c r="H476">
        <v>-1.01</v>
      </c>
      <c r="I476">
        <v>0.5</v>
      </c>
      <c r="J476">
        <v>0</v>
      </c>
      <c r="K476">
        <v>0.49</v>
      </c>
      <c r="L476">
        <v>0</v>
      </c>
      <c r="M476">
        <v>3</v>
      </c>
      <c r="N476">
        <v>0</v>
      </c>
      <c r="O476" s="7" t="s">
        <v>28</v>
      </c>
      <c r="P476">
        <v>0</v>
      </c>
      <c r="Q476" s="7" t="s">
        <v>140</v>
      </c>
      <c r="R476">
        <v>0</v>
      </c>
      <c r="S476">
        <v>0</v>
      </c>
      <c r="T476">
        <v>1</v>
      </c>
      <c r="U476">
        <v>0.5</v>
      </c>
    </row>
    <row r="477" spans="1:21" x14ac:dyDescent="0.25">
      <c r="A477">
        <v>476</v>
      </c>
      <c r="B477">
        <v>799662909</v>
      </c>
      <c r="C477" s="7" t="s">
        <v>70</v>
      </c>
      <c r="D477">
        <v>1693.75</v>
      </c>
      <c r="E477">
        <v>62.439100000000003</v>
      </c>
      <c r="F477">
        <v>1705.91</v>
      </c>
      <c r="G477">
        <v>0</v>
      </c>
      <c r="H477">
        <v>60.814799999999998</v>
      </c>
      <c r="I477">
        <v>0.5</v>
      </c>
      <c r="J477">
        <v>0.99</v>
      </c>
      <c r="K477">
        <v>0</v>
      </c>
      <c r="L477">
        <v>1.2802800000000001</v>
      </c>
      <c r="M477">
        <v>3</v>
      </c>
      <c r="N477">
        <v>0</v>
      </c>
      <c r="O477" s="7" t="s">
        <v>28</v>
      </c>
      <c r="P477">
        <v>0</v>
      </c>
      <c r="Q477" s="7" t="s">
        <v>140</v>
      </c>
      <c r="R477">
        <v>0</v>
      </c>
      <c r="S477">
        <v>0</v>
      </c>
      <c r="T477">
        <v>1</v>
      </c>
      <c r="U477">
        <v>5.8999999999999997E-2</v>
      </c>
    </row>
    <row r="478" spans="1:21" x14ac:dyDescent="0.25">
      <c r="A478">
        <v>477</v>
      </c>
      <c r="B478">
        <v>991557721</v>
      </c>
      <c r="C478" s="7" t="s">
        <v>70</v>
      </c>
      <c r="D478">
        <v>1717.93</v>
      </c>
      <c r="E478">
        <v>62.439100000000003</v>
      </c>
      <c r="F478">
        <v>1723.97</v>
      </c>
      <c r="G478">
        <v>0</v>
      </c>
      <c r="H478">
        <v>30.2196</v>
      </c>
      <c r="I478">
        <v>0.5</v>
      </c>
      <c r="J478">
        <v>0.5</v>
      </c>
      <c r="K478">
        <v>0</v>
      </c>
      <c r="L478">
        <v>0.73773999999999995</v>
      </c>
      <c r="M478">
        <v>3</v>
      </c>
      <c r="N478">
        <v>0</v>
      </c>
      <c r="O478" s="7" t="s">
        <v>28</v>
      </c>
      <c r="P478">
        <v>0.65225200000000005</v>
      </c>
      <c r="Q478" s="7" t="s">
        <v>140</v>
      </c>
      <c r="R478">
        <v>0</v>
      </c>
      <c r="S478">
        <v>0</v>
      </c>
      <c r="T478">
        <v>1</v>
      </c>
      <c r="U478">
        <v>1.65225</v>
      </c>
    </row>
    <row r="479" spans="1:21" x14ac:dyDescent="0.25">
      <c r="A479">
        <v>478</v>
      </c>
      <c r="B479">
        <v>217483586</v>
      </c>
      <c r="C479" s="7" t="s">
        <v>70</v>
      </c>
      <c r="D479">
        <v>1742.34</v>
      </c>
      <c r="E479">
        <v>63.042499999999997</v>
      </c>
      <c r="F479">
        <v>1748.45</v>
      </c>
      <c r="G479">
        <v>0</v>
      </c>
      <c r="H479">
        <v>30.5212</v>
      </c>
      <c r="I479">
        <v>0.5</v>
      </c>
      <c r="J479">
        <v>0.5</v>
      </c>
      <c r="K479">
        <v>0</v>
      </c>
      <c r="L479">
        <v>0</v>
      </c>
      <c r="M479">
        <v>3</v>
      </c>
      <c r="N479">
        <v>0</v>
      </c>
      <c r="O479" s="7" t="s">
        <v>28</v>
      </c>
      <c r="P479">
        <v>0.163966</v>
      </c>
      <c r="Q479" s="7" t="s">
        <v>140</v>
      </c>
      <c r="R479">
        <v>0</v>
      </c>
      <c r="S479">
        <v>0</v>
      </c>
      <c r="T479">
        <v>1</v>
      </c>
      <c r="U479">
        <v>1.1639699999999999</v>
      </c>
    </row>
    <row r="480" spans="1:21" x14ac:dyDescent="0.25">
      <c r="A480">
        <v>479</v>
      </c>
      <c r="B480">
        <v>963542721</v>
      </c>
      <c r="C480" s="7" t="s">
        <v>70</v>
      </c>
      <c r="D480">
        <v>1767.37</v>
      </c>
      <c r="E480">
        <v>64.578100000000006</v>
      </c>
      <c r="F480">
        <v>1773.63</v>
      </c>
      <c r="G480">
        <v>0</v>
      </c>
      <c r="H480">
        <v>31.289000000000001</v>
      </c>
      <c r="I480">
        <v>0.5</v>
      </c>
      <c r="J480">
        <v>0.5</v>
      </c>
      <c r="K480">
        <v>0</v>
      </c>
      <c r="L480">
        <v>0</v>
      </c>
      <c r="M480">
        <v>3</v>
      </c>
      <c r="N480">
        <v>0</v>
      </c>
      <c r="O480" s="7" t="s">
        <v>28</v>
      </c>
      <c r="P480">
        <v>0</v>
      </c>
      <c r="Q480" s="7" t="s">
        <v>140</v>
      </c>
      <c r="R480">
        <v>0</v>
      </c>
      <c r="S480">
        <v>0</v>
      </c>
      <c r="T480">
        <v>1</v>
      </c>
      <c r="U480">
        <v>0.5</v>
      </c>
    </row>
    <row r="481" spans="1:21" x14ac:dyDescent="0.25">
      <c r="A481">
        <v>480</v>
      </c>
      <c r="B481">
        <v>155945983</v>
      </c>
      <c r="C481" s="7" t="s">
        <v>70</v>
      </c>
      <c r="D481">
        <v>1773.22</v>
      </c>
      <c r="E481">
        <v>64.578100000000006</v>
      </c>
      <c r="F481">
        <v>1774.68</v>
      </c>
      <c r="G481">
        <v>0</v>
      </c>
      <c r="H481">
        <v>7.2957999999999998</v>
      </c>
      <c r="I481">
        <v>0.5</v>
      </c>
      <c r="J481">
        <v>0.128577</v>
      </c>
      <c r="K481">
        <v>0.36399500000000001</v>
      </c>
      <c r="L481">
        <v>0</v>
      </c>
      <c r="M481">
        <v>3</v>
      </c>
      <c r="N481">
        <v>0</v>
      </c>
      <c r="O481" s="7" t="s">
        <v>28</v>
      </c>
      <c r="P481">
        <v>0</v>
      </c>
      <c r="Q481" s="7" t="s">
        <v>140</v>
      </c>
      <c r="R481">
        <v>0</v>
      </c>
      <c r="S481">
        <v>0</v>
      </c>
      <c r="T481">
        <v>1</v>
      </c>
      <c r="U481">
        <v>0.5</v>
      </c>
    </row>
    <row r="482" spans="1:21" x14ac:dyDescent="0.25">
      <c r="A482">
        <v>481</v>
      </c>
      <c r="B482">
        <v>214775101</v>
      </c>
      <c r="C482" s="7" t="s">
        <v>70</v>
      </c>
      <c r="D482">
        <v>1781.73</v>
      </c>
      <c r="E482">
        <v>64.578100000000006</v>
      </c>
      <c r="F482">
        <v>1783.85</v>
      </c>
      <c r="G482">
        <v>0</v>
      </c>
      <c r="H482">
        <v>10.622</v>
      </c>
      <c r="I482">
        <v>0.5</v>
      </c>
      <c r="J482">
        <v>0.18018000000000001</v>
      </c>
      <c r="K482">
        <v>0.67013800000000001</v>
      </c>
      <c r="L482">
        <v>0</v>
      </c>
      <c r="M482">
        <v>3</v>
      </c>
      <c r="N482">
        <v>0</v>
      </c>
      <c r="O482" s="7" t="s">
        <v>28</v>
      </c>
      <c r="P482">
        <v>0</v>
      </c>
      <c r="Q482" s="7" t="s">
        <v>140</v>
      </c>
      <c r="R482">
        <v>0</v>
      </c>
      <c r="S482">
        <v>0</v>
      </c>
      <c r="T482">
        <v>1</v>
      </c>
      <c r="U482">
        <v>0.172405</v>
      </c>
    </row>
    <row r="483" spans="1:21" x14ac:dyDescent="0.25">
      <c r="A483">
        <v>482</v>
      </c>
      <c r="B483">
        <v>854562422</v>
      </c>
      <c r="C483" s="7" t="s">
        <v>70</v>
      </c>
      <c r="D483">
        <v>1816.35</v>
      </c>
      <c r="E483">
        <v>64.578100000000006</v>
      </c>
      <c r="F483">
        <v>1825.01</v>
      </c>
      <c r="G483">
        <v>0</v>
      </c>
      <c r="H483">
        <v>43.276200000000003</v>
      </c>
      <c r="I483">
        <v>0</v>
      </c>
      <c r="J483">
        <v>0.67013800000000001</v>
      </c>
      <c r="K483">
        <v>0</v>
      </c>
      <c r="L483">
        <v>0</v>
      </c>
      <c r="M483">
        <v>3</v>
      </c>
      <c r="N483">
        <v>0</v>
      </c>
      <c r="O483" s="7" t="s">
        <v>28</v>
      </c>
      <c r="P483">
        <v>0</v>
      </c>
      <c r="Q483" s="7" t="s">
        <v>28</v>
      </c>
      <c r="R483">
        <v>0</v>
      </c>
      <c r="S483">
        <v>0</v>
      </c>
      <c r="T483">
        <v>0</v>
      </c>
      <c r="U483">
        <v>0</v>
      </c>
    </row>
    <row r="484" spans="1:21" x14ac:dyDescent="0.25">
      <c r="A484">
        <v>483</v>
      </c>
      <c r="B484">
        <v>862976925</v>
      </c>
      <c r="C484" s="7" t="s">
        <v>70</v>
      </c>
      <c r="D484">
        <v>1816.35</v>
      </c>
      <c r="E484">
        <v>64.802899999999994</v>
      </c>
      <c r="F484">
        <v>1816.35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0.50470499999999996</v>
      </c>
      <c r="M484">
        <v>3</v>
      </c>
      <c r="N484">
        <v>0</v>
      </c>
      <c r="O484" s="7" t="s">
        <v>28</v>
      </c>
      <c r="P484">
        <v>0</v>
      </c>
      <c r="Q484" s="7" t="s">
        <v>28</v>
      </c>
      <c r="R484">
        <v>0</v>
      </c>
      <c r="S484">
        <v>0</v>
      </c>
      <c r="T484">
        <v>0</v>
      </c>
      <c r="U484">
        <v>0</v>
      </c>
    </row>
    <row r="485" spans="1:21" x14ac:dyDescent="0.25">
      <c r="A485">
        <v>484</v>
      </c>
      <c r="B485">
        <v>155380542</v>
      </c>
      <c r="C485" s="7" t="s">
        <v>70</v>
      </c>
      <c r="D485">
        <v>1816.35</v>
      </c>
      <c r="E485">
        <v>65.89</v>
      </c>
      <c r="F485">
        <v>1816.35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9.0090100000000006E-2</v>
      </c>
      <c r="M485">
        <v>3</v>
      </c>
      <c r="N485">
        <v>0</v>
      </c>
      <c r="O485" s="7" t="s">
        <v>28</v>
      </c>
      <c r="P485">
        <v>0.454235</v>
      </c>
      <c r="Q485" s="7" t="s">
        <v>28</v>
      </c>
      <c r="R485">
        <v>0</v>
      </c>
      <c r="S485">
        <v>0</v>
      </c>
      <c r="T485">
        <v>0</v>
      </c>
      <c r="U485">
        <v>0.454235</v>
      </c>
    </row>
    <row r="486" spans="1:21" x14ac:dyDescent="0.25">
      <c r="A486">
        <v>485</v>
      </c>
      <c r="B486">
        <v>777922170</v>
      </c>
      <c r="C486" s="7" t="s">
        <v>70</v>
      </c>
      <c r="D486">
        <v>1816.35</v>
      </c>
      <c r="E486">
        <v>70.863399999999999</v>
      </c>
      <c r="F486">
        <v>1816.35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3</v>
      </c>
      <c r="N486">
        <v>0</v>
      </c>
      <c r="O486" s="7" t="s">
        <v>28</v>
      </c>
      <c r="P486">
        <v>8.1081100000000003E-2</v>
      </c>
      <c r="Q486" s="7" t="s">
        <v>28</v>
      </c>
      <c r="R486">
        <v>0</v>
      </c>
      <c r="S486">
        <v>0</v>
      </c>
      <c r="T486">
        <v>0</v>
      </c>
      <c r="U486">
        <v>8.1081100000000003E-2</v>
      </c>
    </row>
    <row r="487" spans="1:21" x14ac:dyDescent="0.25">
      <c r="A487">
        <v>486</v>
      </c>
      <c r="B487">
        <v>573599403</v>
      </c>
      <c r="C487" s="7" t="s">
        <v>70</v>
      </c>
      <c r="D487">
        <v>1816.35</v>
      </c>
      <c r="E487">
        <v>70.863399999999999</v>
      </c>
      <c r="F487">
        <v>1816.35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0.38977600000000001</v>
      </c>
      <c r="M487">
        <v>3</v>
      </c>
      <c r="N487">
        <v>0</v>
      </c>
      <c r="O487" s="7" t="s">
        <v>28</v>
      </c>
      <c r="P487">
        <v>0</v>
      </c>
      <c r="Q487" s="7" t="s">
        <v>28</v>
      </c>
      <c r="R487">
        <v>0</v>
      </c>
      <c r="S487">
        <v>0</v>
      </c>
      <c r="T487">
        <v>0</v>
      </c>
      <c r="U487">
        <v>0</v>
      </c>
    </row>
    <row r="488" spans="1:21" x14ac:dyDescent="0.25">
      <c r="A488">
        <v>487</v>
      </c>
      <c r="B488">
        <v>942678229</v>
      </c>
      <c r="C488" s="7" t="s">
        <v>70</v>
      </c>
      <c r="D488">
        <v>1816.35</v>
      </c>
      <c r="E488">
        <v>70.863399999999999</v>
      </c>
      <c r="F488">
        <v>1816.35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0.60078299999999996</v>
      </c>
      <c r="M488">
        <v>3</v>
      </c>
      <c r="N488">
        <v>0</v>
      </c>
      <c r="O488" s="7" t="s">
        <v>28</v>
      </c>
      <c r="P488">
        <v>0.35079900000000003</v>
      </c>
      <c r="Q488" s="7" t="s">
        <v>28</v>
      </c>
      <c r="R488">
        <v>0</v>
      </c>
      <c r="S488">
        <v>0</v>
      </c>
      <c r="T488">
        <v>0</v>
      </c>
      <c r="U488">
        <v>0.35079900000000003</v>
      </c>
    </row>
    <row r="489" spans="1:21" x14ac:dyDescent="0.25">
      <c r="A489">
        <v>488</v>
      </c>
      <c r="B489">
        <v>26070470</v>
      </c>
      <c r="C489" s="7" t="s">
        <v>70</v>
      </c>
      <c r="D489">
        <v>1816.35</v>
      </c>
      <c r="E489">
        <v>70.863399999999999</v>
      </c>
      <c r="F489">
        <v>1816.35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2.0798899999999998</v>
      </c>
      <c r="M489">
        <v>3</v>
      </c>
      <c r="N489">
        <v>0</v>
      </c>
      <c r="O489" s="7" t="s">
        <v>28</v>
      </c>
      <c r="P489">
        <v>0.54070499999999999</v>
      </c>
      <c r="Q489" s="7" t="s">
        <v>28</v>
      </c>
      <c r="R489">
        <v>0</v>
      </c>
      <c r="S489">
        <v>0</v>
      </c>
      <c r="T489">
        <v>0</v>
      </c>
      <c r="U489">
        <v>0.54070499999999999</v>
      </c>
    </row>
    <row r="490" spans="1:21" x14ac:dyDescent="0.25">
      <c r="A490">
        <v>489</v>
      </c>
      <c r="B490">
        <v>143261146</v>
      </c>
      <c r="C490" s="7" t="s">
        <v>70</v>
      </c>
      <c r="D490">
        <v>1815.35</v>
      </c>
      <c r="E490">
        <v>70.863399999999999</v>
      </c>
      <c r="F490">
        <v>1815.35</v>
      </c>
      <c r="G490">
        <v>0</v>
      </c>
      <c r="H490">
        <v>-1.01</v>
      </c>
      <c r="I490">
        <v>0.5</v>
      </c>
      <c r="J490">
        <v>0</v>
      </c>
      <c r="K490">
        <v>0.49</v>
      </c>
      <c r="L490">
        <v>0</v>
      </c>
      <c r="M490">
        <v>3</v>
      </c>
      <c r="N490">
        <v>0</v>
      </c>
      <c r="O490" s="7" t="s">
        <v>28</v>
      </c>
      <c r="P490">
        <v>0.87189799999999995</v>
      </c>
      <c r="Q490" s="7" t="s">
        <v>141</v>
      </c>
      <c r="R490">
        <v>0</v>
      </c>
      <c r="S490">
        <v>0</v>
      </c>
      <c r="T490">
        <v>1</v>
      </c>
      <c r="U490">
        <v>1.8718999999999999</v>
      </c>
    </row>
    <row r="491" spans="1:21" x14ac:dyDescent="0.25">
      <c r="A491">
        <v>490</v>
      </c>
      <c r="B491">
        <v>771318741</v>
      </c>
      <c r="C491" s="7" t="s">
        <v>70</v>
      </c>
      <c r="D491">
        <v>1864.98</v>
      </c>
      <c r="E491">
        <v>65.251400000000004</v>
      </c>
      <c r="F491">
        <v>1877.38</v>
      </c>
      <c r="G491">
        <v>0</v>
      </c>
      <c r="H491">
        <v>62.034100000000002</v>
      </c>
      <c r="I491">
        <v>0.5</v>
      </c>
      <c r="J491">
        <v>0.96602699999999997</v>
      </c>
      <c r="K491">
        <v>2.3493799999999999E-2</v>
      </c>
      <c r="L491">
        <v>0</v>
      </c>
      <c r="M491">
        <v>3</v>
      </c>
      <c r="N491">
        <v>0</v>
      </c>
      <c r="O491" s="7" t="s">
        <v>28</v>
      </c>
      <c r="P491">
        <v>0</v>
      </c>
      <c r="Q491" s="7" t="s">
        <v>141</v>
      </c>
      <c r="R491">
        <v>0</v>
      </c>
      <c r="S491">
        <v>0</v>
      </c>
      <c r="T491">
        <v>1</v>
      </c>
      <c r="U491">
        <v>5.8999999999999997E-2</v>
      </c>
    </row>
    <row r="492" spans="1:21" x14ac:dyDescent="0.25">
      <c r="A492">
        <v>491</v>
      </c>
      <c r="B492">
        <v>580462080</v>
      </c>
      <c r="C492" s="7" t="s">
        <v>70</v>
      </c>
      <c r="D492">
        <v>1888.92</v>
      </c>
      <c r="E492">
        <v>65.251400000000004</v>
      </c>
      <c r="F492">
        <v>1894.91</v>
      </c>
      <c r="G492">
        <v>0</v>
      </c>
      <c r="H492">
        <v>29.928000000000001</v>
      </c>
      <c r="I492">
        <v>0.5</v>
      </c>
      <c r="J492">
        <v>0.473997</v>
      </c>
      <c r="K492">
        <v>4.8506500000000001E-2</v>
      </c>
      <c r="L492">
        <v>0</v>
      </c>
      <c r="M492">
        <v>3</v>
      </c>
      <c r="N492">
        <v>0</v>
      </c>
      <c r="O492" s="7" t="s">
        <v>28</v>
      </c>
      <c r="P492">
        <v>0</v>
      </c>
      <c r="Q492" s="7" t="s">
        <v>141</v>
      </c>
      <c r="R492">
        <v>0</v>
      </c>
      <c r="S492">
        <v>0</v>
      </c>
      <c r="T492">
        <v>1</v>
      </c>
      <c r="U492">
        <v>0.478856</v>
      </c>
    </row>
    <row r="493" spans="1:21" x14ac:dyDescent="0.25">
      <c r="A493">
        <v>492</v>
      </c>
      <c r="B493">
        <v>732753108</v>
      </c>
      <c r="C493" s="7" t="s">
        <v>70</v>
      </c>
      <c r="D493">
        <v>1916.75</v>
      </c>
      <c r="E493">
        <v>65.251400000000004</v>
      </c>
      <c r="F493">
        <v>1923.71</v>
      </c>
      <c r="G493">
        <v>0</v>
      </c>
      <c r="H493">
        <v>34.790799999999997</v>
      </c>
      <c r="I493">
        <v>0.5</v>
      </c>
      <c r="J493">
        <v>0.54850600000000005</v>
      </c>
      <c r="K493">
        <v>0</v>
      </c>
      <c r="L493">
        <v>0</v>
      </c>
      <c r="M493">
        <v>3</v>
      </c>
      <c r="N493">
        <v>0</v>
      </c>
      <c r="O493" s="7" t="s">
        <v>28</v>
      </c>
      <c r="P493">
        <v>0</v>
      </c>
      <c r="Q493" s="7" t="s">
        <v>141</v>
      </c>
      <c r="R493">
        <v>0</v>
      </c>
      <c r="S493">
        <v>0</v>
      </c>
      <c r="T493">
        <v>1</v>
      </c>
      <c r="U493">
        <v>0.45634400000000003</v>
      </c>
    </row>
    <row r="494" spans="1:21" x14ac:dyDescent="0.25">
      <c r="A494">
        <v>493</v>
      </c>
      <c r="B494">
        <v>306274132</v>
      </c>
      <c r="C494" s="7" t="s">
        <v>70</v>
      </c>
      <c r="D494">
        <v>1943.46</v>
      </c>
      <c r="E494">
        <v>68.765500000000003</v>
      </c>
      <c r="F494">
        <v>1950.14</v>
      </c>
      <c r="G494">
        <v>0</v>
      </c>
      <c r="H494">
        <v>33.3827</v>
      </c>
      <c r="I494">
        <v>0.5</v>
      </c>
      <c r="J494">
        <v>0.5</v>
      </c>
      <c r="K494">
        <v>0</v>
      </c>
      <c r="L494">
        <v>0.96874700000000002</v>
      </c>
      <c r="M494">
        <v>3</v>
      </c>
      <c r="N494">
        <v>0</v>
      </c>
      <c r="O494" s="7" t="s">
        <v>28</v>
      </c>
      <c r="P494">
        <v>0</v>
      </c>
      <c r="Q494" s="7" t="s">
        <v>141</v>
      </c>
      <c r="R494">
        <v>0</v>
      </c>
      <c r="S494">
        <v>0</v>
      </c>
      <c r="T494">
        <v>1</v>
      </c>
      <c r="U494">
        <v>0.5</v>
      </c>
    </row>
    <row r="495" spans="1:21" x14ac:dyDescent="0.25">
      <c r="A495">
        <v>494</v>
      </c>
      <c r="B495">
        <v>460986768</v>
      </c>
      <c r="C495" s="7" t="s">
        <v>70</v>
      </c>
      <c r="D495">
        <v>1942.46</v>
      </c>
      <c r="E495">
        <v>71.729100000000003</v>
      </c>
      <c r="F495">
        <v>1942.46</v>
      </c>
      <c r="G495">
        <v>0</v>
      </c>
      <c r="H495">
        <v>-1.01</v>
      </c>
      <c r="I495">
        <v>0.5</v>
      </c>
      <c r="J495">
        <v>0</v>
      </c>
      <c r="K495">
        <v>0.49</v>
      </c>
      <c r="L495">
        <v>0</v>
      </c>
      <c r="M495">
        <v>3</v>
      </c>
      <c r="N495">
        <v>0</v>
      </c>
      <c r="O495" s="7" t="s">
        <v>28</v>
      </c>
      <c r="P495">
        <v>0.37187199999999998</v>
      </c>
      <c r="Q495" s="7" t="s">
        <v>141</v>
      </c>
      <c r="R495">
        <v>0</v>
      </c>
      <c r="S495">
        <v>0</v>
      </c>
      <c r="T495">
        <v>1</v>
      </c>
      <c r="U495">
        <v>1.3718699999999999</v>
      </c>
    </row>
    <row r="496" spans="1:21" x14ac:dyDescent="0.25">
      <c r="A496">
        <v>495</v>
      </c>
      <c r="B496">
        <v>957588513</v>
      </c>
      <c r="C496" s="7" t="s">
        <v>70</v>
      </c>
      <c r="D496">
        <v>1993.87</v>
      </c>
      <c r="E496">
        <v>65.925600000000003</v>
      </c>
      <c r="F496">
        <v>2006.73</v>
      </c>
      <c r="G496">
        <v>0</v>
      </c>
      <c r="H496">
        <v>64.266400000000004</v>
      </c>
      <c r="I496">
        <v>0.5</v>
      </c>
      <c r="J496">
        <v>0.99</v>
      </c>
      <c r="K496">
        <v>0</v>
      </c>
      <c r="L496">
        <v>0</v>
      </c>
      <c r="M496">
        <v>3</v>
      </c>
      <c r="N496">
        <v>0</v>
      </c>
      <c r="O496" s="7" t="s">
        <v>28</v>
      </c>
      <c r="P496">
        <v>0</v>
      </c>
      <c r="Q496" s="7" t="s">
        <v>141</v>
      </c>
      <c r="R496">
        <v>0</v>
      </c>
      <c r="S496">
        <v>0</v>
      </c>
      <c r="T496">
        <v>1</v>
      </c>
      <c r="U496">
        <v>5.8999999999999997E-2</v>
      </c>
    </row>
    <row r="497" spans="1:21" x14ac:dyDescent="0.25">
      <c r="A497">
        <v>496</v>
      </c>
      <c r="B497">
        <v>679607242</v>
      </c>
      <c r="C497" s="7" t="s">
        <v>70</v>
      </c>
      <c r="D497">
        <v>2021.37</v>
      </c>
      <c r="E497">
        <v>70.733199999999997</v>
      </c>
      <c r="F497">
        <v>2028.24</v>
      </c>
      <c r="G497">
        <v>0</v>
      </c>
      <c r="H497">
        <v>34.366599999999998</v>
      </c>
      <c r="I497">
        <v>0.5</v>
      </c>
      <c r="J497">
        <v>0.5</v>
      </c>
      <c r="K497">
        <v>0</v>
      </c>
      <c r="L497">
        <v>0</v>
      </c>
      <c r="M497">
        <v>3</v>
      </c>
      <c r="N497">
        <v>0</v>
      </c>
      <c r="O497" s="7" t="s">
        <v>28</v>
      </c>
      <c r="P497">
        <v>0</v>
      </c>
      <c r="Q497" s="7" t="s">
        <v>141</v>
      </c>
      <c r="R497">
        <v>0</v>
      </c>
      <c r="S497">
        <v>0</v>
      </c>
      <c r="T497">
        <v>1</v>
      </c>
      <c r="U497">
        <v>0.5</v>
      </c>
    </row>
    <row r="498" spans="1:21" x14ac:dyDescent="0.25">
      <c r="A498">
        <v>497</v>
      </c>
      <c r="B498">
        <v>966101454</v>
      </c>
      <c r="C498" s="7" t="s">
        <v>70</v>
      </c>
      <c r="D498">
        <v>2051.0500000000002</v>
      </c>
      <c r="E498">
        <v>76.213999999999999</v>
      </c>
      <c r="F498">
        <v>2058.4699999999998</v>
      </c>
      <c r="G498">
        <v>0</v>
      </c>
      <c r="H498">
        <v>37.106999999999999</v>
      </c>
      <c r="I498">
        <v>0.5</v>
      </c>
      <c r="J498">
        <v>0.5</v>
      </c>
      <c r="K498">
        <v>0</v>
      </c>
      <c r="L498">
        <v>1.16805</v>
      </c>
      <c r="M498">
        <v>3</v>
      </c>
      <c r="N498">
        <v>0</v>
      </c>
      <c r="O498" s="7" t="s">
        <v>28</v>
      </c>
      <c r="P498">
        <v>0</v>
      </c>
      <c r="Q498" s="7" t="s">
        <v>141</v>
      </c>
      <c r="R498">
        <v>0</v>
      </c>
      <c r="S498">
        <v>0</v>
      </c>
      <c r="T498">
        <v>1</v>
      </c>
      <c r="U498">
        <v>0.5</v>
      </c>
    </row>
    <row r="499" spans="1:21" x14ac:dyDescent="0.25">
      <c r="A499">
        <v>498</v>
      </c>
      <c r="B499">
        <v>723897936</v>
      </c>
      <c r="C499" s="7" t="s">
        <v>70</v>
      </c>
      <c r="D499">
        <v>2050.0500000000002</v>
      </c>
      <c r="E499">
        <v>76.213999999999999</v>
      </c>
      <c r="F499">
        <v>2050.0500000000002</v>
      </c>
      <c r="G499">
        <v>0</v>
      </c>
      <c r="H499">
        <v>-1.01</v>
      </c>
      <c r="I499">
        <v>0.5</v>
      </c>
      <c r="J499">
        <v>0</v>
      </c>
      <c r="K499">
        <v>0.49</v>
      </c>
      <c r="L499">
        <v>0</v>
      </c>
      <c r="M499">
        <v>3</v>
      </c>
      <c r="N499">
        <v>0</v>
      </c>
      <c r="O499" s="7" t="s">
        <v>28</v>
      </c>
      <c r="P499">
        <v>0.55124799999999996</v>
      </c>
      <c r="Q499" s="7" t="s">
        <v>141</v>
      </c>
      <c r="R499">
        <v>0</v>
      </c>
      <c r="S499">
        <v>0</v>
      </c>
      <c r="T499">
        <v>1</v>
      </c>
      <c r="U499">
        <v>1.55125</v>
      </c>
    </row>
    <row r="500" spans="1:21" x14ac:dyDescent="0.25">
      <c r="A500">
        <v>499</v>
      </c>
      <c r="B500">
        <v>849490600</v>
      </c>
      <c r="C500" s="7" t="s">
        <v>70</v>
      </c>
      <c r="D500">
        <v>2108.87</v>
      </c>
      <c r="E500">
        <v>75.275000000000006</v>
      </c>
      <c r="F500">
        <v>2123.5700000000002</v>
      </c>
      <c r="G500">
        <v>0</v>
      </c>
      <c r="H500">
        <v>73.522300000000001</v>
      </c>
      <c r="I500">
        <v>0.5</v>
      </c>
      <c r="J500">
        <v>0.99</v>
      </c>
      <c r="K500">
        <v>0</v>
      </c>
      <c r="L500">
        <v>0.40463399999999999</v>
      </c>
      <c r="M500">
        <v>3</v>
      </c>
      <c r="N500">
        <v>0</v>
      </c>
      <c r="O500" s="7" t="s">
        <v>28</v>
      </c>
      <c r="P500">
        <v>0</v>
      </c>
      <c r="Q500" s="7" t="s">
        <v>141</v>
      </c>
      <c r="R500">
        <v>0</v>
      </c>
      <c r="S500">
        <v>0</v>
      </c>
      <c r="T500">
        <v>1</v>
      </c>
      <c r="U500">
        <v>5.8999999999999997E-2</v>
      </c>
    </row>
    <row r="501" spans="1:21" x14ac:dyDescent="0.25">
      <c r="A501">
        <v>500</v>
      </c>
      <c r="B501">
        <v>283963449</v>
      </c>
      <c r="C501" s="7" t="s">
        <v>70</v>
      </c>
      <c r="D501">
        <v>2138.1799999999998</v>
      </c>
      <c r="E501">
        <v>75.275000000000006</v>
      </c>
      <c r="F501">
        <v>2145.5100000000002</v>
      </c>
      <c r="G501">
        <v>0</v>
      </c>
      <c r="H501">
        <v>36.637500000000003</v>
      </c>
      <c r="I501">
        <v>0.5</v>
      </c>
      <c r="J501">
        <v>0.5</v>
      </c>
      <c r="K501">
        <v>0</v>
      </c>
      <c r="L501">
        <v>0</v>
      </c>
      <c r="M501">
        <v>3</v>
      </c>
      <c r="N501">
        <v>0</v>
      </c>
      <c r="O501" s="7" t="s">
        <v>28</v>
      </c>
      <c r="P501">
        <v>0</v>
      </c>
      <c r="Q501" s="7" t="s">
        <v>141</v>
      </c>
      <c r="R501">
        <v>0</v>
      </c>
      <c r="S501">
        <v>0</v>
      </c>
      <c r="T501">
        <v>1</v>
      </c>
      <c r="U501">
        <v>0.86417100000000002</v>
      </c>
    </row>
    <row r="502" spans="1:21" x14ac:dyDescent="0.25">
      <c r="A502">
        <v>501</v>
      </c>
      <c r="B502">
        <v>262557037</v>
      </c>
      <c r="C502" s="7" t="s">
        <v>70</v>
      </c>
      <c r="D502">
        <v>2137.1799999999998</v>
      </c>
      <c r="E502">
        <v>75.275000000000006</v>
      </c>
      <c r="F502">
        <v>2137.1799999999998</v>
      </c>
      <c r="G502">
        <v>0</v>
      </c>
      <c r="H502">
        <v>-1.01</v>
      </c>
      <c r="I502">
        <v>0.5</v>
      </c>
      <c r="J502">
        <v>0</v>
      </c>
      <c r="K502">
        <v>0.49</v>
      </c>
      <c r="L502">
        <v>0</v>
      </c>
      <c r="M502">
        <v>3</v>
      </c>
      <c r="N502">
        <v>0</v>
      </c>
      <c r="O502" s="7" t="s">
        <v>28</v>
      </c>
      <c r="P502">
        <v>0</v>
      </c>
      <c r="Q502" s="7" t="s">
        <v>141</v>
      </c>
      <c r="R502">
        <v>0</v>
      </c>
      <c r="S502">
        <v>0</v>
      </c>
      <c r="T502">
        <v>1</v>
      </c>
      <c r="U502">
        <v>0.5</v>
      </c>
    </row>
    <row r="503" spans="1:21" x14ac:dyDescent="0.25">
      <c r="A503">
        <v>502</v>
      </c>
      <c r="B503">
        <v>224710013</v>
      </c>
      <c r="C503" s="7" t="s">
        <v>70</v>
      </c>
      <c r="D503">
        <v>2196</v>
      </c>
      <c r="E503">
        <v>75.275000000000006</v>
      </c>
      <c r="F503">
        <v>2210.6999999999998</v>
      </c>
      <c r="G503">
        <v>0</v>
      </c>
      <c r="H503">
        <v>73.522300000000001</v>
      </c>
      <c r="I503">
        <v>0.5</v>
      </c>
      <c r="J503">
        <v>0.99</v>
      </c>
      <c r="K503">
        <v>0</v>
      </c>
      <c r="L503">
        <v>0</v>
      </c>
      <c r="M503">
        <v>3</v>
      </c>
      <c r="N503">
        <v>0</v>
      </c>
      <c r="O503" s="7" t="s">
        <v>28</v>
      </c>
      <c r="P503">
        <v>0</v>
      </c>
      <c r="Q503" s="7" t="s">
        <v>141</v>
      </c>
      <c r="R503">
        <v>0</v>
      </c>
      <c r="S503">
        <v>0</v>
      </c>
      <c r="T503">
        <v>1</v>
      </c>
      <c r="U503">
        <v>5.8999999999999997E-2</v>
      </c>
    </row>
    <row r="504" spans="1:21" x14ac:dyDescent="0.25">
      <c r="A504">
        <v>503</v>
      </c>
      <c r="B504">
        <v>682155834</v>
      </c>
      <c r="C504" s="7" t="s">
        <v>70</v>
      </c>
      <c r="D504">
        <v>2225.39</v>
      </c>
      <c r="E504">
        <v>75.477099999999993</v>
      </c>
      <c r="F504">
        <v>2232.7399999999998</v>
      </c>
      <c r="G504">
        <v>0</v>
      </c>
      <c r="H504">
        <v>36.738500000000002</v>
      </c>
      <c r="I504">
        <v>0.5</v>
      </c>
      <c r="J504">
        <v>0.5</v>
      </c>
      <c r="K504">
        <v>0</v>
      </c>
      <c r="L504">
        <v>0</v>
      </c>
      <c r="M504">
        <v>3</v>
      </c>
      <c r="N504">
        <v>0</v>
      </c>
      <c r="O504" s="7" t="s">
        <v>28</v>
      </c>
      <c r="P504">
        <v>0</v>
      </c>
      <c r="Q504" s="7" t="s">
        <v>141</v>
      </c>
      <c r="R504">
        <v>0</v>
      </c>
      <c r="S504">
        <v>0</v>
      </c>
      <c r="T504">
        <v>1</v>
      </c>
      <c r="U504">
        <v>0.5</v>
      </c>
    </row>
    <row r="505" spans="1:21" x14ac:dyDescent="0.25">
      <c r="A505">
        <v>504</v>
      </c>
      <c r="B505">
        <v>94700100</v>
      </c>
      <c r="C505" s="7" t="s">
        <v>70</v>
      </c>
      <c r="D505">
        <v>2224.39</v>
      </c>
      <c r="E505">
        <v>78.082099999999997</v>
      </c>
      <c r="F505">
        <v>2224.39</v>
      </c>
      <c r="G505">
        <v>0</v>
      </c>
      <c r="H505">
        <v>-1.01</v>
      </c>
      <c r="I505">
        <v>0.5</v>
      </c>
      <c r="J505">
        <v>0</v>
      </c>
      <c r="K505">
        <v>0.49</v>
      </c>
      <c r="L505">
        <v>0</v>
      </c>
      <c r="M505">
        <v>3</v>
      </c>
      <c r="N505">
        <v>0</v>
      </c>
      <c r="O505" s="7" t="s">
        <v>28</v>
      </c>
      <c r="P505">
        <v>0</v>
      </c>
      <c r="Q505" s="7" t="s">
        <v>141</v>
      </c>
      <c r="R505">
        <v>0</v>
      </c>
      <c r="S505">
        <v>0</v>
      </c>
      <c r="T505">
        <v>1</v>
      </c>
      <c r="U505">
        <v>0.5</v>
      </c>
    </row>
    <row r="506" spans="1:21" x14ac:dyDescent="0.25">
      <c r="A506">
        <v>505</v>
      </c>
      <c r="B506">
        <v>454194356</v>
      </c>
      <c r="C506" s="7" t="s">
        <v>70</v>
      </c>
      <c r="D506">
        <v>2251.9499999999998</v>
      </c>
      <c r="E506">
        <v>74.663499999999999</v>
      </c>
      <c r="F506">
        <v>2258.84</v>
      </c>
      <c r="G506">
        <v>0</v>
      </c>
      <c r="H506">
        <v>34.4437</v>
      </c>
      <c r="I506">
        <v>0.5</v>
      </c>
      <c r="J506">
        <v>0.47485100000000002</v>
      </c>
      <c r="K506">
        <v>0.50484600000000002</v>
      </c>
      <c r="L506">
        <v>0</v>
      </c>
      <c r="M506">
        <v>3</v>
      </c>
      <c r="N506">
        <v>0</v>
      </c>
      <c r="O506" s="7" t="s">
        <v>28</v>
      </c>
      <c r="P506">
        <v>0</v>
      </c>
      <c r="Q506" s="7" t="s">
        <v>141</v>
      </c>
      <c r="R506">
        <v>0</v>
      </c>
      <c r="S506">
        <v>0</v>
      </c>
      <c r="T506">
        <v>1</v>
      </c>
      <c r="U506">
        <v>5.8999999999999997E-2</v>
      </c>
    </row>
    <row r="507" spans="1:21" x14ac:dyDescent="0.25">
      <c r="A507">
        <v>506</v>
      </c>
      <c r="B507">
        <v>154439856</v>
      </c>
      <c r="C507" s="7" t="s">
        <v>70</v>
      </c>
      <c r="D507">
        <v>2297.8000000000002</v>
      </c>
      <c r="E507">
        <v>74.663499999999999</v>
      </c>
      <c r="F507">
        <v>2309.2600000000002</v>
      </c>
      <c r="G507">
        <v>0</v>
      </c>
      <c r="H507">
        <v>57.299900000000001</v>
      </c>
      <c r="I507">
        <v>0.5</v>
      </c>
      <c r="J507">
        <v>0.78089600000000003</v>
      </c>
      <c r="K507">
        <v>0.219471</v>
      </c>
      <c r="L507">
        <v>0</v>
      </c>
      <c r="M507">
        <v>3</v>
      </c>
      <c r="N507">
        <v>0</v>
      </c>
      <c r="O507" s="7" t="s">
        <v>28</v>
      </c>
      <c r="P507">
        <v>0</v>
      </c>
      <c r="Q507" s="7" t="s">
        <v>141</v>
      </c>
      <c r="R507">
        <v>0</v>
      </c>
      <c r="S507">
        <v>0</v>
      </c>
      <c r="T507">
        <v>1</v>
      </c>
      <c r="U507">
        <v>4.5638499999999999E-2</v>
      </c>
    </row>
    <row r="508" spans="1:21" x14ac:dyDescent="0.25">
      <c r="A508">
        <v>507</v>
      </c>
      <c r="B508">
        <v>653951407</v>
      </c>
      <c r="C508" s="7" t="s">
        <v>70</v>
      </c>
      <c r="D508">
        <v>2339.9699999999998</v>
      </c>
      <c r="E508">
        <v>74.663499999999999</v>
      </c>
      <c r="F508">
        <v>2350.52</v>
      </c>
      <c r="G508">
        <v>0</v>
      </c>
      <c r="H508">
        <v>52.718200000000003</v>
      </c>
      <c r="I508">
        <v>0.5</v>
      </c>
      <c r="J508">
        <v>0.71947099999999997</v>
      </c>
      <c r="K508">
        <v>0</v>
      </c>
      <c r="L508">
        <v>0</v>
      </c>
      <c r="M508">
        <v>3</v>
      </c>
      <c r="N508">
        <v>0</v>
      </c>
      <c r="O508" s="7" t="s">
        <v>28</v>
      </c>
      <c r="P508">
        <v>0</v>
      </c>
      <c r="Q508" s="7" t="s">
        <v>141</v>
      </c>
      <c r="R508">
        <v>0</v>
      </c>
      <c r="S508">
        <v>0</v>
      </c>
      <c r="T508">
        <v>1</v>
      </c>
      <c r="U508">
        <v>0.30247600000000002</v>
      </c>
    </row>
    <row r="509" spans="1:21" x14ac:dyDescent="0.25">
      <c r="A509">
        <v>508</v>
      </c>
      <c r="B509">
        <v>690051493</v>
      </c>
      <c r="C509" s="7" t="s">
        <v>70</v>
      </c>
      <c r="D509">
        <v>2338.9699999999998</v>
      </c>
      <c r="E509">
        <v>76.313400000000001</v>
      </c>
      <c r="F509">
        <v>2338.9699999999998</v>
      </c>
      <c r="G509">
        <v>0</v>
      </c>
      <c r="H509">
        <v>-1.01</v>
      </c>
      <c r="I509">
        <v>0.5</v>
      </c>
      <c r="J509">
        <v>0</v>
      </c>
      <c r="K509">
        <v>0.49</v>
      </c>
      <c r="L509">
        <v>0</v>
      </c>
      <c r="M509">
        <v>3</v>
      </c>
      <c r="N509">
        <v>0</v>
      </c>
      <c r="O509" s="7" t="s">
        <v>28</v>
      </c>
      <c r="P509">
        <v>0</v>
      </c>
      <c r="Q509" s="7" t="s">
        <v>141</v>
      </c>
      <c r="R509">
        <v>0</v>
      </c>
      <c r="S509">
        <v>0</v>
      </c>
      <c r="T509">
        <v>1</v>
      </c>
      <c r="U509">
        <v>0.5</v>
      </c>
    </row>
    <row r="510" spans="1:21" x14ac:dyDescent="0.25">
      <c r="A510">
        <v>509</v>
      </c>
      <c r="B510">
        <v>936972540</v>
      </c>
      <c r="C510" s="7" t="s">
        <v>70</v>
      </c>
      <c r="D510">
        <v>2398.61</v>
      </c>
      <c r="E510">
        <v>76.313400000000001</v>
      </c>
      <c r="F510">
        <v>2413.52</v>
      </c>
      <c r="G510">
        <v>0</v>
      </c>
      <c r="H510">
        <v>74.550299999999993</v>
      </c>
      <c r="I510">
        <v>0.5</v>
      </c>
      <c r="J510">
        <v>0.99</v>
      </c>
      <c r="K510">
        <v>0</v>
      </c>
      <c r="L510">
        <v>0</v>
      </c>
      <c r="M510">
        <v>3</v>
      </c>
      <c r="N510">
        <v>0</v>
      </c>
      <c r="O510" s="7" t="s">
        <v>28</v>
      </c>
      <c r="P510">
        <v>0</v>
      </c>
      <c r="Q510" s="7" t="s">
        <v>141</v>
      </c>
      <c r="R510">
        <v>0</v>
      </c>
      <c r="S510">
        <v>0</v>
      </c>
      <c r="T510">
        <v>1</v>
      </c>
      <c r="U510">
        <v>5.8999999999999997E-2</v>
      </c>
    </row>
    <row r="511" spans="1:21" x14ac:dyDescent="0.25">
      <c r="A511">
        <v>510</v>
      </c>
      <c r="B511">
        <v>831486472</v>
      </c>
      <c r="C511" s="7" t="s">
        <v>70</v>
      </c>
      <c r="D511">
        <v>2430.09</v>
      </c>
      <c r="E511">
        <v>80.684299999999993</v>
      </c>
      <c r="F511">
        <v>2437.96</v>
      </c>
      <c r="G511">
        <v>0</v>
      </c>
      <c r="H511">
        <v>39.342199999999998</v>
      </c>
      <c r="I511">
        <v>0.5</v>
      </c>
      <c r="J511">
        <v>0.5</v>
      </c>
      <c r="K511">
        <v>0</v>
      </c>
      <c r="L511">
        <v>0</v>
      </c>
      <c r="M511">
        <v>3</v>
      </c>
      <c r="N511">
        <v>0</v>
      </c>
      <c r="O511" s="7" t="s">
        <v>28</v>
      </c>
      <c r="P511">
        <v>0</v>
      </c>
      <c r="Q511" s="7" t="s">
        <v>141</v>
      </c>
      <c r="R511">
        <v>0</v>
      </c>
      <c r="S511">
        <v>0</v>
      </c>
      <c r="T511">
        <v>1</v>
      </c>
      <c r="U511">
        <v>0.5</v>
      </c>
    </row>
    <row r="512" spans="1:21" x14ac:dyDescent="0.25">
      <c r="A512">
        <v>511</v>
      </c>
      <c r="B512">
        <v>42920728</v>
      </c>
      <c r="C512" s="7" t="s">
        <v>70</v>
      </c>
      <c r="D512">
        <v>2461.56</v>
      </c>
      <c r="E512">
        <v>80.684299999999993</v>
      </c>
      <c r="F512">
        <v>2469.4299999999998</v>
      </c>
      <c r="G512">
        <v>0</v>
      </c>
      <c r="H512">
        <v>39.342199999999998</v>
      </c>
      <c r="I512">
        <v>0.5</v>
      </c>
      <c r="J512">
        <v>0.5</v>
      </c>
      <c r="K512">
        <v>0</v>
      </c>
      <c r="L512">
        <v>0.130631</v>
      </c>
      <c r="M512">
        <v>3</v>
      </c>
      <c r="N512">
        <v>0</v>
      </c>
      <c r="O512" s="7" t="s">
        <v>28</v>
      </c>
      <c r="P512">
        <v>0</v>
      </c>
      <c r="Q512" s="7" t="s">
        <v>141</v>
      </c>
      <c r="R512">
        <v>0</v>
      </c>
      <c r="S512">
        <v>0</v>
      </c>
      <c r="T512">
        <v>1</v>
      </c>
      <c r="U512">
        <v>0.5</v>
      </c>
    </row>
    <row r="513" spans="1:21" x14ac:dyDescent="0.25">
      <c r="A513">
        <v>512</v>
      </c>
      <c r="B513">
        <v>666336386</v>
      </c>
      <c r="C513" s="7" t="s">
        <v>70</v>
      </c>
      <c r="D513">
        <v>2490.4699999999998</v>
      </c>
      <c r="E513">
        <v>82.451899999999995</v>
      </c>
      <c r="F513">
        <v>2497.6999999999998</v>
      </c>
      <c r="G513">
        <v>0</v>
      </c>
      <c r="H513">
        <v>36.139499999999998</v>
      </c>
      <c r="I513">
        <v>0.5</v>
      </c>
      <c r="J513">
        <v>0.45045000000000002</v>
      </c>
      <c r="K513">
        <v>4.85586E-2</v>
      </c>
      <c r="L513">
        <v>0</v>
      </c>
      <c r="M513">
        <v>3</v>
      </c>
      <c r="N513">
        <v>0</v>
      </c>
      <c r="O513" s="7" t="s">
        <v>28</v>
      </c>
      <c r="P513">
        <v>0</v>
      </c>
      <c r="Q513" s="7" t="s">
        <v>141</v>
      </c>
      <c r="R513">
        <v>0</v>
      </c>
      <c r="S513">
        <v>0</v>
      </c>
      <c r="T513">
        <v>1</v>
      </c>
      <c r="U513">
        <v>0.61756800000000001</v>
      </c>
    </row>
    <row r="514" spans="1:21" x14ac:dyDescent="0.25">
      <c r="A514">
        <v>513</v>
      </c>
      <c r="B514">
        <v>172042607</v>
      </c>
      <c r="C514" s="7" t="s">
        <v>70</v>
      </c>
      <c r="D514">
        <v>2523.2199999999998</v>
      </c>
      <c r="E514">
        <v>76.450800000000001</v>
      </c>
      <c r="F514">
        <v>2531.41</v>
      </c>
      <c r="G514">
        <v>0</v>
      </c>
      <c r="H514">
        <v>40.9377</v>
      </c>
      <c r="I514">
        <v>0.5</v>
      </c>
      <c r="J514">
        <v>0.54855900000000002</v>
      </c>
      <c r="K514">
        <v>0</v>
      </c>
      <c r="L514">
        <v>0</v>
      </c>
      <c r="M514">
        <v>3</v>
      </c>
      <c r="N514">
        <v>0</v>
      </c>
      <c r="O514" s="7" t="s">
        <v>28</v>
      </c>
      <c r="P514">
        <v>0</v>
      </c>
      <c r="Q514" s="7" t="s">
        <v>141</v>
      </c>
      <c r="R514">
        <v>0</v>
      </c>
      <c r="S514">
        <v>0</v>
      </c>
      <c r="T514">
        <v>1</v>
      </c>
      <c r="U514">
        <v>0.45629700000000001</v>
      </c>
    </row>
    <row r="515" spans="1:21" x14ac:dyDescent="0.25">
      <c r="A515">
        <v>514</v>
      </c>
      <c r="B515">
        <v>184679498</v>
      </c>
      <c r="C515" s="7" t="s">
        <v>70</v>
      </c>
      <c r="D515">
        <v>2555.2600000000002</v>
      </c>
      <c r="E515">
        <v>82.083799999999997</v>
      </c>
      <c r="F515">
        <v>2563.27</v>
      </c>
      <c r="G515">
        <v>0</v>
      </c>
      <c r="H515">
        <v>40.041899999999998</v>
      </c>
      <c r="I515">
        <v>0.5</v>
      </c>
      <c r="J515">
        <v>0.5</v>
      </c>
      <c r="K515">
        <v>0</v>
      </c>
      <c r="L515">
        <v>0.40090100000000001</v>
      </c>
      <c r="M515">
        <v>3</v>
      </c>
      <c r="N515">
        <v>0</v>
      </c>
      <c r="O515" s="7" t="s">
        <v>28</v>
      </c>
      <c r="P515">
        <v>0</v>
      </c>
      <c r="Q515" s="7" t="s">
        <v>141</v>
      </c>
      <c r="R515">
        <v>0</v>
      </c>
      <c r="S515">
        <v>0</v>
      </c>
      <c r="T515">
        <v>1</v>
      </c>
      <c r="U515">
        <v>0.5</v>
      </c>
    </row>
    <row r="516" spans="1:21" x14ac:dyDescent="0.25">
      <c r="A516">
        <v>515</v>
      </c>
      <c r="B516">
        <v>494247720</v>
      </c>
      <c r="C516" s="7" t="s">
        <v>70</v>
      </c>
      <c r="D516">
        <v>2554.2600000000002</v>
      </c>
      <c r="E516">
        <v>89.386200000000002</v>
      </c>
      <c r="F516">
        <v>2554.2600000000002</v>
      </c>
      <c r="G516">
        <v>0</v>
      </c>
      <c r="H516">
        <v>-1.01</v>
      </c>
      <c r="I516">
        <v>0.5</v>
      </c>
      <c r="J516">
        <v>0</v>
      </c>
      <c r="K516">
        <v>0.49</v>
      </c>
      <c r="L516">
        <v>0</v>
      </c>
      <c r="M516">
        <v>3</v>
      </c>
      <c r="N516">
        <v>0</v>
      </c>
      <c r="O516" s="7" t="s">
        <v>28</v>
      </c>
      <c r="P516">
        <v>0</v>
      </c>
      <c r="Q516" s="7" t="s">
        <v>141</v>
      </c>
      <c r="R516">
        <v>0</v>
      </c>
      <c r="S516">
        <v>0</v>
      </c>
      <c r="T516">
        <v>1</v>
      </c>
      <c r="U516">
        <v>0.86081099999999999</v>
      </c>
    </row>
    <row r="517" spans="1:21" x14ac:dyDescent="0.25">
      <c r="A517">
        <v>516</v>
      </c>
      <c r="B517">
        <v>236952320</v>
      </c>
      <c r="C517" s="7" t="s">
        <v>70</v>
      </c>
      <c r="D517">
        <v>2553.2600000000002</v>
      </c>
      <c r="E517">
        <v>86.241299999999995</v>
      </c>
      <c r="F517">
        <v>2553.2600000000002</v>
      </c>
      <c r="G517">
        <v>0</v>
      </c>
      <c r="H517">
        <v>-1.0198</v>
      </c>
      <c r="I517">
        <v>0.5</v>
      </c>
      <c r="J517">
        <v>0</v>
      </c>
      <c r="K517">
        <v>0.97019999999999995</v>
      </c>
      <c r="L517">
        <v>0</v>
      </c>
      <c r="M517">
        <v>3</v>
      </c>
      <c r="N517">
        <v>0</v>
      </c>
      <c r="O517" s="7" t="s">
        <v>28</v>
      </c>
      <c r="P517">
        <v>0</v>
      </c>
      <c r="Q517" s="7" t="s">
        <v>141</v>
      </c>
      <c r="R517">
        <v>0</v>
      </c>
      <c r="S517">
        <v>0</v>
      </c>
      <c r="T517">
        <v>1</v>
      </c>
      <c r="U517">
        <v>5.8999999999999997E-2</v>
      </c>
    </row>
    <row r="518" spans="1:21" x14ac:dyDescent="0.25">
      <c r="A518">
        <v>517</v>
      </c>
      <c r="B518">
        <v>242745223</v>
      </c>
      <c r="C518" s="7" t="s">
        <v>70</v>
      </c>
      <c r="D518">
        <v>2616.88</v>
      </c>
      <c r="E518">
        <v>86.241299999999995</v>
      </c>
      <c r="F518">
        <v>2632.78</v>
      </c>
      <c r="G518">
        <v>0</v>
      </c>
      <c r="H518">
        <v>79.526799999999994</v>
      </c>
      <c r="I518">
        <v>0</v>
      </c>
      <c r="J518">
        <v>0.922153</v>
      </c>
      <c r="K518">
        <v>4.7085599999999998E-2</v>
      </c>
      <c r="L518">
        <v>0</v>
      </c>
      <c r="M518">
        <v>3</v>
      </c>
      <c r="N518">
        <v>0</v>
      </c>
      <c r="O518" s="7" t="s">
        <v>28</v>
      </c>
      <c r="P518">
        <v>0</v>
      </c>
      <c r="Q518" s="7" t="s">
        <v>28</v>
      </c>
      <c r="R518">
        <v>0</v>
      </c>
      <c r="S518">
        <v>0</v>
      </c>
      <c r="T518">
        <v>0</v>
      </c>
      <c r="U518">
        <v>0</v>
      </c>
    </row>
    <row r="519" spans="1:21" x14ac:dyDescent="0.25">
      <c r="A519">
        <v>518</v>
      </c>
      <c r="B519">
        <v>764888647</v>
      </c>
      <c r="C519" s="7" t="s">
        <v>70</v>
      </c>
      <c r="D519">
        <v>2620.13</v>
      </c>
      <c r="E519">
        <v>86.241299999999995</v>
      </c>
      <c r="F519">
        <v>2620.94</v>
      </c>
      <c r="G519">
        <v>0</v>
      </c>
      <c r="H519">
        <v>4.0607199999999999</v>
      </c>
      <c r="I519">
        <v>0</v>
      </c>
      <c r="J519">
        <v>4.7085599999999998E-2</v>
      </c>
      <c r="K519">
        <v>0</v>
      </c>
      <c r="L519">
        <v>0.83056799999999997</v>
      </c>
      <c r="M519">
        <v>3</v>
      </c>
      <c r="N519">
        <v>0</v>
      </c>
      <c r="O519" s="7" t="s">
        <v>28</v>
      </c>
      <c r="P519">
        <v>0</v>
      </c>
      <c r="Q519" s="7" t="s">
        <v>28</v>
      </c>
      <c r="R519">
        <v>0</v>
      </c>
      <c r="S519">
        <v>0</v>
      </c>
      <c r="T519">
        <v>0</v>
      </c>
      <c r="U519">
        <v>0</v>
      </c>
    </row>
    <row r="520" spans="1:21" x14ac:dyDescent="0.25">
      <c r="A520">
        <v>519</v>
      </c>
      <c r="B520">
        <v>724807039</v>
      </c>
      <c r="C520" s="7" t="s">
        <v>70</v>
      </c>
      <c r="D520">
        <v>2620.13</v>
      </c>
      <c r="E520">
        <v>93.897000000000006</v>
      </c>
      <c r="F520">
        <v>2620.13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0.73336800000000002</v>
      </c>
      <c r="M520">
        <v>3</v>
      </c>
      <c r="N520">
        <v>0</v>
      </c>
      <c r="O520" s="7" t="s">
        <v>28</v>
      </c>
      <c r="P520">
        <v>0.74751100000000004</v>
      </c>
      <c r="Q520" s="7" t="s">
        <v>28</v>
      </c>
      <c r="R520">
        <v>0</v>
      </c>
      <c r="S520">
        <v>0</v>
      </c>
      <c r="T520">
        <v>0</v>
      </c>
      <c r="U520">
        <v>0.74751100000000004</v>
      </c>
    </row>
    <row r="521" spans="1:21" x14ac:dyDescent="0.25">
      <c r="A521">
        <v>520</v>
      </c>
      <c r="B521">
        <v>230556942</v>
      </c>
      <c r="C521" s="7" t="s">
        <v>70</v>
      </c>
      <c r="D521">
        <v>2620.13</v>
      </c>
      <c r="E521">
        <v>93.897000000000006</v>
      </c>
      <c r="F521">
        <v>2620.13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0.96790500000000002</v>
      </c>
      <c r="M521">
        <v>3</v>
      </c>
      <c r="N521">
        <v>0</v>
      </c>
      <c r="O521" s="7" t="s">
        <v>28</v>
      </c>
      <c r="P521">
        <v>0.66003100000000003</v>
      </c>
      <c r="Q521" s="7" t="s">
        <v>28</v>
      </c>
      <c r="R521">
        <v>0</v>
      </c>
      <c r="S521">
        <v>0</v>
      </c>
      <c r="T521">
        <v>0</v>
      </c>
      <c r="U521">
        <v>0.66003100000000003</v>
      </c>
    </row>
    <row r="522" spans="1:21" x14ac:dyDescent="0.25">
      <c r="A522">
        <v>521</v>
      </c>
      <c r="B522">
        <v>732193093</v>
      </c>
      <c r="C522" s="7" t="s">
        <v>70</v>
      </c>
      <c r="D522">
        <v>2620.13</v>
      </c>
      <c r="E522">
        <v>93.897000000000006</v>
      </c>
      <c r="F522">
        <v>2620.13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0.15165400000000001</v>
      </c>
      <c r="M522">
        <v>3</v>
      </c>
      <c r="N522">
        <v>0</v>
      </c>
      <c r="O522" s="7" t="s">
        <v>28</v>
      </c>
      <c r="P522">
        <v>0.87111400000000005</v>
      </c>
      <c r="Q522" s="7" t="s">
        <v>28</v>
      </c>
      <c r="R522">
        <v>0</v>
      </c>
      <c r="S522">
        <v>0</v>
      </c>
      <c r="T522">
        <v>0</v>
      </c>
      <c r="U522">
        <v>0.87111400000000005</v>
      </c>
    </row>
    <row r="523" spans="1:21" x14ac:dyDescent="0.25">
      <c r="A523">
        <v>522</v>
      </c>
      <c r="B523">
        <v>858471147</v>
      </c>
      <c r="C523" s="7" t="s">
        <v>70</v>
      </c>
      <c r="D523">
        <v>2620.13</v>
      </c>
      <c r="E523">
        <v>93.897000000000006</v>
      </c>
      <c r="F523">
        <v>2620.13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3</v>
      </c>
      <c r="N523">
        <v>0</v>
      </c>
      <c r="O523" s="7" t="s">
        <v>28</v>
      </c>
      <c r="P523">
        <v>0.136488</v>
      </c>
      <c r="Q523" s="7" t="s">
        <v>28</v>
      </c>
      <c r="R523">
        <v>0</v>
      </c>
      <c r="S523">
        <v>0</v>
      </c>
      <c r="T523">
        <v>0</v>
      </c>
      <c r="U523">
        <v>0.136488</v>
      </c>
    </row>
    <row r="524" spans="1:21" x14ac:dyDescent="0.25">
      <c r="A524">
        <v>523</v>
      </c>
      <c r="B524">
        <v>513162854</v>
      </c>
      <c r="C524" s="7" t="s">
        <v>70</v>
      </c>
      <c r="D524">
        <v>2620.13</v>
      </c>
      <c r="E524">
        <v>93.897000000000006</v>
      </c>
      <c r="F524">
        <v>2620.13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0.80979199999999996</v>
      </c>
      <c r="M524">
        <v>3</v>
      </c>
      <c r="N524">
        <v>0</v>
      </c>
      <c r="O524" s="7" t="s">
        <v>28</v>
      </c>
      <c r="P524">
        <v>0</v>
      </c>
      <c r="Q524" s="7" t="s">
        <v>28</v>
      </c>
      <c r="R524">
        <v>0</v>
      </c>
      <c r="S524">
        <v>0</v>
      </c>
      <c r="T524">
        <v>0</v>
      </c>
      <c r="U524">
        <v>0</v>
      </c>
    </row>
    <row r="525" spans="1:21" x14ac:dyDescent="0.25">
      <c r="A525">
        <v>524</v>
      </c>
      <c r="B525">
        <v>243851301</v>
      </c>
      <c r="C525" s="7" t="s">
        <v>70</v>
      </c>
      <c r="D525">
        <v>2620.13</v>
      </c>
      <c r="E525">
        <v>93.897000000000006</v>
      </c>
      <c r="F525">
        <v>2620.13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0.30254300000000001</v>
      </c>
      <c r="M525">
        <v>3</v>
      </c>
      <c r="N525">
        <v>0</v>
      </c>
      <c r="O525" s="7" t="s">
        <v>28</v>
      </c>
      <c r="P525">
        <v>0.72881300000000004</v>
      </c>
      <c r="Q525" s="7" t="s">
        <v>28</v>
      </c>
      <c r="R525">
        <v>0</v>
      </c>
      <c r="S525">
        <v>0</v>
      </c>
      <c r="T525">
        <v>0</v>
      </c>
      <c r="U525">
        <v>0.72881300000000004</v>
      </c>
    </row>
    <row r="526" spans="1:21" x14ac:dyDescent="0.25">
      <c r="A526">
        <v>525</v>
      </c>
      <c r="B526">
        <v>205104923</v>
      </c>
      <c r="C526" s="7" t="s">
        <v>70</v>
      </c>
      <c r="D526">
        <v>2620.13</v>
      </c>
      <c r="E526">
        <v>93.897000000000006</v>
      </c>
      <c r="F526">
        <v>2620.13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0.35927599999999998</v>
      </c>
      <c r="M526">
        <v>3</v>
      </c>
      <c r="N526">
        <v>0</v>
      </c>
      <c r="O526" s="7" t="s">
        <v>28</v>
      </c>
      <c r="P526">
        <v>0.27228799999999997</v>
      </c>
      <c r="Q526" s="7" t="s">
        <v>28</v>
      </c>
      <c r="R526">
        <v>0</v>
      </c>
      <c r="S526">
        <v>0</v>
      </c>
      <c r="T526">
        <v>0</v>
      </c>
      <c r="U526">
        <v>0.27228799999999997</v>
      </c>
    </row>
    <row r="527" spans="1:21" x14ac:dyDescent="0.25">
      <c r="A527">
        <v>526</v>
      </c>
      <c r="B527">
        <v>392499222</v>
      </c>
      <c r="C527" s="7" t="s">
        <v>70</v>
      </c>
      <c r="D527">
        <v>2620.13</v>
      </c>
      <c r="E527">
        <v>93.897000000000006</v>
      </c>
      <c r="F527">
        <v>2620.13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3</v>
      </c>
      <c r="N527">
        <v>0</v>
      </c>
      <c r="O527" s="7" t="s">
        <v>28</v>
      </c>
      <c r="P527">
        <v>0.32334800000000002</v>
      </c>
      <c r="Q527" s="7" t="s">
        <v>28</v>
      </c>
      <c r="R527">
        <v>0</v>
      </c>
      <c r="S527">
        <v>0</v>
      </c>
      <c r="T527">
        <v>0</v>
      </c>
      <c r="U527">
        <v>0.32334800000000002</v>
      </c>
    </row>
    <row r="528" spans="1:21" x14ac:dyDescent="0.25">
      <c r="A528">
        <v>527</v>
      </c>
      <c r="B528">
        <v>299966278</v>
      </c>
      <c r="C528" s="7" t="s">
        <v>70</v>
      </c>
      <c r="D528">
        <v>2620.13</v>
      </c>
      <c r="E528">
        <v>93.897000000000006</v>
      </c>
      <c r="F528">
        <v>2620.13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1.2462800000000001</v>
      </c>
      <c r="M528">
        <v>3</v>
      </c>
      <c r="N528">
        <v>0</v>
      </c>
      <c r="O528" s="7" t="s">
        <v>28</v>
      </c>
      <c r="P528">
        <v>0</v>
      </c>
      <c r="Q528" s="7" t="s">
        <v>28</v>
      </c>
      <c r="R528">
        <v>0</v>
      </c>
      <c r="S528">
        <v>0</v>
      </c>
      <c r="T528">
        <v>0</v>
      </c>
      <c r="U528">
        <v>0</v>
      </c>
    </row>
    <row r="529" spans="1:21" x14ac:dyDescent="0.25">
      <c r="A529">
        <v>528</v>
      </c>
      <c r="B529">
        <v>73289958</v>
      </c>
      <c r="C529" s="7" t="s">
        <v>70</v>
      </c>
      <c r="D529">
        <v>2656.89</v>
      </c>
      <c r="E529">
        <v>93.897000000000006</v>
      </c>
      <c r="F529">
        <v>2666.08</v>
      </c>
      <c r="G529">
        <v>0</v>
      </c>
      <c r="H529">
        <v>45.948500000000003</v>
      </c>
      <c r="I529">
        <v>0.5</v>
      </c>
      <c r="J529">
        <v>0.5</v>
      </c>
      <c r="K529">
        <v>0</v>
      </c>
      <c r="L529">
        <v>1.2145699999999999</v>
      </c>
      <c r="M529">
        <v>3</v>
      </c>
      <c r="N529">
        <v>0</v>
      </c>
      <c r="O529" s="7" t="s">
        <v>28</v>
      </c>
      <c r="P529">
        <v>0.121656</v>
      </c>
      <c r="Q529" s="7" t="s">
        <v>142</v>
      </c>
      <c r="R529">
        <v>0</v>
      </c>
      <c r="S529">
        <v>0</v>
      </c>
      <c r="T529">
        <v>1</v>
      </c>
      <c r="U529">
        <v>1.1216600000000001</v>
      </c>
    </row>
    <row r="530" spans="1:21" x14ac:dyDescent="0.25">
      <c r="A530">
        <v>529</v>
      </c>
      <c r="B530">
        <v>894240782</v>
      </c>
      <c r="C530" s="7" t="s">
        <v>70</v>
      </c>
      <c r="D530">
        <v>2655.89</v>
      </c>
      <c r="E530">
        <v>94.010900000000007</v>
      </c>
      <c r="F530">
        <v>2655.89</v>
      </c>
      <c r="G530">
        <v>0</v>
      </c>
      <c r="H530">
        <v>-1.01</v>
      </c>
      <c r="I530">
        <v>0.5</v>
      </c>
      <c r="J530">
        <v>0</v>
      </c>
      <c r="K530">
        <v>0.49</v>
      </c>
      <c r="L530">
        <v>0</v>
      </c>
      <c r="M530">
        <v>3</v>
      </c>
      <c r="N530">
        <v>0</v>
      </c>
      <c r="O530" s="7" t="s">
        <v>28</v>
      </c>
      <c r="P530">
        <v>0.593113</v>
      </c>
      <c r="Q530" s="7" t="s">
        <v>142</v>
      </c>
      <c r="R530">
        <v>0</v>
      </c>
      <c r="S530">
        <v>0</v>
      </c>
      <c r="T530">
        <v>1</v>
      </c>
      <c r="U530">
        <v>1.59311</v>
      </c>
    </row>
    <row r="531" spans="1:21" x14ac:dyDescent="0.25">
      <c r="A531">
        <v>530</v>
      </c>
      <c r="B531">
        <v>20219139</v>
      </c>
      <c r="C531" s="7" t="s">
        <v>70</v>
      </c>
      <c r="D531">
        <v>2654.89</v>
      </c>
      <c r="E531">
        <v>94.010900000000007</v>
      </c>
      <c r="F531">
        <v>2654.89</v>
      </c>
      <c r="G531">
        <v>0</v>
      </c>
      <c r="H531">
        <v>-1.0198</v>
      </c>
      <c r="I531">
        <v>0.5</v>
      </c>
      <c r="J531">
        <v>0</v>
      </c>
      <c r="K531">
        <v>0.97019999999999995</v>
      </c>
      <c r="L531">
        <v>0</v>
      </c>
      <c r="M531">
        <v>3</v>
      </c>
      <c r="N531">
        <v>0</v>
      </c>
      <c r="O531" s="7" t="s">
        <v>28</v>
      </c>
      <c r="P531">
        <v>0</v>
      </c>
      <c r="Q531" s="7" t="s">
        <v>142</v>
      </c>
      <c r="R531">
        <v>0</v>
      </c>
      <c r="S531">
        <v>0</v>
      </c>
      <c r="T531">
        <v>1</v>
      </c>
      <c r="U531">
        <v>5.8999999999999997E-2</v>
      </c>
    </row>
    <row r="532" spans="1:21" x14ac:dyDescent="0.25">
      <c r="A532">
        <v>531</v>
      </c>
      <c r="B532">
        <v>163730078</v>
      </c>
      <c r="C532" s="7" t="s">
        <v>70</v>
      </c>
      <c r="D532">
        <v>2661.7</v>
      </c>
      <c r="E532">
        <v>94.010900000000007</v>
      </c>
      <c r="F532">
        <v>2663.4</v>
      </c>
      <c r="G532">
        <v>0</v>
      </c>
      <c r="H532">
        <v>8.5000499999999999</v>
      </c>
      <c r="I532">
        <v>0</v>
      </c>
      <c r="J532">
        <v>9.0602699999999994E-2</v>
      </c>
      <c r="K532">
        <v>0.86200500000000002</v>
      </c>
      <c r="L532">
        <v>0</v>
      </c>
      <c r="M532">
        <v>3</v>
      </c>
      <c r="N532">
        <v>0</v>
      </c>
      <c r="O532" s="7" t="s">
        <v>28</v>
      </c>
      <c r="P532">
        <v>0</v>
      </c>
      <c r="Q532" s="7" t="s">
        <v>28</v>
      </c>
      <c r="R532">
        <v>0</v>
      </c>
      <c r="S532">
        <v>0</v>
      </c>
      <c r="T532">
        <v>0</v>
      </c>
      <c r="U532">
        <v>0</v>
      </c>
    </row>
    <row r="533" spans="1:21" x14ac:dyDescent="0.25">
      <c r="A533">
        <v>532</v>
      </c>
      <c r="B533">
        <v>423895455</v>
      </c>
      <c r="C533" s="7" t="s">
        <v>70</v>
      </c>
      <c r="D533">
        <v>2706.39</v>
      </c>
      <c r="E533">
        <v>94.010900000000007</v>
      </c>
      <c r="F533">
        <v>2717.56</v>
      </c>
      <c r="G533">
        <v>0</v>
      </c>
      <c r="H533">
        <v>55.851999999999997</v>
      </c>
      <c r="I533">
        <v>0</v>
      </c>
      <c r="J533">
        <v>0.59415799999999996</v>
      </c>
      <c r="K533">
        <v>0.26249</v>
      </c>
      <c r="L533">
        <v>0</v>
      </c>
      <c r="M533">
        <v>3</v>
      </c>
      <c r="N533">
        <v>0</v>
      </c>
      <c r="O533" s="7" t="s">
        <v>28</v>
      </c>
      <c r="P533">
        <v>0</v>
      </c>
      <c r="Q533" s="7" t="s">
        <v>28</v>
      </c>
      <c r="R533">
        <v>0</v>
      </c>
      <c r="S533">
        <v>0</v>
      </c>
      <c r="T533">
        <v>0</v>
      </c>
      <c r="U533">
        <v>0</v>
      </c>
    </row>
    <row r="534" spans="1:21" x14ac:dyDescent="0.25">
      <c r="A534">
        <v>533</v>
      </c>
      <c r="B534">
        <v>835631296</v>
      </c>
      <c r="C534" s="7" t="s">
        <v>70</v>
      </c>
      <c r="D534">
        <v>2726.13</v>
      </c>
      <c r="E534">
        <v>94.010900000000007</v>
      </c>
      <c r="F534">
        <v>2731.07</v>
      </c>
      <c r="G534">
        <v>0</v>
      </c>
      <c r="H534">
        <v>24.6769</v>
      </c>
      <c r="I534">
        <v>0</v>
      </c>
      <c r="J534">
        <v>0.26249</v>
      </c>
      <c r="K534">
        <v>0</v>
      </c>
      <c r="L534">
        <v>0</v>
      </c>
      <c r="M534">
        <v>3</v>
      </c>
      <c r="N534">
        <v>0</v>
      </c>
      <c r="O534" s="7" t="s">
        <v>28</v>
      </c>
      <c r="P534">
        <v>0</v>
      </c>
      <c r="Q534" s="7" t="s">
        <v>28</v>
      </c>
      <c r="R534">
        <v>0</v>
      </c>
      <c r="S534">
        <v>0</v>
      </c>
      <c r="T534">
        <v>0</v>
      </c>
      <c r="U534">
        <v>0</v>
      </c>
    </row>
    <row r="535" spans="1:21" x14ac:dyDescent="0.25">
      <c r="A535">
        <v>534</v>
      </c>
      <c r="B535">
        <v>654858300</v>
      </c>
      <c r="C535" s="7" t="s">
        <v>70</v>
      </c>
      <c r="D535">
        <v>2726.13</v>
      </c>
      <c r="E535">
        <v>94.980900000000005</v>
      </c>
      <c r="F535">
        <v>2726.13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3</v>
      </c>
      <c r="N535">
        <v>0</v>
      </c>
      <c r="O535" s="7" t="s">
        <v>28</v>
      </c>
      <c r="P535">
        <v>0</v>
      </c>
      <c r="Q535" s="7" t="s">
        <v>28</v>
      </c>
      <c r="R535">
        <v>0</v>
      </c>
      <c r="S535">
        <v>0</v>
      </c>
      <c r="T535">
        <v>0</v>
      </c>
      <c r="U535">
        <v>0</v>
      </c>
    </row>
    <row r="536" spans="1:21" x14ac:dyDescent="0.25">
      <c r="A536">
        <v>535</v>
      </c>
      <c r="B536">
        <v>833074052</v>
      </c>
      <c r="C536" s="7" t="s">
        <v>70</v>
      </c>
      <c r="D536">
        <v>2726.13</v>
      </c>
      <c r="E536">
        <v>101.07299999999999</v>
      </c>
      <c r="F536">
        <v>2726.13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0.18018000000000001</v>
      </c>
      <c r="M536">
        <v>3</v>
      </c>
      <c r="N536">
        <v>0</v>
      </c>
      <c r="O536" s="7" t="s">
        <v>28</v>
      </c>
      <c r="P536">
        <v>0</v>
      </c>
      <c r="Q536" s="7" t="s">
        <v>28</v>
      </c>
      <c r="R536">
        <v>0</v>
      </c>
      <c r="S536">
        <v>0</v>
      </c>
      <c r="T536">
        <v>0</v>
      </c>
      <c r="U536">
        <v>0</v>
      </c>
    </row>
    <row r="537" spans="1:21" x14ac:dyDescent="0.25">
      <c r="A537">
        <v>536</v>
      </c>
      <c r="B537">
        <v>703504162</v>
      </c>
      <c r="C537" s="7" t="s">
        <v>70</v>
      </c>
      <c r="D537">
        <v>2726.13</v>
      </c>
      <c r="E537">
        <v>103.792</v>
      </c>
      <c r="F537">
        <v>2726.13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0.501502</v>
      </c>
      <c r="M537">
        <v>3</v>
      </c>
      <c r="N537">
        <v>0</v>
      </c>
      <c r="O537" s="7" t="s">
        <v>28</v>
      </c>
      <c r="P537">
        <v>0.162162</v>
      </c>
      <c r="Q537" s="7" t="s">
        <v>28</v>
      </c>
      <c r="R537">
        <v>0</v>
      </c>
      <c r="S537">
        <v>0</v>
      </c>
      <c r="T537">
        <v>0</v>
      </c>
      <c r="U537">
        <v>0.162162</v>
      </c>
    </row>
    <row r="538" spans="1:21" x14ac:dyDescent="0.25">
      <c r="A538">
        <v>537</v>
      </c>
      <c r="B538">
        <v>57864621</v>
      </c>
      <c r="C538" s="7" t="s">
        <v>70</v>
      </c>
      <c r="D538">
        <v>2726.13</v>
      </c>
      <c r="E538">
        <v>103.792</v>
      </c>
      <c r="F538">
        <v>2726.13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3</v>
      </c>
      <c r="N538">
        <v>0</v>
      </c>
      <c r="O538" s="7" t="s">
        <v>28</v>
      </c>
      <c r="P538">
        <v>0.451351</v>
      </c>
      <c r="Q538" s="7" t="s">
        <v>28</v>
      </c>
      <c r="R538">
        <v>0</v>
      </c>
      <c r="S538">
        <v>0</v>
      </c>
      <c r="T538">
        <v>0</v>
      </c>
      <c r="U538">
        <v>0.451351</v>
      </c>
    </row>
    <row r="539" spans="1:21" x14ac:dyDescent="0.25">
      <c r="A539">
        <v>538</v>
      </c>
      <c r="B539">
        <v>652601678</v>
      </c>
      <c r="C539" s="7" t="s">
        <v>70</v>
      </c>
      <c r="D539">
        <v>2726.13</v>
      </c>
      <c r="E539">
        <v>103.792</v>
      </c>
      <c r="F539">
        <v>2726.13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0.49532999999999999</v>
      </c>
      <c r="M539">
        <v>3</v>
      </c>
      <c r="N539">
        <v>0</v>
      </c>
      <c r="O539" s="7" t="s">
        <v>28</v>
      </c>
      <c r="P539">
        <v>0</v>
      </c>
      <c r="Q539" s="7" t="s">
        <v>28</v>
      </c>
      <c r="R539">
        <v>0</v>
      </c>
      <c r="S539">
        <v>0</v>
      </c>
      <c r="T539">
        <v>0</v>
      </c>
      <c r="U539">
        <v>0</v>
      </c>
    </row>
    <row r="540" spans="1:21" x14ac:dyDescent="0.25">
      <c r="A540">
        <v>539</v>
      </c>
      <c r="B540">
        <v>374604819</v>
      </c>
      <c r="C540" s="7" t="s">
        <v>70</v>
      </c>
      <c r="D540">
        <v>2726.13</v>
      </c>
      <c r="E540">
        <v>111.70099999999999</v>
      </c>
      <c r="F540">
        <v>2726.13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2.11531</v>
      </c>
      <c r="M540">
        <v>3</v>
      </c>
      <c r="N540">
        <v>0</v>
      </c>
      <c r="O540" s="7" t="s">
        <v>28</v>
      </c>
      <c r="P540">
        <v>0.445797</v>
      </c>
      <c r="Q540" s="7" t="s">
        <v>28</v>
      </c>
      <c r="R540">
        <v>0</v>
      </c>
      <c r="S540">
        <v>0</v>
      </c>
      <c r="T540">
        <v>0</v>
      </c>
      <c r="U540">
        <v>0.445797</v>
      </c>
    </row>
    <row r="541" spans="1:21" x14ac:dyDescent="0.25">
      <c r="A541">
        <v>540</v>
      </c>
      <c r="B541">
        <v>691232818</v>
      </c>
      <c r="C541" s="7" t="s">
        <v>70</v>
      </c>
      <c r="D541">
        <v>2750.94</v>
      </c>
      <c r="E541">
        <v>111.70099999999999</v>
      </c>
      <c r="F541">
        <v>2757.14</v>
      </c>
      <c r="G541">
        <v>0</v>
      </c>
      <c r="H541">
        <v>31.0078</v>
      </c>
      <c r="I541">
        <v>0.5</v>
      </c>
      <c r="J541">
        <v>0.28658800000000001</v>
      </c>
      <c r="K541">
        <v>0.209143</v>
      </c>
      <c r="L541">
        <v>0</v>
      </c>
      <c r="M541">
        <v>3</v>
      </c>
      <c r="N541">
        <v>0</v>
      </c>
      <c r="O541" s="7" t="s">
        <v>28</v>
      </c>
      <c r="P541">
        <v>0.903783</v>
      </c>
      <c r="Q541" s="7" t="s">
        <v>143</v>
      </c>
      <c r="R541">
        <v>0</v>
      </c>
      <c r="S541">
        <v>0</v>
      </c>
      <c r="T541">
        <v>1</v>
      </c>
      <c r="U541">
        <v>1.90378</v>
      </c>
    </row>
    <row r="542" spans="1:21" x14ac:dyDescent="0.25">
      <c r="A542">
        <v>541</v>
      </c>
      <c r="B542">
        <v>484947485</v>
      </c>
      <c r="C542" s="7" t="s">
        <v>70</v>
      </c>
      <c r="D542">
        <v>2813.41</v>
      </c>
      <c r="E542">
        <v>111.526</v>
      </c>
      <c r="F542">
        <v>2829.03</v>
      </c>
      <c r="G542">
        <v>0</v>
      </c>
      <c r="H542">
        <v>78.087599999999995</v>
      </c>
      <c r="I542">
        <v>0.5</v>
      </c>
      <c r="J542">
        <v>0.70914299999999997</v>
      </c>
      <c r="K542">
        <v>0</v>
      </c>
      <c r="L542">
        <v>0.11154600000000001</v>
      </c>
      <c r="M542">
        <v>3</v>
      </c>
      <c r="N542">
        <v>0</v>
      </c>
      <c r="O542" s="7" t="s">
        <v>28</v>
      </c>
      <c r="P542">
        <v>0</v>
      </c>
      <c r="Q542" s="7" t="s">
        <v>143</v>
      </c>
      <c r="R542">
        <v>0</v>
      </c>
      <c r="S542">
        <v>0</v>
      </c>
      <c r="T542">
        <v>1</v>
      </c>
      <c r="U542">
        <v>0.31177100000000002</v>
      </c>
    </row>
    <row r="543" spans="1:21" x14ac:dyDescent="0.25">
      <c r="A543">
        <v>542</v>
      </c>
      <c r="B543">
        <v>395702996</v>
      </c>
      <c r="C543" s="7" t="s">
        <v>70</v>
      </c>
      <c r="D543">
        <v>2857.22</v>
      </c>
      <c r="E543">
        <v>111.526</v>
      </c>
      <c r="F543">
        <v>2868.18</v>
      </c>
      <c r="G543">
        <v>0</v>
      </c>
      <c r="H543">
        <v>54.762799999999999</v>
      </c>
      <c r="I543">
        <v>0.5</v>
      </c>
      <c r="J543">
        <v>0.5</v>
      </c>
      <c r="K543">
        <v>0</v>
      </c>
      <c r="L543">
        <v>1.57501</v>
      </c>
      <c r="M543">
        <v>3</v>
      </c>
      <c r="N543">
        <v>0</v>
      </c>
      <c r="O543" s="7" t="s">
        <v>28</v>
      </c>
      <c r="P543">
        <v>0</v>
      </c>
      <c r="Q543" s="7" t="s">
        <v>143</v>
      </c>
      <c r="R543">
        <v>0</v>
      </c>
      <c r="S543">
        <v>0</v>
      </c>
      <c r="T543">
        <v>1</v>
      </c>
      <c r="U543">
        <v>0.60039200000000004</v>
      </c>
    </row>
    <row r="544" spans="1:21" x14ac:dyDescent="0.25">
      <c r="A544">
        <v>543</v>
      </c>
      <c r="B544">
        <v>625420719</v>
      </c>
      <c r="C544" s="7" t="s">
        <v>70</v>
      </c>
      <c r="D544">
        <v>2901.03</v>
      </c>
      <c r="E544">
        <v>111.526</v>
      </c>
      <c r="F544">
        <v>2911.99</v>
      </c>
      <c r="G544">
        <v>0</v>
      </c>
      <c r="H544">
        <v>54.762799999999999</v>
      </c>
      <c r="I544">
        <v>0.5</v>
      </c>
      <c r="J544">
        <v>0.5</v>
      </c>
      <c r="K544">
        <v>0</v>
      </c>
      <c r="L544">
        <v>0.94130599999999998</v>
      </c>
      <c r="M544">
        <v>3</v>
      </c>
      <c r="N544">
        <v>0</v>
      </c>
      <c r="O544" s="7" t="s">
        <v>28</v>
      </c>
      <c r="P544">
        <v>0.91751300000000002</v>
      </c>
      <c r="Q544" s="7" t="s">
        <v>143</v>
      </c>
      <c r="R544">
        <v>0</v>
      </c>
      <c r="S544">
        <v>0</v>
      </c>
      <c r="T544">
        <v>1</v>
      </c>
      <c r="U544">
        <v>1.91751</v>
      </c>
    </row>
    <row r="545" spans="1:21" x14ac:dyDescent="0.25">
      <c r="A545">
        <v>544</v>
      </c>
      <c r="B545">
        <v>706313679</v>
      </c>
      <c r="C545" s="7" t="s">
        <v>70</v>
      </c>
      <c r="D545">
        <v>2944.84</v>
      </c>
      <c r="E545">
        <v>111.526</v>
      </c>
      <c r="F545">
        <v>2955.8</v>
      </c>
      <c r="G545">
        <v>0</v>
      </c>
      <c r="H545">
        <v>54.762799999999999</v>
      </c>
      <c r="I545">
        <v>0.5</v>
      </c>
      <c r="J545">
        <v>0.5</v>
      </c>
      <c r="K545">
        <v>0</v>
      </c>
      <c r="L545">
        <v>0.445409</v>
      </c>
      <c r="M545">
        <v>3</v>
      </c>
      <c r="N545">
        <v>0</v>
      </c>
      <c r="O545" s="7" t="s">
        <v>28</v>
      </c>
      <c r="P545">
        <v>0.34717599999999998</v>
      </c>
      <c r="Q545" s="7" t="s">
        <v>143</v>
      </c>
      <c r="R545">
        <v>0</v>
      </c>
      <c r="S545">
        <v>0</v>
      </c>
      <c r="T545">
        <v>1</v>
      </c>
      <c r="U545">
        <v>1.34718</v>
      </c>
    </row>
    <row r="546" spans="1:21" x14ac:dyDescent="0.25">
      <c r="A546">
        <v>545</v>
      </c>
      <c r="B546">
        <v>450469365</v>
      </c>
      <c r="C546" s="7" t="s">
        <v>70</v>
      </c>
      <c r="D546">
        <v>2988.65</v>
      </c>
      <c r="E546">
        <v>111.526</v>
      </c>
      <c r="F546">
        <v>2999.61</v>
      </c>
      <c r="G546">
        <v>0</v>
      </c>
      <c r="H546">
        <v>54.762799999999999</v>
      </c>
      <c r="I546">
        <v>0.5</v>
      </c>
      <c r="J546">
        <v>0.5</v>
      </c>
      <c r="K546">
        <v>0</v>
      </c>
      <c r="L546">
        <v>0</v>
      </c>
      <c r="M546">
        <v>3</v>
      </c>
      <c r="N546">
        <v>0</v>
      </c>
      <c r="O546" s="7" t="s">
        <v>28</v>
      </c>
      <c r="P546">
        <v>0</v>
      </c>
      <c r="Q546" s="7" t="s">
        <v>143</v>
      </c>
      <c r="R546">
        <v>0</v>
      </c>
      <c r="S546">
        <v>0</v>
      </c>
      <c r="T546">
        <v>1</v>
      </c>
      <c r="U546">
        <v>0.900868</v>
      </c>
    </row>
    <row r="547" spans="1:21" x14ac:dyDescent="0.25">
      <c r="A547">
        <v>546</v>
      </c>
      <c r="B547">
        <v>185310551</v>
      </c>
      <c r="C547" s="7" t="s">
        <v>70</v>
      </c>
      <c r="D547">
        <v>3032.46</v>
      </c>
      <c r="E547">
        <v>111.526</v>
      </c>
      <c r="F547">
        <v>3043.42</v>
      </c>
      <c r="G547">
        <v>0</v>
      </c>
      <c r="H547">
        <v>54.762799999999999</v>
      </c>
      <c r="I547">
        <v>0.5</v>
      </c>
      <c r="J547">
        <v>0.5</v>
      </c>
      <c r="K547">
        <v>0</v>
      </c>
      <c r="L547">
        <v>0</v>
      </c>
      <c r="M547">
        <v>3</v>
      </c>
      <c r="N547">
        <v>0</v>
      </c>
      <c r="O547" s="7" t="s">
        <v>28</v>
      </c>
      <c r="P547">
        <v>0</v>
      </c>
      <c r="Q547" s="7" t="s">
        <v>143</v>
      </c>
      <c r="R547">
        <v>0</v>
      </c>
      <c r="S547">
        <v>0</v>
      </c>
      <c r="T547">
        <v>1</v>
      </c>
      <c r="U547">
        <v>0.5</v>
      </c>
    </row>
    <row r="548" spans="1:21" x14ac:dyDescent="0.25">
      <c r="A548">
        <v>547</v>
      </c>
      <c r="B548">
        <v>642266846</v>
      </c>
      <c r="C548" s="7" t="s">
        <v>70</v>
      </c>
      <c r="D548">
        <v>3032.19</v>
      </c>
      <c r="E548">
        <v>111.526</v>
      </c>
      <c r="F548">
        <v>3032.19</v>
      </c>
      <c r="G548">
        <v>0</v>
      </c>
      <c r="H548">
        <v>-0.27938299999999999</v>
      </c>
      <c r="I548">
        <v>0.5</v>
      </c>
      <c r="J548">
        <v>6.5499399999999998E-3</v>
      </c>
      <c r="K548">
        <v>0.48358099999999998</v>
      </c>
      <c r="L548">
        <v>0</v>
      </c>
      <c r="M548">
        <v>3</v>
      </c>
      <c r="N548">
        <v>0</v>
      </c>
      <c r="O548" s="7" t="s">
        <v>28</v>
      </c>
      <c r="P548">
        <v>0</v>
      </c>
      <c r="Q548" s="7" t="s">
        <v>143</v>
      </c>
      <c r="R548">
        <v>0</v>
      </c>
      <c r="S548">
        <v>0</v>
      </c>
      <c r="T548">
        <v>1</v>
      </c>
      <c r="U548">
        <v>0.5</v>
      </c>
    </row>
    <row r="549" spans="1:21" x14ac:dyDescent="0.25">
      <c r="A549">
        <v>548</v>
      </c>
      <c r="B549">
        <v>104149848</v>
      </c>
      <c r="C549" s="7" t="s">
        <v>70</v>
      </c>
      <c r="D549">
        <v>3116.66</v>
      </c>
      <c r="E549">
        <v>108.35599999999999</v>
      </c>
      <c r="F549">
        <v>3137.77</v>
      </c>
      <c r="G549">
        <v>0</v>
      </c>
      <c r="H549">
        <v>105.577</v>
      </c>
      <c r="I549">
        <v>0.5</v>
      </c>
      <c r="J549">
        <v>0.98358100000000004</v>
      </c>
      <c r="K549">
        <v>0</v>
      </c>
      <c r="L549">
        <v>0</v>
      </c>
      <c r="M549">
        <v>3</v>
      </c>
      <c r="N549">
        <v>0</v>
      </c>
      <c r="O549" s="7" t="s">
        <v>28</v>
      </c>
      <c r="P549">
        <v>0</v>
      </c>
      <c r="Q549" s="7" t="s">
        <v>143</v>
      </c>
      <c r="R549">
        <v>0</v>
      </c>
      <c r="S549">
        <v>0</v>
      </c>
      <c r="T549">
        <v>1</v>
      </c>
      <c r="U549">
        <v>6.4777100000000004E-2</v>
      </c>
    </row>
    <row r="550" spans="1:21" x14ac:dyDescent="0.25">
      <c r="A550">
        <v>549</v>
      </c>
      <c r="B550">
        <v>147134192</v>
      </c>
      <c r="C550" s="7" t="s">
        <v>70</v>
      </c>
      <c r="D550">
        <v>3160.01</v>
      </c>
      <c r="E550">
        <v>110.38200000000001</v>
      </c>
      <c r="F550">
        <v>3170.85</v>
      </c>
      <c r="G550">
        <v>0</v>
      </c>
      <c r="H550">
        <v>54.191099999999999</v>
      </c>
      <c r="I550">
        <v>0.5</v>
      </c>
      <c r="J550">
        <v>0.5</v>
      </c>
      <c r="K550">
        <v>0</v>
      </c>
      <c r="L550">
        <v>0.26619599999999999</v>
      </c>
      <c r="M550">
        <v>3</v>
      </c>
      <c r="N550">
        <v>0</v>
      </c>
      <c r="O550" s="7" t="s">
        <v>28</v>
      </c>
      <c r="P550">
        <v>0</v>
      </c>
      <c r="Q550" s="7" t="s">
        <v>143</v>
      </c>
      <c r="R550">
        <v>0</v>
      </c>
      <c r="S550">
        <v>0</v>
      </c>
      <c r="T550">
        <v>1</v>
      </c>
      <c r="U550">
        <v>0.5</v>
      </c>
    </row>
    <row r="551" spans="1:21" x14ac:dyDescent="0.25">
      <c r="A551">
        <v>550</v>
      </c>
      <c r="B551">
        <v>840371924</v>
      </c>
      <c r="C551" s="7" t="s">
        <v>70</v>
      </c>
      <c r="D551">
        <v>3203.96</v>
      </c>
      <c r="E551">
        <v>111.88</v>
      </c>
      <c r="F551">
        <v>3214.95</v>
      </c>
      <c r="G551">
        <v>0</v>
      </c>
      <c r="H551">
        <v>54.940199999999997</v>
      </c>
      <c r="I551">
        <v>0.5</v>
      </c>
      <c r="J551">
        <v>0.5</v>
      </c>
      <c r="K551">
        <v>0</v>
      </c>
      <c r="L551">
        <v>0</v>
      </c>
      <c r="M551">
        <v>3</v>
      </c>
      <c r="N551">
        <v>0</v>
      </c>
      <c r="O551" s="7" t="s">
        <v>28</v>
      </c>
      <c r="P551">
        <v>0</v>
      </c>
      <c r="Q551" s="7" t="s">
        <v>143</v>
      </c>
      <c r="R551">
        <v>0</v>
      </c>
      <c r="S551">
        <v>0</v>
      </c>
      <c r="T551">
        <v>1</v>
      </c>
      <c r="U551">
        <v>0.73957600000000001</v>
      </c>
    </row>
    <row r="552" spans="1:21" x14ac:dyDescent="0.25">
      <c r="A552">
        <v>551</v>
      </c>
      <c r="B552">
        <v>997494178</v>
      </c>
      <c r="C552" s="7" t="s">
        <v>70</v>
      </c>
      <c r="D552">
        <v>3252.32</v>
      </c>
      <c r="E552">
        <v>122.88500000000001</v>
      </c>
      <c r="F552">
        <v>3264.4</v>
      </c>
      <c r="G552">
        <v>0</v>
      </c>
      <c r="H552">
        <v>60.442500000000003</v>
      </c>
      <c r="I552">
        <v>0.5</v>
      </c>
      <c r="J552">
        <v>0.5</v>
      </c>
      <c r="K552">
        <v>0</v>
      </c>
      <c r="L552">
        <v>0.99146100000000004</v>
      </c>
      <c r="M552">
        <v>3</v>
      </c>
      <c r="N552">
        <v>0</v>
      </c>
      <c r="O552" s="7" t="s">
        <v>28</v>
      </c>
      <c r="P552">
        <v>0</v>
      </c>
      <c r="Q552" s="7" t="s">
        <v>143</v>
      </c>
      <c r="R552">
        <v>0</v>
      </c>
      <c r="S552">
        <v>0</v>
      </c>
      <c r="T552">
        <v>1</v>
      </c>
      <c r="U552">
        <v>0.5</v>
      </c>
    </row>
    <row r="553" spans="1:21" x14ac:dyDescent="0.25">
      <c r="A553">
        <v>552</v>
      </c>
      <c r="B553">
        <v>966987220</v>
      </c>
      <c r="C553" s="7" t="s">
        <v>70</v>
      </c>
      <c r="D553">
        <v>3300.67</v>
      </c>
      <c r="E553">
        <v>122.88500000000001</v>
      </c>
      <c r="F553">
        <v>3312.76</v>
      </c>
      <c r="G553">
        <v>0</v>
      </c>
      <c r="H553">
        <v>60.442500000000003</v>
      </c>
      <c r="I553">
        <v>0.5</v>
      </c>
      <c r="J553">
        <v>0.5</v>
      </c>
      <c r="K553">
        <v>0</v>
      </c>
      <c r="L553">
        <v>0.47563299999999997</v>
      </c>
      <c r="M553">
        <v>3</v>
      </c>
      <c r="N553">
        <v>0</v>
      </c>
      <c r="O553" s="7" t="s">
        <v>28</v>
      </c>
      <c r="P553">
        <v>0.39231500000000002</v>
      </c>
      <c r="Q553" s="7" t="s">
        <v>143</v>
      </c>
      <c r="R553">
        <v>0</v>
      </c>
      <c r="S553">
        <v>0</v>
      </c>
      <c r="T553">
        <v>1</v>
      </c>
      <c r="U553">
        <v>1.3923099999999999</v>
      </c>
    </row>
    <row r="554" spans="1:21" x14ac:dyDescent="0.25">
      <c r="A554">
        <v>553</v>
      </c>
      <c r="B554">
        <v>782146069</v>
      </c>
      <c r="C554" s="7" t="s">
        <v>70</v>
      </c>
      <c r="D554">
        <v>3325.57</v>
      </c>
      <c r="E554">
        <v>122.88500000000001</v>
      </c>
      <c r="F554">
        <v>3331.79</v>
      </c>
      <c r="G554">
        <v>0</v>
      </c>
      <c r="H554">
        <v>31.120100000000001</v>
      </c>
      <c r="I554">
        <v>0.5</v>
      </c>
      <c r="J554">
        <v>0.26142300000000002</v>
      </c>
      <c r="K554">
        <v>0.23380600000000001</v>
      </c>
      <c r="L554">
        <v>0</v>
      </c>
      <c r="M554">
        <v>3</v>
      </c>
      <c r="N554">
        <v>0</v>
      </c>
      <c r="O554" s="7" t="s">
        <v>28</v>
      </c>
      <c r="P554">
        <v>0</v>
      </c>
      <c r="Q554" s="7" t="s">
        <v>143</v>
      </c>
      <c r="R554">
        <v>0</v>
      </c>
      <c r="S554">
        <v>0</v>
      </c>
      <c r="T554">
        <v>1</v>
      </c>
      <c r="U554">
        <v>0.92806900000000003</v>
      </c>
    </row>
    <row r="555" spans="1:21" x14ac:dyDescent="0.25">
      <c r="A555">
        <v>554</v>
      </c>
      <c r="B555">
        <v>47520730</v>
      </c>
      <c r="C555" s="7" t="s">
        <v>70</v>
      </c>
      <c r="D555">
        <v>3396.41</v>
      </c>
      <c r="E555">
        <v>122.032</v>
      </c>
      <c r="F555">
        <v>3414.12</v>
      </c>
      <c r="G555">
        <v>0</v>
      </c>
      <c r="H555">
        <v>88.548100000000005</v>
      </c>
      <c r="I555">
        <v>0.5</v>
      </c>
      <c r="J555">
        <v>0.73380599999999996</v>
      </c>
      <c r="K555">
        <v>0</v>
      </c>
      <c r="L555">
        <v>0.647123</v>
      </c>
      <c r="M555">
        <v>3</v>
      </c>
      <c r="N555">
        <v>0</v>
      </c>
      <c r="O555" s="7" t="s">
        <v>28</v>
      </c>
      <c r="P555">
        <v>0</v>
      </c>
      <c r="Q555" s="7" t="s">
        <v>143</v>
      </c>
      <c r="R555">
        <v>0</v>
      </c>
      <c r="S555">
        <v>0</v>
      </c>
      <c r="T555">
        <v>1</v>
      </c>
      <c r="U555">
        <v>0.28957500000000003</v>
      </c>
    </row>
    <row r="556" spans="1:21" x14ac:dyDescent="0.25">
      <c r="A556">
        <v>555</v>
      </c>
      <c r="B556">
        <v>304009755</v>
      </c>
      <c r="C556" s="7" t="s">
        <v>70</v>
      </c>
      <c r="D556">
        <v>3444.42</v>
      </c>
      <c r="E556">
        <v>122.032</v>
      </c>
      <c r="F556">
        <v>3456.42</v>
      </c>
      <c r="G556">
        <v>0</v>
      </c>
      <c r="H556">
        <v>60.016199999999998</v>
      </c>
      <c r="I556">
        <v>0.5</v>
      </c>
      <c r="J556">
        <v>0.5</v>
      </c>
      <c r="K556">
        <v>0</v>
      </c>
      <c r="L556">
        <v>0</v>
      </c>
      <c r="M556">
        <v>3</v>
      </c>
      <c r="N556">
        <v>0</v>
      </c>
      <c r="O556" s="7" t="s">
        <v>28</v>
      </c>
      <c r="P556">
        <v>8.2410600000000001E-2</v>
      </c>
      <c r="Q556" s="7" t="s">
        <v>143</v>
      </c>
      <c r="R556">
        <v>0</v>
      </c>
      <c r="S556">
        <v>0</v>
      </c>
      <c r="T556">
        <v>1</v>
      </c>
      <c r="U556">
        <v>1.0824100000000001</v>
      </c>
    </row>
    <row r="557" spans="1:21" x14ac:dyDescent="0.25">
      <c r="A557">
        <v>556</v>
      </c>
      <c r="B557">
        <v>306670589</v>
      </c>
      <c r="C557" s="7" t="s">
        <v>70</v>
      </c>
      <c r="D557">
        <v>3492.43</v>
      </c>
      <c r="E557">
        <v>122.032</v>
      </c>
      <c r="F557">
        <v>3504.44</v>
      </c>
      <c r="G557">
        <v>0</v>
      </c>
      <c r="H557">
        <v>60.016199999999998</v>
      </c>
      <c r="I557">
        <v>0.5</v>
      </c>
      <c r="J557">
        <v>0.5</v>
      </c>
      <c r="K557">
        <v>0</v>
      </c>
      <c r="L557">
        <v>0</v>
      </c>
      <c r="M557">
        <v>3</v>
      </c>
      <c r="N557">
        <v>0</v>
      </c>
      <c r="O557" s="7" t="s">
        <v>28</v>
      </c>
      <c r="P557">
        <v>0</v>
      </c>
      <c r="Q557" s="7" t="s">
        <v>143</v>
      </c>
      <c r="R557">
        <v>0</v>
      </c>
      <c r="S557">
        <v>0</v>
      </c>
      <c r="T557">
        <v>1</v>
      </c>
      <c r="U557">
        <v>0.5</v>
      </c>
    </row>
    <row r="558" spans="1:21" x14ac:dyDescent="0.25">
      <c r="A558">
        <v>557</v>
      </c>
      <c r="B558">
        <v>17435906</v>
      </c>
      <c r="C558" s="7" t="s">
        <v>70</v>
      </c>
      <c r="D558">
        <v>3540.45</v>
      </c>
      <c r="E558">
        <v>122.032</v>
      </c>
      <c r="F558">
        <v>3552.45</v>
      </c>
      <c r="G558">
        <v>0</v>
      </c>
      <c r="H558">
        <v>60.016199999999998</v>
      </c>
      <c r="I558">
        <v>0.5</v>
      </c>
      <c r="J558">
        <v>0.5</v>
      </c>
      <c r="K558">
        <v>0</v>
      </c>
      <c r="L558">
        <v>0</v>
      </c>
      <c r="M558">
        <v>3</v>
      </c>
      <c r="N558">
        <v>0</v>
      </c>
      <c r="O558" s="7" t="s">
        <v>28</v>
      </c>
      <c r="P558">
        <v>0</v>
      </c>
      <c r="Q558" s="7" t="s">
        <v>143</v>
      </c>
      <c r="R558">
        <v>0</v>
      </c>
      <c r="S558">
        <v>0</v>
      </c>
      <c r="T558">
        <v>1</v>
      </c>
      <c r="U558">
        <v>0.5</v>
      </c>
    </row>
    <row r="559" spans="1:21" x14ac:dyDescent="0.25">
      <c r="A559">
        <v>558</v>
      </c>
      <c r="B559">
        <v>920793874</v>
      </c>
      <c r="C559" s="7" t="s">
        <v>70</v>
      </c>
      <c r="D559">
        <v>3574.6</v>
      </c>
      <c r="E559">
        <v>122.032</v>
      </c>
      <c r="F559">
        <v>3583.14</v>
      </c>
      <c r="G559">
        <v>0</v>
      </c>
      <c r="H559">
        <v>42.692900000000002</v>
      </c>
      <c r="I559">
        <v>0.5</v>
      </c>
      <c r="J559">
        <v>0.35806700000000002</v>
      </c>
      <c r="K559">
        <v>0.139094</v>
      </c>
      <c r="L559">
        <v>0</v>
      </c>
      <c r="M559">
        <v>3</v>
      </c>
      <c r="N559">
        <v>0</v>
      </c>
      <c r="O559" s="7" t="s">
        <v>28</v>
      </c>
      <c r="P559">
        <v>0</v>
      </c>
      <c r="Q559" s="7" t="s">
        <v>143</v>
      </c>
      <c r="R559">
        <v>0</v>
      </c>
      <c r="S559">
        <v>0</v>
      </c>
      <c r="T559">
        <v>1</v>
      </c>
      <c r="U559">
        <v>0.5</v>
      </c>
    </row>
    <row r="560" spans="1:21" x14ac:dyDescent="0.25">
      <c r="A560">
        <v>559</v>
      </c>
      <c r="B560">
        <v>250454009</v>
      </c>
      <c r="C560" s="7" t="s">
        <v>70</v>
      </c>
      <c r="D560">
        <v>3626.58</v>
      </c>
      <c r="E560">
        <v>122.032</v>
      </c>
      <c r="F560">
        <v>3639.57</v>
      </c>
      <c r="G560">
        <v>0</v>
      </c>
      <c r="H560">
        <v>64.961500000000001</v>
      </c>
      <c r="I560">
        <v>0.5</v>
      </c>
      <c r="J560">
        <v>0.54054100000000005</v>
      </c>
      <c r="K560">
        <v>9.6582600000000005E-2</v>
      </c>
      <c r="L560">
        <v>0</v>
      </c>
      <c r="M560">
        <v>3</v>
      </c>
      <c r="N560">
        <v>0</v>
      </c>
      <c r="O560" s="7" t="s">
        <v>28</v>
      </c>
      <c r="P560">
        <v>0</v>
      </c>
      <c r="Q560" s="7" t="s">
        <v>143</v>
      </c>
      <c r="R560">
        <v>0</v>
      </c>
      <c r="S560">
        <v>0</v>
      </c>
      <c r="T560">
        <v>1</v>
      </c>
      <c r="U560">
        <v>0.37481500000000001</v>
      </c>
    </row>
    <row r="561" spans="1:21" x14ac:dyDescent="0.25">
      <c r="A561">
        <v>560</v>
      </c>
      <c r="B561">
        <v>689824482</v>
      </c>
      <c r="C561" s="7" t="s">
        <v>70</v>
      </c>
      <c r="D561">
        <v>3684.02</v>
      </c>
      <c r="E561">
        <v>122.032</v>
      </c>
      <c r="F561">
        <v>3698.38</v>
      </c>
      <c r="G561">
        <v>0</v>
      </c>
      <c r="H561">
        <v>71.802400000000006</v>
      </c>
      <c r="I561">
        <v>0.5</v>
      </c>
      <c r="J561">
        <v>0.59658299999999997</v>
      </c>
      <c r="K561">
        <v>0</v>
      </c>
      <c r="L561">
        <v>0</v>
      </c>
      <c r="M561">
        <v>3</v>
      </c>
      <c r="N561">
        <v>0</v>
      </c>
      <c r="O561" s="7" t="s">
        <v>28</v>
      </c>
      <c r="P561">
        <v>0</v>
      </c>
      <c r="Q561" s="7" t="s">
        <v>143</v>
      </c>
      <c r="R561">
        <v>0</v>
      </c>
      <c r="S561">
        <v>0</v>
      </c>
      <c r="T561">
        <v>1</v>
      </c>
      <c r="U561">
        <v>0.413076</v>
      </c>
    </row>
    <row r="562" spans="1:21" x14ac:dyDescent="0.25">
      <c r="A562">
        <v>561</v>
      </c>
      <c r="B562">
        <v>396321386</v>
      </c>
      <c r="C562" s="7" t="s">
        <v>70</v>
      </c>
      <c r="D562">
        <v>3715.11</v>
      </c>
      <c r="E562">
        <v>130.26599999999999</v>
      </c>
      <c r="F562">
        <v>3722.88</v>
      </c>
      <c r="G562">
        <v>0</v>
      </c>
      <c r="H562">
        <v>38.863100000000003</v>
      </c>
      <c r="I562">
        <v>0.5</v>
      </c>
      <c r="J562">
        <v>0.30604300000000001</v>
      </c>
      <c r="K562">
        <v>0.190078</v>
      </c>
      <c r="L562">
        <v>0</v>
      </c>
      <c r="M562">
        <v>3</v>
      </c>
      <c r="N562">
        <v>0</v>
      </c>
      <c r="O562" s="7" t="s">
        <v>28</v>
      </c>
      <c r="P562">
        <v>0</v>
      </c>
      <c r="Q562" s="7" t="s">
        <v>143</v>
      </c>
      <c r="R562">
        <v>0</v>
      </c>
      <c r="S562">
        <v>0</v>
      </c>
      <c r="T562">
        <v>1</v>
      </c>
      <c r="U562">
        <v>0.5</v>
      </c>
    </row>
    <row r="563" spans="1:21" x14ac:dyDescent="0.25">
      <c r="A563">
        <v>562</v>
      </c>
      <c r="B563">
        <v>641156914</v>
      </c>
      <c r="C563" s="7" t="s">
        <v>70</v>
      </c>
      <c r="D563">
        <v>3779.81</v>
      </c>
      <c r="E563">
        <v>118.64</v>
      </c>
      <c r="F563">
        <v>3795.98</v>
      </c>
      <c r="G563">
        <v>0</v>
      </c>
      <c r="H563">
        <v>80.870999999999995</v>
      </c>
      <c r="I563">
        <v>0.5</v>
      </c>
      <c r="J563">
        <v>0.69007799999999997</v>
      </c>
      <c r="K563">
        <v>0</v>
      </c>
      <c r="L563">
        <v>0</v>
      </c>
      <c r="M563">
        <v>3</v>
      </c>
      <c r="N563">
        <v>0</v>
      </c>
      <c r="O563" s="7" t="s">
        <v>28</v>
      </c>
      <c r="P563">
        <v>0</v>
      </c>
      <c r="Q563" s="7" t="s">
        <v>143</v>
      </c>
      <c r="R563">
        <v>0</v>
      </c>
      <c r="S563">
        <v>0</v>
      </c>
      <c r="T563">
        <v>1</v>
      </c>
      <c r="U563">
        <v>0.32893</v>
      </c>
    </row>
    <row r="564" spans="1:21" x14ac:dyDescent="0.25">
      <c r="A564">
        <v>563</v>
      </c>
      <c r="B564">
        <v>154114664</v>
      </c>
      <c r="C564" s="7" t="s">
        <v>70</v>
      </c>
      <c r="D564">
        <v>3829.16</v>
      </c>
      <c r="E564">
        <v>125.373</v>
      </c>
      <c r="F564">
        <v>3841.5</v>
      </c>
      <c r="G564">
        <v>0</v>
      </c>
      <c r="H564">
        <v>61.686599999999999</v>
      </c>
      <c r="I564">
        <v>0.5</v>
      </c>
      <c r="J564">
        <v>0.5</v>
      </c>
      <c r="K564">
        <v>0</v>
      </c>
      <c r="L564">
        <v>0</v>
      </c>
      <c r="M564">
        <v>3</v>
      </c>
      <c r="N564">
        <v>0</v>
      </c>
      <c r="O564" s="7" t="s">
        <v>28</v>
      </c>
      <c r="P564">
        <v>0</v>
      </c>
      <c r="Q564" s="7" t="s">
        <v>143</v>
      </c>
      <c r="R564">
        <v>0</v>
      </c>
      <c r="S564">
        <v>0</v>
      </c>
      <c r="T564">
        <v>1</v>
      </c>
      <c r="U564">
        <v>0.5</v>
      </c>
    </row>
    <row r="565" spans="1:21" x14ac:dyDescent="0.25">
      <c r="A565">
        <v>564</v>
      </c>
      <c r="B565">
        <v>139461457</v>
      </c>
      <c r="C565" s="7" t="s">
        <v>70</v>
      </c>
      <c r="D565">
        <v>3879.03</v>
      </c>
      <c r="E565">
        <v>126.67</v>
      </c>
      <c r="F565">
        <v>3891.49</v>
      </c>
      <c r="G565">
        <v>0</v>
      </c>
      <c r="H565">
        <v>62.3352</v>
      </c>
      <c r="I565">
        <v>0.5</v>
      </c>
      <c r="J565">
        <v>0.5</v>
      </c>
      <c r="K565">
        <v>0</v>
      </c>
      <c r="L565">
        <v>4.05405E-2</v>
      </c>
      <c r="M565">
        <v>3</v>
      </c>
      <c r="N565">
        <v>0</v>
      </c>
      <c r="O565" s="7" t="s">
        <v>28</v>
      </c>
      <c r="P565">
        <v>0</v>
      </c>
      <c r="Q565" s="7" t="s">
        <v>143</v>
      </c>
      <c r="R565">
        <v>0</v>
      </c>
      <c r="S565">
        <v>0</v>
      </c>
      <c r="T565">
        <v>1</v>
      </c>
      <c r="U565">
        <v>0.5</v>
      </c>
    </row>
    <row r="566" spans="1:21" x14ac:dyDescent="0.25">
      <c r="A566">
        <v>565</v>
      </c>
      <c r="B566">
        <v>682017030</v>
      </c>
      <c r="C566" s="7" t="s">
        <v>70</v>
      </c>
      <c r="D566">
        <v>3878.03</v>
      </c>
      <c r="E566">
        <v>134.00899999999999</v>
      </c>
      <c r="F566">
        <v>3878.03</v>
      </c>
      <c r="G566">
        <v>0</v>
      </c>
      <c r="H566">
        <v>-1.01</v>
      </c>
      <c r="I566">
        <v>0.5</v>
      </c>
      <c r="J566">
        <v>0</v>
      </c>
      <c r="K566">
        <v>0.49</v>
      </c>
      <c r="L566">
        <v>0</v>
      </c>
      <c r="M566">
        <v>3</v>
      </c>
      <c r="N566">
        <v>0</v>
      </c>
      <c r="O566" s="7" t="s">
        <v>28</v>
      </c>
      <c r="P566">
        <v>0</v>
      </c>
      <c r="Q566" s="7" t="s">
        <v>143</v>
      </c>
      <c r="R566">
        <v>0</v>
      </c>
      <c r="S566">
        <v>0</v>
      </c>
      <c r="T566">
        <v>1</v>
      </c>
      <c r="U566">
        <v>0.53648700000000005</v>
      </c>
    </row>
    <row r="567" spans="1:21" x14ac:dyDescent="0.25">
      <c r="A567">
        <v>566</v>
      </c>
      <c r="B567">
        <v>413719600</v>
      </c>
      <c r="C567" s="7" t="s">
        <v>70</v>
      </c>
      <c r="D567">
        <v>3904.46</v>
      </c>
      <c r="E567">
        <v>125.955</v>
      </c>
      <c r="F567">
        <v>3911.07</v>
      </c>
      <c r="G567">
        <v>0</v>
      </c>
      <c r="H567">
        <v>33.027999999999999</v>
      </c>
      <c r="I567">
        <v>0.5</v>
      </c>
      <c r="J567">
        <v>0.27027299999999999</v>
      </c>
      <c r="K567">
        <v>0.70533199999999996</v>
      </c>
      <c r="L567">
        <v>0</v>
      </c>
      <c r="M567">
        <v>3</v>
      </c>
      <c r="N567">
        <v>0</v>
      </c>
      <c r="O567" s="7" t="s">
        <v>28</v>
      </c>
      <c r="P567">
        <v>0</v>
      </c>
      <c r="Q567" s="7" t="s">
        <v>143</v>
      </c>
      <c r="R567">
        <v>0</v>
      </c>
      <c r="S567">
        <v>0</v>
      </c>
      <c r="T567">
        <v>1</v>
      </c>
      <c r="U567">
        <v>5.8999999999999997E-2</v>
      </c>
    </row>
    <row r="568" spans="1:21" x14ac:dyDescent="0.25">
      <c r="A568">
        <v>567</v>
      </c>
      <c r="B568">
        <v>427793256</v>
      </c>
      <c r="C568" s="7" t="s">
        <v>70</v>
      </c>
      <c r="D568">
        <v>3962.4</v>
      </c>
      <c r="E568">
        <v>125.955</v>
      </c>
      <c r="F568">
        <v>3976.88</v>
      </c>
      <c r="G568">
        <v>0</v>
      </c>
      <c r="H568">
        <v>72.412400000000005</v>
      </c>
      <c r="I568">
        <v>0</v>
      </c>
      <c r="J568">
        <v>0.57492500000000002</v>
      </c>
      <c r="K568">
        <v>0.127799</v>
      </c>
      <c r="L568">
        <v>0</v>
      </c>
      <c r="M568">
        <v>3</v>
      </c>
      <c r="N568">
        <v>0</v>
      </c>
      <c r="O568" s="7" t="s">
        <v>28</v>
      </c>
      <c r="P568">
        <v>0</v>
      </c>
      <c r="Q568" s="7" t="s">
        <v>28</v>
      </c>
      <c r="R568">
        <v>0</v>
      </c>
      <c r="S568">
        <v>0</v>
      </c>
      <c r="T568">
        <v>0</v>
      </c>
      <c r="U568">
        <v>0</v>
      </c>
    </row>
    <row r="569" spans="1:21" x14ac:dyDescent="0.25">
      <c r="A569">
        <v>568</v>
      </c>
      <c r="B569">
        <v>850796978</v>
      </c>
      <c r="C569" s="7" t="s">
        <v>70</v>
      </c>
      <c r="D569">
        <v>3962.4</v>
      </c>
      <c r="E569">
        <v>125.955</v>
      </c>
      <c r="F569">
        <v>3962.4</v>
      </c>
      <c r="G569">
        <v>0</v>
      </c>
      <c r="H569">
        <v>-2.5559799999999998E-3</v>
      </c>
      <c r="I569">
        <v>0</v>
      </c>
      <c r="J569">
        <v>0</v>
      </c>
      <c r="K569">
        <v>0.12524299999999999</v>
      </c>
      <c r="L569">
        <v>0</v>
      </c>
      <c r="M569">
        <v>3</v>
      </c>
      <c r="N569">
        <v>0</v>
      </c>
      <c r="O569" s="7" t="s">
        <v>28</v>
      </c>
      <c r="P569">
        <v>0</v>
      </c>
      <c r="Q569" s="7" t="s">
        <v>28</v>
      </c>
      <c r="R569">
        <v>0</v>
      </c>
      <c r="S569">
        <v>0</v>
      </c>
      <c r="T569">
        <v>0</v>
      </c>
      <c r="U569">
        <v>0</v>
      </c>
    </row>
    <row r="570" spans="1:21" x14ac:dyDescent="0.25">
      <c r="A570">
        <v>569</v>
      </c>
      <c r="B570">
        <v>795318923</v>
      </c>
      <c r="C570" s="7" t="s">
        <v>70</v>
      </c>
      <c r="D570">
        <v>3975.02</v>
      </c>
      <c r="E570">
        <v>125.955</v>
      </c>
      <c r="F570">
        <v>3978.17</v>
      </c>
      <c r="G570">
        <v>0</v>
      </c>
      <c r="H570">
        <v>15.775</v>
      </c>
      <c r="I570">
        <v>0</v>
      </c>
      <c r="J570">
        <v>0.12524299999999999</v>
      </c>
      <c r="K570">
        <v>0</v>
      </c>
      <c r="L570">
        <v>0</v>
      </c>
      <c r="M570">
        <v>3</v>
      </c>
      <c r="N570">
        <v>0</v>
      </c>
      <c r="O570" s="7" t="s">
        <v>28</v>
      </c>
      <c r="P570">
        <v>0</v>
      </c>
      <c r="Q570" s="7" t="s">
        <v>28</v>
      </c>
      <c r="R570">
        <v>0</v>
      </c>
      <c r="S570">
        <v>0</v>
      </c>
      <c r="T570">
        <v>0</v>
      </c>
      <c r="U570">
        <v>0</v>
      </c>
    </row>
    <row r="571" spans="1:21" x14ac:dyDescent="0.25">
      <c r="A571">
        <v>570</v>
      </c>
      <c r="B571">
        <v>741589086</v>
      </c>
      <c r="C571" s="7" t="s">
        <v>70</v>
      </c>
      <c r="D571">
        <v>3975.02</v>
      </c>
      <c r="E571">
        <v>127.15600000000001</v>
      </c>
      <c r="F571">
        <v>3975.02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3</v>
      </c>
      <c r="N571">
        <v>0</v>
      </c>
      <c r="O571" s="7" t="s">
        <v>28</v>
      </c>
      <c r="P571">
        <v>0</v>
      </c>
      <c r="Q571" s="7" t="s">
        <v>28</v>
      </c>
      <c r="R571">
        <v>0</v>
      </c>
      <c r="S571">
        <v>0</v>
      </c>
      <c r="T571">
        <v>0</v>
      </c>
      <c r="U571">
        <v>0</v>
      </c>
    </row>
    <row r="572" spans="1:21" x14ac:dyDescent="0.25">
      <c r="A572">
        <v>571</v>
      </c>
      <c r="B572">
        <v>53622919</v>
      </c>
      <c r="C572" s="7" t="s">
        <v>70</v>
      </c>
      <c r="D572">
        <v>3975.02</v>
      </c>
      <c r="E572">
        <v>132.81700000000001</v>
      </c>
      <c r="F572">
        <v>3975.02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0.63487099999999996</v>
      </c>
      <c r="M572">
        <v>3</v>
      </c>
      <c r="N572">
        <v>0</v>
      </c>
      <c r="O572" s="7" t="s">
        <v>28</v>
      </c>
      <c r="P572">
        <v>0</v>
      </c>
      <c r="Q572" s="7" t="s">
        <v>28</v>
      </c>
      <c r="R572">
        <v>0</v>
      </c>
      <c r="S572">
        <v>0</v>
      </c>
      <c r="T572">
        <v>0</v>
      </c>
      <c r="U572">
        <v>0</v>
      </c>
    </row>
    <row r="573" spans="1:21" x14ac:dyDescent="0.25">
      <c r="A573">
        <v>572</v>
      </c>
      <c r="B573">
        <v>40947491</v>
      </c>
      <c r="C573" s="7" t="s">
        <v>70</v>
      </c>
      <c r="D573">
        <v>3975.02</v>
      </c>
      <c r="E573">
        <v>135.58099999999999</v>
      </c>
      <c r="F573">
        <v>3975.02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3</v>
      </c>
      <c r="N573">
        <v>0</v>
      </c>
      <c r="O573" s="7" t="s">
        <v>28</v>
      </c>
      <c r="P573">
        <v>0.571384</v>
      </c>
      <c r="Q573" s="7" t="s">
        <v>28</v>
      </c>
      <c r="R573">
        <v>0</v>
      </c>
      <c r="S573">
        <v>0</v>
      </c>
      <c r="T573">
        <v>0</v>
      </c>
      <c r="U573">
        <v>0.571384</v>
      </c>
    </row>
    <row r="574" spans="1:21" x14ac:dyDescent="0.25">
      <c r="A574">
        <v>573</v>
      </c>
      <c r="B574">
        <v>649284530</v>
      </c>
      <c r="C574" s="7" t="s">
        <v>70</v>
      </c>
      <c r="D574">
        <v>3975.02</v>
      </c>
      <c r="E574">
        <v>148.16900000000001</v>
      </c>
      <c r="F574">
        <v>3975.02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3</v>
      </c>
      <c r="N574">
        <v>0</v>
      </c>
      <c r="O574" s="7" t="s">
        <v>28</v>
      </c>
      <c r="P574">
        <v>0</v>
      </c>
      <c r="Q574" s="7" t="s">
        <v>28</v>
      </c>
      <c r="R574">
        <v>0</v>
      </c>
      <c r="S574">
        <v>0</v>
      </c>
      <c r="T574">
        <v>0</v>
      </c>
      <c r="U574">
        <v>0</v>
      </c>
    </row>
    <row r="575" spans="1:21" x14ac:dyDescent="0.25">
      <c r="A575">
        <v>574</v>
      </c>
      <c r="B575">
        <v>400874929</v>
      </c>
      <c r="C575" s="7" t="s">
        <v>70</v>
      </c>
      <c r="D575">
        <v>3975.02</v>
      </c>
      <c r="E575">
        <v>148.16900000000001</v>
      </c>
      <c r="F575">
        <v>3975.02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0.88323799999999997</v>
      </c>
      <c r="M575">
        <v>3</v>
      </c>
      <c r="N575">
        <v>0</v>
      </c>
      <c r="O575" s="7" t="s">
        <v>28</v>
      </c>
      <c r="P575">
        <v>0</v>
      </c>
      <c r="Q575" s="7" t="s">
        <v>28</v>
      </c>
      <c r="R575">
        <v>0</v>
      </c>
      <c r="S575">
        <v>0</v>
      </c>
      <c r="T575">
        <v>0</v>
      </c>
      <c r="U575">
        <v>0</v>
      </c>
    </row>
    <row r="576" spans="1:21" x14ac:dyDescent="0.25">
      <c r="A576">
        <v>575</v>
      </c>
      <c r="B576">
        <v>794368455</v>
      </c>
      <c r="C576" s="7" t="s">
        <v>70</v>
      </c>
      <c r="D576">
        <v>3975.02</v>
      </c>
      <c r="E576">
        <v>148.16900000000001</v>
      </c>
      <c r="F576">
        <v>3975.02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2.3664499999999999</v>
      </c>
      <c r="M576">
        <v>3</v>
      </c>
      <c r="N576">
        <v>0</v>
      </c>
      <c r="O576" s="7" t="s">
        <v>28</v>
      </c>
      <c r="P576">
        <v>0.79491400000000001</v>
      </c>
      <c r="Q576" s="7" t="s">
        <v>28</v>
      </c>
      <c r="R576">
        <v>0</v>
      </c>
      <c r="S576">
        <v>0</v>
      </c>
      <c r="T576">
        <v>0</v>
      </c>
      <c r="U576">
        <v>0.79491400000000001</v>
      </c>
    </row>
    <row r="577" spans="1:21" x14ac:dyDescent="0.25">
      <c r="A577">
        <v>576</v>
      </c>
      <c r="B577">
        <v>74650589</v>
      </c>
      <c r="C577" s="7" t="s">
        <v>70</v>
      </c>
      <c r="D577">
        <v>3973.02</v>
      </c>
      <c r="E577">
        <v>148.16900000000001</v>
      </c>
      <c r="F577">
        <v>3973.02</v>
      </c>
      <c r="G577">
        <v>0</v>
      </c>
      <c r="H577">
        <v>-2.02</v>
      </c>
      <c r="I577">
        <v>1</v>
      </c>
      <c r="J577">
        <v>0</v>
      </c>
      <c r="K577">
        <v>0.98</v>
      </c>
      <c r="L577">
        <v>0</v>
      </c>
      <c r="M577">
        <v>3</v>
      </c>
      <c r="N577">
        <v>0</v>
      </c>
      <c r="O577" s="7" t="s">
        <v>28</v>
      </c>
      <c r="P577">
        <v>0.12980700000000001</v>
      </c>
      <c r="Q577" s="7" t="s">
        <v>144</v>
      </c>
      <c r="R577">
        <v>0</v>
      </c>
      <c r="S577">
        <v>0</v>
      </c>
      <c r="T577">
        <v>2</v>
      </c>
      <c r="U577">
        <v>2.12981</v>
      </c>
    </row>
    <row r="578" spans="1:21" x14ac:dyDescent="0.25">
      <c r="A578">
        <v>577</v>
      </c>
      <c r="B578">
        <v>167736248</v>
      </c>
      <c r="C578" s="7" t="s">
        <v>70</v>
      </c>
      <c r="D578">
        <v>4028.56</v>
      </c>
      <c r="E578">
        <v>147.89400000000001</v>
      </c>
      <c r="F578">
        <v>4042.44</v>
      </c>
      <c r="G578">
        <v>0</v>
      </c>
      <c r="H578">
        <v>69.408500000000004</v>
      </c>
      <c r="I578">
        <v>0.5</v>
      </c>
      <c r="J578">
        <v>0.47621000000000002</v>
      </c>
      <c r="K578">
        <v>0.98371399999999998</v>
      </c>
      <c r="L578">
        <v>0</v>
      </c>
      <c r="M578">
        <v>3</v>
      </c>
      <c r="N578">
        <v>0</v>
      </c>
      <c r="O578" s="7" t="s">
        <v>28</v>
      </c>
      <c r="P578">
        <v>0</v>
      </c>
      <c r="Q578" s="7" t="s">
        <v>145</v>
      </c>
      <c r="R578">
        <v>0</v>
      </c>
      <c r="S578">
        <v>0</v>
      </c>
      <c r="T578">
        <v>1</v>
      </c>
      <c r="U578">
        <v>0.11799999999999999</v>
      </c>
    </row>
    <row r="579" spans="1:21" x14ac:dyDescent="0.25">
      <c r="A579">
        <v>578</v>
      </c>
      <c r="B579">
        <v>466144085</v>
      </c>
      <c r="C579" s="7" t="s">
        <v>70</v>
      </c>
      <c r="D579">
        <v>4124.8599999999997</v>
      </c>
      <c r="E579">
        <v>135.876</v>
      </c>
      <c r="F579">
        <v>4148.93</v>
      </c>
      <c r="G579">
        <v>0</v>
      </c>
      <c r="H579">
        <v>120.364</v>
      </c>
      <c r="I579">
        <v>0</v>
      </c>
      <c r="J579">
        <v>0.88585700000000001</v>
      </c>
      <c r="K579">
        <v>9.5899999999999999E-2</v>
      </c>
      <c r="L579">
        <v>0</v>
      </c>
      <c r="M579">
        <v>3</v>
      </c>
      <c r="N579">
        <v>0</v>
      </c>
      <c r="O579" s="7" t="s">
        <v>28</v>
      </c>
      <c r="P579">
        <v>0</v>
      </c>
      <c r="Q579" s="7" t="s">
        <v>28</v>
      </c>
      <c r="R579">
        <v>0</v>
      </c>
      <c r="S579">
        <v>0</v>
      </c>
      <c r="T579">
        <v>0</v>
      </c>
      <c r="U579">
        <v>0</v>
      </c>
    </row>
    <row r="580" spans="1:21" x14ac:dyDescent="0.25">
      <c r="A580">
        <v>579</v>
      </c>
      <c r="B580">
        <v>163100630</v>
      </c>
      <c r="C580" s="7" t="s">
        <v>70</v>
      </c>
      <c r="D580">
        <v>4135.28</v>
      </c>
      <c r="E580">
        <v>135.876</v>
      </c>
      <c r="F580">
        <v>4137.8900000000003</v>
      </c>
      <c r="G580">
        <v>0</v>
      </c>
      <c r="H580">
        <v>13.0305</v>
      </c>
      <c r="I580">
        <v>0</v>
      </c>
      <c r="J580">
        <v>9.5899999999999999E-2</v>
      </c>
      <c r="K580">
        <v>0</v>
      </c>
      <c r="L580">
        <v>0</v>
      </c>
      <c r="M580">
        <v>3</v>
      </c>
      <c r="N580">
        <v>0</v>
      </c>
      <c r="O580" s="7" t="s">
        <v>28</v>
      </c>
      <c r="P580">
        <v>0</v>
      </c>
      <c r="Q580" s="7" t="s">
        <v>28</v>
      </c>
      <c r="R580">
        <v>0</v>
      </c>
      <c r="S580">
        <v>0</v>
      </c>
      <c r="T580">
        <v>0</v>
      </c>
      <c r="U580">
        <v>0</v>
      </c>
    </row>
    <row r="581" spans="1:21" x14ac:dyDescent="0.25">
      <c r="A581">
        <v>580</v>
      </c>
      <c r="B581">
        <v>50386655</v>
      </c>
      <c r="C581" s="7" t="s">
        <v>70</v>
      </c>
      <c r="D581">
        <v>4135.28</v>
      </c>
      <c r="E581">
        <v>145.51</v>
      </c>
      <c r="F581">
        <v>4135.28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0.991753</v>
      </c>
      <c r="M581">
        <v>3</v>
      </c>
      <c r="N581">
        <v>0</v>
      </c>
      <c r="O581" s="7" t="s">
        <v>28</v>
      </c>
      <c r="P581">
        <v>0</v>
      </c>
      <c r="Q581" s="7" t="s">
        <v>28</v>
      </c>
      <c r="R581">
        <v>0</v>
      </c>
      <c r="S581">
        <v>0</v>
      </c>
      <c r="T581">
        <v>0</v>
      </c>
      <c r="U581">
        <v>0</v>
      </c>
    </row>
    <row r="582" spans="1:21" x14ac:dyDescent="0.25">
      <c r="A582">
        <v>581</v>
      </c>
      <c r="B582">
        <v>292758604</v>
      </c>
      <c r="C582" s="7" t="s">
        <v>70</v>
      </c>
      <c r="D582">
        <v>4135.28</v>
      </c>
      <c r="E582">
        <v>150.125</v>
      </c>
      <c r="F582">
        <v>4135.28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0.79196200000000005</v>
      </c>
      <c r="M582">
        <v>3</v>
      </c>
      <c r="N582">
        <v>0</v>
      </c>
      <c r="O582" s="7" t="s">
        <v>28</v>
      </c>
      <c r="P582">
        <v>0.89257699999999995</v>
      </c>
      <c r="Q582" s="7" t="s">
        <v>28</v>
      </c>
      <c r="R582">
        <v>0</v>
      </c>
      <c r="S582">
        <v>0</v>
      </c>
      <c r="T582">
        <v>0</v>
      </c>
      <c r="U582">
        <v>0.89257699999999995</v>
      </c>
    </row>
    <row r="583" spans="1:21" x14ac:dyDescent="0.25">
      <c r="A583">
        <v>582</v>
      </c>
      <c r="B583">
        <v>744934638</v>
      </c>
      <c r="C583" s="7" t="s">
        <v>70</v>
      </c>
      <c r="D583">
        <v>4135.28</v>
      </c>
      <c r="E583">
        <v>150.125</v>
      </c>
      <c r="F583">
        <v>4135.28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3</v>
      </c>
      <c r="N583">
        <v>0</v>
      </c>
      <c r="O583" s="7" t="s">
        <v>28</v>
      </c>
      <c r="P583">
        <v>0.71276600000000001</v>
      </c>
      <c r="Q583" s="7" t="s">
        <v>28</v>
      </c>
      <c r="R583">
        <v>0</v>
      </c>
      <c r="S583">
        <v>0</v>
      </c>
      <c r="T583">
        <v>0</v>
      </c>
      <c r="U583">
        <v>0.71276600000000001</v>
      </c>
    </row>
    <row r="584" spans="1:21" x14ac:dyDescent="0.25">
      <c r="A584">
        <v>583</v>
      </c>
      <c r="B584">
        <v>107829282</v>
      </c>
      <c r="C584" s="7" t="s">
        <v>70</v>
      </c>
      <c r="D584">
        <v>4135.28</v>
      </c>
      <c r="E584">
        <v>158.84299999999999</v>
      </c>
      <c r="F584">
        <v>4135.28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0.76051999999999997</v>
      </c>
      <c r="M584">
        <v>3</v>
      </c>
      <c r="N584">
        <v>0</v>
      </c>
      <c r="O584" s="7" t="s">
        <v>28</v>
      </c>
      <c r="P584">
        <v>0</v>
      </c>
      <c r="Q584" s="7" t="s">
        <v>28</v>
      </c>
      <c r="R584">
        <v>0</v>
      </c>
      <c r="S584">
        <v>0</v>
      </c>
      <c r="T584">
        <v>0</v>
      </c>
      <c r="U584">
        <v>0</v>
      </c>
    </row>
    <row r="585" spans="1:21" x14ac:dyDescent="0.25">
      <c r="A585">
        <v>584</v>
      </c>
      <c r="B585">
        <v>186276170</v>
      </c>
      <c r="C585" s="7" t="s">
        <v>70</v>
      </c>
      <c r="D585">
        <v>4135.28</v>
      </c>
      <c r="E585">
        <v>158.84299999999999</v>
      </c>
      <c r="F585">
        <v>4135.28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0.332785</v>
      </c>
      <c r="M585">
        <v>3</v>
      </c>
      <c r="N585">
        <v>0</v>
      </c>
      <c r="O585" s="7" t="s">
        <v>28</v>
      </c>
      <c r="P585">
        <v>0.68446799999999997</v>
      </c>
      <c r="Q585" s="7" t="s">
        <v>28</v>
      </c>
      <c r="R585">
        <v>0</v>
      </c>
      <c r="S585">
        <v>0</v>
      </c>
      <c r="T585">
        <v>0</v>
      </c>
      <c r="U585">
        <v>0.68446799999999997</v>
      </c>
    </row>
    <row r="586" spans="1:21" x14ac:dyDescent="0.25">
      <c r="A586">
        <v>585</v>
      </c>
      <c r="B586">
        <v>115593516</v>
      </c>
      <c r="C586" s="7" t="s">
        <v>70</v>
      </c>
      <c r="D586">
        <v>4135.28</v>
      </c>
      <c r="E586">
        <v>158.84299999999999</v>
      </c>
      <c r="F586">
        <v>4135.28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3</v>
      </c>
      <c r="N586">
        <v>0</v>
      </c>
      <c r="O586" s="7" t="s">
        <v>28</v>
      </c>
      <c r="P586">
        <v>0.29950599999999999</v>
      </c>
      <c r="Q586" s="7" t="s">
        <v>28</v>
      </c>
      <c r="R586">
        <v>0</v>
      </c>
      <c r="S586">
        <v>0</v>
      </c>
      <c r="T586">
        <v>0</v>
      </c>
      <c r="U586">
        <v>0.29950599999999999</v>
      </c>
    </row>
    <row r="587" spans="1:21" x14ac:dyDescent="0.25">
      <c r="A587">
        <v>586</v>
      </c>
      <c r="B587">
        <v>193699344</v>
      </c>
      <c r="C587" s="7" t="s">
        <v>70</v>
      </c>
      <c r="D587">
        <v>4135.28</v>
      </c>
      <c r="E587">
        <v>158.84299999999999</v>
      </c>
      <c r="F587">
        <v>4135.28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0.43797999999999998</v>
      </c>
      <c r="M587">
        <v>3</v>
      </c>
      <c r="N587">
        <v>0</v>
      </c>
      <c r="O587" s="7" t="s">
        <v>28</v>
      </c>
      <c r="P587">
        <v>0</v>
      </c>
      <c r="Q587" s="7" t="s">
        <v>28</v>
      </c>
      <c r="R587">
        <v>0</v>
      </c>
      <c r="S587">
        <v>0</v>
      </c>
      <c r="T587">
        <v>0</v>
      </c>
      <c r="U587">
        <v>0</v>
      </c>
    </row>
    <row r="588" spans="1:21" x14ac:dyDescent="0.25">
      <c r="A588">
        <v>587</v>
      </c>
      <c r="B588">
        <v>446024289</v>
      </c>
      <c r="C588" s="7" t="s">
        <v>70</v>
      </c>
      <c r="D588">
        <v>4135.28</v>
      </c>
      <c r="E588">
        <v>158.84299999999999</v>
      </c>
      <c r="F588">
        <v>4135.28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0.81640999999999997</v>
      </c>
      <c r="M588">
        <v>3</v>
      </c>
      <c r="N588">
        <v>0</v>
      </c>
      <c r="O588" s="7" t="s">
        <v>28</v>
      </c>
      <c r="P588">
        <v>0.39418199999999998</v>
      </c>
      <c r="Q588" s="7" t="s">
        <v>28</v>
      </c>
      <c r="R588">
        <v>0</v>
      </c>
      <c r="S588">
        <v>0</v>
      </c>
      <c r="T588">
        <v>0</v>
      </c>
      <c r="U588">
        <v>0.39418199999999998</v>
      </c>
    </row>
    <row r="589" spans="1:21" x14ac:dyDescent="0.25">
      <c r="A589">
        <v>588</v>
      </c>
      <c r="B589">
        <v>694452899</v>
      </c>
      <c r="C589" s="7" t="s">
        <v>70</v>
      </c>
      <c r="D589">
        <v>4135.28</v>
      </c>
      <c r="E589">
        <v>158.84299999999999</v>
      </c>
      <c r="F589">
        <v>4135.28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0.130632</v>
      </c>
      <c r="M589">
        <v>3</v>
      </c>
      <c r="N589">
        <v>0</v>
      </c>
      <c r="O589" s="7" t="s">
        <v>28</v>
      </c>
      <c r="P589">
        <v>0.73476900000000001</v>
      </c>
      <c r="Q589" s="7" t="s">
        <v>28</v>
      </c>
      <c r="R589">
        <v>0</v>
      </c>
      <c r="S589">
        <v>0</v>
      </c>
      <c r="T589">
        <v>0</v>
      </c>
      <c r="U589">
        <v>0.73476900000000001</v>
      </c>
    </row>
    <row r="590" spans="1:21" x14ac:dyDescent="0.25">
      <c r="A590">
        <v>589</v>
      </c>
      <c r="B590">
        <v>500954632</v>
      </c>
      <c r="C590" s="7" t="s">
        <v>70</v>
      </c>
      <c r="D590">
        <v>4135.28</v>
      </c>
      <c r="E590">
        <v>158.84299999999999</v>
      </c>
      <c r="F590">
        <v>4135.28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3</v>
      </c>
      <c r="N590">
        <v>0</v>
      </c>
      <c r="O590" s="7" t="s">
        <v>28</v>
      </c>
      <c r="P590">
        <v>0.11756900000000001</v>
      </c>
      <c r="Q590" s="7" t="s">
        <v>28</v>
      </c>
      <c r="R590">
        <v>0</v>
      </c>
      <c r="S590">
        <v>0</v>
      </c>
      <c r="T590">
        <v>0</v>
      </c>
      <c r="U590">
        <v>0.11756900000000001</v>
      </c>
    </row>
    <row r="591" spans="1:21" x14ac:dyDescent="0.25">
      <c r="A591">
        <v>590</v>
      </c>
      <c r="B591">
        <v>911195647</v>
      </c>
      <c r="C591" s="7" t="s">
        <v>70</v>
      </c>
      <c r="D591">
        <v>4135.28</v>
      </c>
      <c r="E591">
        <v>158.84299999999999</v>
      </c>
      <c r="F591">
        <v>4135.28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9.0090100000000006E-2</v>
      </c>
      <c r="M591">
        <v>3</v>
      </c>
      <c r="N591">
        <v>0</v>
      </c>
      <c r="O591" s="7" t="s">
        <v>28</v>
      </c>
      <c r="P591">
        <v>0</v>
      </c>
      <c r="Q591" s="7" t="s">
        <v>28</v>
      </c>
      <c r="R591">
        <v>0</v>
      </c>
      <c r="S591">
        <v>0</v>
      </c>
      <c r="T591">
        <v>0</v>
      </c>
      <c r="U591">
        <v>0</v>
      </c>
    </row>
    <row r="592" spans="1:21" x14ac:dyDescent="0.25">
      <c r="A592">
        <v>591</v>
      </c>
      <c r="B592">
        <v>914136103</v>
      </c>
      <c r="C592" s="7" t="s">
        <v>70</v>
      </c>
      <c r="D592">
        <v>4135.28</v>
      </c>
      <c r="E592">
        <v>158.84299999999999</v>
      </c>
      <c r="F592">
        <v>4135.28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3</v>
      </c>
      <c r="N592">
        <v>0</v>
      </c>
      <c r="O592" s="7" t="s">
        <v>28</v>
      </c>
      <c r="P592">
        <v>8.1081100000000003E-2</v>
      </c>
      <c r="Q592" s="7" t="s">
        <v>28</v>
      </c>
      <c r="R592">
        <v>0</v>
      </c>
      <c r="S592">
        <v>0</v>
      </c>
      <c r="T592">
        <v>0</v>
      </c>
      <c r="U592">
        <v>8.1081100000000003E-2</v>
      </c>
    </row>
    <row r="593" spans="1:21" x14ac:dyDescent="0.25">
      <c r="A593">
        <v>592</v>
      </c>
      <c r="B593">
        <v>234375272</v>
      </c>
      <c r="C593" s="7" t="s">
        <v>70</v>
      </c>
      <c r="D593">
        <v>4135.28</v>
      </c>
      <c r="E593">
        <v>166.95400000000001</v>
      </c>
      <c r="F593">
        <v>4135.28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0.36036000000000001</v>
      </c>
      <c r="M593">
        <v>3</v>
      </c>
      <c r="N593">
        <v>0</v>
      </c>
      <c r="O593" s="7" t="s">
        <v>28</v>
      </c>
      <c r="P593">
        <v>0</v>
      </c>
      <c r="Q593" s="7" t="s">
        <v>28</v>
      </c>
      <c r="R593">
        <v>0</v>
      </c>
      <c r="S593">
        <v>0</v>
      </c>
      <c r="T593">
        <v>0</v>
      </c>
      <c r="U593">
        <v>0</v>
      </c>
    </row>
    <row r="594" spans="1:21" x14ac:dyDescent="0.25">
      <c r="A594">
        <v>593</v>
      </c>
      <c r="B594">
        <v>215198456</v>
      </c>
      <c r="C594" s="7" t="s">
        <v>70</v>
      </c>
      <c r="D594">
        <v>4135.28</v>
      </c>
      <c r="E594">
        <v>166.95400000000001</v>
      </c>
      <c r="F594">
        <v>4135.28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0.52729700000000002</v>
      </c>
      <c r="M594">
        <v>3</v>
      </c>
      <c r="N594">
        <v>0</v>
      </c>
      <c r="O594" s="7" t="s">
        <v>28</v>
      </c>
      <c r="P594">
        <v>0.324324</v>
      </c>
      <c r="Q594" s="7" t="s">
        <v>28</v>
      </c>
      <c r="R594">
        <v>0</v>
      </c>
      <c r="S594">
        <v>0</v>
      </c>
      <c r="T594">
        <v>0</v>
      </c>
      <c r="U594">
        <v>0.324324</v>
      </c>
    </row>
    <row r="595" spans="1:21" x14ac:dyDescent="0.25">
      <c r="A595">
        <v>594</v>
      </c>
      <c r="B595">
        <v>64295982</v>
      </c>
      <c r="C595" s="7" t="s">
        <v>70</v>
      </c>
      <c r="D595">
        <v>4135.28</v>
      </c>
      <c r="E595">
        <v>166.95400000000001</v>
      </c>
      <c r="F595">
        <v>4135.28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3</v>
      </c>
      <c r="N595">
        <v>0</v>
      </c>
      <c r="O595" s="7" t="s">
        <v>28</v>
      </c>
      <c r="P595">
        <v>0.47456700000000002</v>
      </c>
      <c r="Q595" s="7" t="s">
        <v>28</v>
      </c>
      <c r="R595">
        <v>0</v>
      </c>
      <c r="S595">
        <v>0</v>
      </c>
      <c r="T595">
        <v>0</v>
      </c>
      <c r="U595">
        <v>0.47456700000000002</v>
      </c>
    </row>
    <row r="596" spans="1:21" x14ac:dyDescent="0.25">
      <c r="A596">
        <v>595</v>
      </c>
      <c r="B596">
        <v>199707554</v>
      </c>
      <c r="C596" s="7" t="s">
        <v>70</v>
      </c>
      <c r="D596">
        <v>4135.28</v>
      </c>
      <c r="E596">
        <v>166.95400000000001</v>
      </c>
      <c r="F596">
        <v>4135.28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0.58960500000000005</v>
      </c>
      <c r="M596">
        <v>3</v>
      </c>
      <c r="N596">
        <v>0</v>
      </c>
      <c r="O596" s="7" t="s">
        <v>28</v>
      </c>
      <c r="P596">
        <v>0</v>
      </c>
      <c r="Q596" s="7" t="s">
        <v>28</v>
      </c>
      <c r="R596">
        <v>0</v>
      </c>
      <c r="S596">
        <v>0</v>
      </c>
      <c r="T596">
        <v>0</v>
      </c>
      <c r="U596">
        <v>0</v>
      </c>
    </row>
    <row r="597" spans="1:21" x14ac:dyDescent="0.25">
      <c r="A597">
        <v>596</v>
      </c>
      <c r="B597">
        <v>723323844</v>
      </c>
      <c r="C597" s="7" t="s">
        <v>70</v>
      </c>
      <c r="D597">
        <v>4135.28</v>
      </c>
      <c r="E597">
        <v>177.733</v>
      </c>
      <c r="F597">
        <v>4135.28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3</v>
      </c>
      <c r="N597">
        <v>0</v>
      </c>
      <c r="O597" s="7" t="s">
        <v>28</v>
      </c>
      <c r="P597">
        <v>0.53064500000000003</v>
      </c>
      <c r="Q597" s="7" t="s">
        <v>28</v>
      </c>
      <c r="R597">
        <v>0</v>
      </c>
      <c r="S597">
        <v>0</v>
      </c>
      <c r="T597">
        <v>0</v>
      </c>
      <c r="U597">
        <v>0.53064500000000003</v>
      </c>
    </row>
    <row r="598" spans="1:21" x14ac:dyDescent="0.25">
      <c r="A598">
        <v>597</v>
      </c>
      <c r="B598">
        <v>567701316</v>
      </c>
      <c r="C598" s="7" t="s">
        <v>70</v>
      </c>
      <c r="D598">
        <v>4135.28</v>
      </c>
      <c r="E598">
        <v>177.733</v>
      </c>
      <c r="F598">
        <v>4135.28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0.26661499999999999</v>
      </c>
      <c r="M598">
        <v>3</v>
      </c>
      <c r="N598">
        <v>0</v>
      </c>
      <c r="O598" s="7" t="s">
        <v>28</v>
      </c>
      <c r="P598">
        <v>0</v>
      </c>
      <c r="Q598" s="7" t="s">
        <v>28</v>
      </c>
      <c r="R598">
        <v>0</v>
      </c>
      <c r="S598">
        <v>0</v>
      </c>
      <c r="T598">
        <v>0</v>
      </c>
      <c r="U598">
        <v>0</v>
      </c>
    </row>
    <row r="599" spans="1:21" x14ac:dyDescent="0.25">
      <c r="A599">
        <v>598</v>
      </c>
      <c r="B599">
        <v>542740875</v>
      </c>
      <c r="C599" s="7" t="s">
        <v>70</v>
      </c>
      <c r="D599">
        <v>4135.28</v>
      </c>
      <c r="E599">
        <v>177.733</v>
      </c>
      <c r="F599">
        <v>4135.28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0.155588</v>
      </c>
      <c r="M599">
        <v>3</v>
      </c>
      <c r="N599">
        <v>0</v>
      </c>
      <c r="O599" s="7" t="s">
        <v>28</v>
      </c>
      <c r="P599">
        <v>0.239953</v>
      </c>
      <c r="Q599" s="7" t="s">
        <v>28</v>
      </c>
      <c r="R599">
        <v>0</v>
      </c>
      <c r="S599">
        <v>0</v>
      </c>
      <c r="T599">
        <v>0</v>
      </c>
      <c r="U599">
        <v>0.239953</v>
      </c>
    </row>
    <row r="600" spans="1:21" x14ac:dyDescent="0.25">
      <c r="A600">
        <v>599</v>
      </c>
      <c r="B600">
        <v>416745890</v>
      </c>
      <c r="C600" s="7" t="s">
        <v>70</v>
      </c>
      <c r="D600">
        <v>4135.28</v>
      </c>
      <c r="E600">
        <v>177.733</v>
      </c>
      <c r="F600">
        <v>4135.28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3</v>
      </c>
      <c r="N600">
        <v>0</v>
      </c>
      <c r="O600" s="7" t="s">
        <v>28</v>
      </c>
      <c r="P600">
        <v>0.14002899999999999</v>
      </c>
      <c r="Q600" s="7" t="s">
        <v>28</v>
      </c>
      <c r="R600">
        <v>0</v>
      </c>
      <c r="S600">
        <v>0</v>
      </c>
      <c r="T600">
        <v>0</v>
      </c>
      <c r="U600">
        <v>0.14002899999999999</v>
      </c>
    </row>
    <row r="601" spans="1:21" x14ac:dyDescent="0.25">
      <c r="A601">
        <v>600</v>
      </c>
      <c r="B601">
        <v>657282236</v>
      </c>
      <c r="C601" s="7" t="s">
        <v>70</v>
      </c>
      <c r="D601">
        <v>4135.28</v>
      </c>
      <c r="E601">
        <v>177.733</v>
      </c>
      <c r="F601">
        <v>4135.28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0.19372900000000001</v>
      </c>
      <c r="M601">
        <v>3</v>
      </c>
      <c r="N601">
        <v>0</v>
      </c>
      <c r="O601" s="7" t="s">
        <v>28</v>
      </c>
      <c r="P601">
        <v>0</v>
      </c>
      <c r="Q601" s="7" t="s">
        <v>28</v>
      </c>
      <c r="R601">
        <v>0</v>
      </c>
      <c r="S601">
        <v>0</v>
      </c>
      <c r="T601">
        <v>0</v>
      </c>
      <c r="U60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EAB3-83DB-401D-97EB-302CD47BF639}">
  <dimension ref="A1:I601"/>
  <sheetViews>
    <sheetView topLeftCell="A106" workbookViewId="0">
      <selection activeCell="I61" sqref="I61:I77"/>
    </sheetView>
  </sheetViews>
  <sheetFormatPr defaultRowHeight="15" x14ac:dyDescent="0.25"/>
  <cols>
    <col min="1" max="1" width="10.42578125" bestFit="1" customWidth="1"/>
    <col min="2" max="2" width="9" bestFit="1" customWidth="1"/>
    <col min="3" max="3" width="9.140625" bestFit="1" customWidth="1"/>
    <col min="4" max="4" width="13.42578125" bestFit="1" customWidth="1"/>
    <col min="5" max="5" width="9" bestFit="1" customWidth="1"/>
    <col min="6" max="6" width="13.28515625" bestFit="1" customWidth="1"/>
    <col min="7" max="7" width="12" bestFit="1" customWidth="1"/>
    <col min="8" max="8" width="10" bestFit="1" customWidth="1"/>
    <col min="9" max="9" width="8.28515625" bestFit="1" customWidth="1"/>
  </cols>
  <sheetData>
    <row r="1" spans="1:9" x14ac:dyDescent="0.25">
      <c r="A1" t="s">
        <v>0</v>
      </c>
      <c r="B1" t="s">
        <v>5</v>
      </c>
      <c r="C1" t="s">
        <v>74</v>
      </c>
      <c r="D1" t="s">
        <v>75</v>
      </c>
      <c r="E1" t="s">
        <v>76</v>
      </c>
      <c r="F1" t="s">
        <v>77</v>
      </c>
      <c r="G1" t="s">
        <v>12</v>
      </c>
      <c r="H1" t="s">
        <v>78</v>
      </c>
      <c r="I1" t="s">
        <v>7</v>
      </c>
    </row>
    <row r="2" spans="1:9" x14ac:dyDescent="0.25">
      <c r="A2">
        <v>1</v>
      </c>
      <c r="B2">
        <v>3000</v>
      </c>
      <c r="C2">
        <v>12</v>
      </c>
      <c r="D2">
        <v>-2.5</v>
      </c>
      <c r="E2">
        <v>12</v>
      </c>
      <c r="F2">
        <v>-2.5</v>
      </c>
      <c r="G2">
        <v>0</v>
      </c>
      <c r="H2">
        <v>0</v>
      </c>
      <c r="I2" s="8">
        <f>bank_data[[#This Row],[intresses]]-bank_data[[#This Row],[losses]]</f>
        <v>0</v>
      </c>
    </row>
    <row r="3" spans="1:9" x14ac:dyDescent="0.25">
      <c r="A3">
        <v>2</v>
      </c>
      <c r="B3">
        <v>3000</v>
      </c>
      <c r="C3">
        <v>12</v>
      </c>
      <c r="D3">
        <v>-2.5</v>
      </c>
      <c r="E3">
        <v>12</v>
      </c>
      <c r="F3">
        <v>-2.5</v>
      </c>
      <c r="G3">
        <v>0</v>
      </c>
      <c r="H3">
        <v>0</v>
      </c>
      <c r="I3" s="8">
        <f>bank_data[[#This Row],[intresses]]-bank_data[[#This Row],[losses]]</f>
        <v>0</v>
      </c>
    </row>
    <row r="4" spans="1:9" x14ac:dyDescent="0.25">
      <c r="A4">
        <v>3</v>
      </c>
      <c r="B4">
        <v>3000</v>
      </c>
      <c r="C4">
        <v>12</v>
      </c>
      <c r="D4">
        <v>-2.5</v>
      </c>
      <c r="E4">
        <v>12</v>
      </c>
      <c r="F4">
        <v>-2.5</v>
      </c>
      <c r="G4">
        <v>0</v>
      </c>
      <c r="H4">
        <v>0</v>
      </c>
      <c r="I4" s="8">
        <f>bank_data[[#This Row],[intresses]]-bank_data[[#This Row],[losses]]</f>
        <v>0</v>
      </c>
    </row>
    <row r="5" spans="1:9" x14ac:dyDescent="0.25">
      <c r="A5">
        <v>4</v>
      </c>
      <c r="B5">
        <v>3000.02</v>
      </c>
      <c r="C5">
        <v>12</v>
      </c>
      <c r="D5">
        <v>-2.5</v>
      </c>
      <c r="E5">
        <v>12</v>
      </c>
      <c r="F5">
        <v>-2.5</v>
      </c>
      <c r="G5">
        <v>2.0609700000000002E-2</v>
      </c>
      <c r="H5">
        <v>0</v>
      </c>
      <c r="I5" s="8">
        <f>bank_data[[#This Row],[intresses]]-bank_data[[#This Row],[losses]]</f>
        <v>2.0609700000000002E-2</v>
      </c>
    </row>
    <row r="6" spans="1:9" x14ac:dyDescent="0.25">
      <c r="A6">
        <v>5</v>
      </c>
      <c r="B6">
        <v>3000.91</v>
      </c>
      <c r="C6">
        <v>12</v>
      </c>
      <c r="D6">
        <v>-2.5</v>
      </c>
      <c r="E6">
        <v>12</v>
      </c>
      <c r="F6">
        <v>-2.5</v>
      </c>
      <c r="G6">
        <v>1.11737</v>
      </c>
      <c r="H6">
        <v>0</v>
      </c>
      <c r="I6" s="8">
        <f>bank_data[[#This Row],[intresses]]-bank_data[[#This Row],[losses]]</f>
        <v>1.11737</v>
      </c>
    </row>
    <row r="7" spans="1:9" x14ac:dyDescent="0.25">
      <c r="A7">
        <v>6</v>
      </c>
      <c r="B7">
        <v>3001.37</v>
      </c>
      <c r="C7">
        <v>12</v>
      </c>
      <c r="D7">
        <v>-2.5</v>
      </c>
      <c r="E7">
        <v>12</v>
      </c>
      <c r="F7">
        <v>-2.5</v>
      </c>
      <c r="G7">
        <v>0.57935999999999999</v>
      </c>
      <c r="H7">
        <v>0</v>
      </c>
      <c r="I7" s="8">
        <f>bank_data[[#This Row],[intresses]]-bank_data[[#This Row],[losses]]</f>
        <v>0.57935999999999999</v>
      </c>
    </row>
    <row r="8" spans="1:9" x14ac:dyDescent="0.25">
      <c r="A8">
        <v>7</v>
      </c>
      <c r="B8">
        <v>3001.84</v>
      </c>
      <c r="C8">
        <v>12</v>
      </c>
      <c r="D8">
        <v>-2.5</v>
      </c>
      <c r="E8">
        <v>12</v>
      </c>
      <c r="F8">
        <v>-2.5</v>
      </c>
      <c r="G8">
        <v>0.58581899999999998</v>
      </c>
      <c r="H8">
        <v>0</v>
      </c>
      <c r="I8" s="8">
        <f>bank_data[[#This Row],[intresses]]-bank_data[[#This Row],[losses]]</f>
        <v>0.58581899999999998</v>
      </c>
    </row>
    <row r="9" spans="1:9" x14ac:dyDescent="0.25">
      <c r="A9">
        <v>8</v>
      </c>
      <c r="B9">
        <v>3002.32</v>
      </c>
      <c r="C9">
        <v>12</v>
      </c>
      <c r="D9">
        <v>-2.5</v>
      </c>
      <c r="E9">
        <v>12</v>
      </c>
      <c r="F9">
        <v>-2.5</v>
      </c>
      <c r="G9">
        <v>0.59775699999999998</v>
      </c>
      <c r="H9">
        <v>0</v>
      </c>
      <c r="I9" s="8">
        <f>bank_data[[#This Row],[intresses]]-bank_data[[#This Row],[losses]]</f>
        <v>0.59775699999999998</v>
      </c>
    </row>
    <row r="10" spans="1:9" x14ac:dyDescent="0.25">
      <c r="A10">
        <v>9</v>
      </c>
      <c r="B10">
        <v>3003.37</v>
      </c>
      <c r="C10">
        <v>12</v>
      </c>
      <c r="D10">
        <v>-2.5</v>
      </c>
      <c r="E10">
        <v>12</v>
      </c>
      <c r="F10">
        <v>-2.5</v>
      </c>
      <c r="G10">
        <v>1.3072299999999999</v>
      </c>
      <c r="H10">
        <v>0</v>
      </c>
      <c r="I10" s="8">
        <f>bank_data[[#This Row],[intresses]]-bank_data[[#This Row],[losses]]</f>
        <v>1.3072299999999999</v>
      </c>
    </row>
    <row r="11" spans="1:9" x14ac:dyDescent="0.25">
      <c r="A11">
        <v>10</v>
      </c>
      <c r="B11">
        <v>3004.46</v>
      </c>
      <c r="C11">
        <v>12</v>
      </c>
      <c r="D11">
        <v>-2.5</v>
      </c>
      <c r="E11">
        <v>12</v>
      </c>
      <c r="F11">
        <v>-2.5</v>
      </c>
      <c r="G11">
        <v>1.4011100000000001</v>
      </c>
      <c r="H11">
        <v>3.1443400000000003E-2</v>
      </c>
      <c r="I11" s="8">
        <f>bank_data[[#This Row],[intresses]]-bank_data[[#This Row],[losses]]</f>
        <v>1.3696666000000002</v>
      </c>
    </row>
    <row r="12" spans="1:9" x14ac:dyDescent="0.25">
      <c r="A12">
        <v>11</v>
      </c>
      <c r="B12">
        <v>3004.71</v>
      </c>
      <c r="C12">
        <v>12</v>
      </c>
      <c r="D12">
        <v>-2.5</v>
      </c>
      <c r="E12">
        <v>12</v>
      </c>
      <c r="F12">
        <v>-2.5</v>
      </c>
      <c r="G12">
        <v>1.3998999999999999</v>
      </c>
      <c r="H12">
        <v>1.0950899999999999</v>
      </c>
      <c r="I12" s="8">
        <f>bank_data[[#This Row],[intresses]]-bank_data[[#This Row],[losses]]</f>
        <v>0.30481000000000003</v>
      </c>
    </row>
    <row r="13" spans="1:9" x14ac:dyDescent="0.25">
      <c r="A13">
        <v>12</v>
      </c>
      <c r="B13">
        <v>3004.95</v>
      </c>
      <c r="C13">
        <v>12</v>
      </c>
      <c r="D13">
        <v>-2.5</v>
      </c>
      <c r="E13">
        <v>12</v>
      </c>
      <c r="F13">
        <v>-2.5</v>
      </c>
      <c r="G13">
        <v>1.3987499999999999</v>
      </c>
      <c r="H13">
        <v>1.0959399999999999</v>
      </c>
      <c r="I13" s="8">
        <f>bank_data[[#This Row],[intresses]]-bank_data[[#This Row],[losses]]</f>
        <v>0.30281000000000002</v>
      </c>
    </row>
    <row r="14" spans="1:9" x14ac:dyDescent="0.25">
      <c r="A14">
        <v>13</v>
      </c>
      <c r="B14">
        <v>3005.19</v>
      </c>
      <c r="C14">
        <v>12</v>
      </c>
      <c r="D14">
        <v>-2.5</v>
      </c>
      <c r="E14">
        <v>12</v>
      </c>
      <c r="F14">
        <v>-2.5</v>
      </c>
      <c r="G14">
        <v>1.3976500000000001</v>
      </c>
      <c r="H14">
        <v>1.0959399999999999</v>
      </c>
      <c r="I14" s="8">
        <f>bank_data[[#This Row],[intresses]]-bank_data[[#This Row],[losses]]</f>
        <v>0.30171000000000014</v>
      </c>
    </row>
    <row r="15" spans="1:9" x14ac:dyDescent="0.25">
      <c r="A15">
        <v>14</v>
      </c>
      <c r="B15">
        <v>3005.43</v>
      </c>
      <c r="C15">
        <v>12</v>
      </c>
      <c r="D15">
        <v>-2.5</v>
      </c>
      <c r="E15">
        <v>12</v>
      </c>
      <c r="F15">
        <v>-2.5</v>
      </c>
      <c r="G15">
        <v>1.3966099999999999</v>
      </c>
      <c r="H15">
        <v>1.0959399999999999</v>
      </c>
      <c r="I15" s="8">
        <f>bank_data[[#This Row],[intresses]]-bank_data[[#This Row],[losses]]</f>
        <v>0.30066999999999999</v>
      </c>
    </row>
    <row r="16" spans="1:9" x14ac:dyDescent="0.25">
      <c r="A16">
        <v>15</v>
      </c>
      <c r="B16">
        <v>3005.67</v>
      </c>
      <c r="C16">
        <v>12</v>
      </c>
      <c r="D16">
        <v>-2.5</v>
      </c>
      <c r="E16">
        <v>12</v>
      </c>
      <c r="F16">
        <v>-2.5</v>
      </c>
      <c r="G16">
        <v>1.3956299999999999</v>
      </c>
      <c r="H16">
        <v>1.0959399999999999</v>
      </c>
      <c r="I16" s="8">
        <f>bank_data[[#This Row],[intresses]]-bank_data[[#This Row],[losses]]</f>
        <v>0.29969000000000001</v>
      </c>
    </row>
    <row r="17" spans="1:9" x14ac:dyDescent="0.25">
      <c r="A17">
        <v>16</v>
      </c>
      <c r="B17">
        <v>3005.91</v>
      </c>
      <c r="C17">
        <v>12</v>
      </c>
      <c r="D17">
        <v>-2.5</v>
      </c>
      <c r="E17">
        <v>12</v>
      </c>
      <c r="F17">
        <v>-2.5</v>
      </c>
      <c r="G17">
        <v>1.39469</v>
      </c>
      <c r="H17">
        <v>1.09595</v>
      </c>
      <c r="I17" s="8">
        <f>bank_data[[#This Row],[intresses]]-bank_data[[#This Row],[losses]]</f>
        <v>0.29874000000000001</v>
      </c>
    </row>
    <row r="18" spans="1:9" x14ac:dyDescent="0.25">
      <c r="A18">
        <v>17</v>
      </c>
      <c r="B18">
        <v>3006.15</v>
      </c>
      <c r="C18">
        <v>12</v>
      </c>
      <c r="D18">
        <v>-2.5</v>
      </c>
      <c r="E18">
        <v>12</v>
      </c>
      <c r="F18">
        <v>-2.5</v>
      </c>
      <c r="G18">
        <v>1.3937999999999999</v>
      </c>
      <c r="H18">
        <v>1.09595</v>
      </c>
      <c r="I18" s="8">
        <f>bank_data[[#This Row],[intresses]]-bank_data[[#This Row],[losses]]</f>
        <v>0.29784999999999995</v>
      </c>
    </row>
    <row r="19" spans="1:9" x14ac:dyDescent="0.25">
      <c r="A19">
        <v>18</v>
      </c>
      <c r="B19">
        <v>3006.38</v>
      </c>
      <c r="C19">
        <v>12</v>
      </c>
      <c r="D19">
        <v>-2.5</v>
      </c>
      <c r="E19">
        <v>12</v>
      </c>
      <c r="F19">
        <v>-2.5</v>
      </c>
      <c r="G19">
        <v>1.3929499999999999</v>
      </c>
      <c r="H19">
        <v>1.09595</v>
      </c>
      <c r="I19" s="8">
        <f>bank_data[[#This Row],[intresses]]-bank_data[[#This Row],[losses]]</f>
        <v>0.29699999999999993</v>
      </c>
    </row>
    <row r="20" spans="1:9" x14ac:dyDescent="0.25">
      <c r="A20">
        <v>19</v>
      </c>
      <c r="B20">
        <v>3007.46</v>
      </c>
      <c r="C20">
        <v>12</v>
      </c>
      <c r="D20">
        <v>-2.5</v>
      </c>
      <c r="E20">
        <v>12</v>
      </c>
      <c r="F20">
        <v>-2.5</v>
      </c>
      <c r="G20">
        <v>2.43492</v>
      </c>
      <c r="H20">
        <v>1.09595</v>
      </c>
      <c r="I20" s="8">
        <f>bank_data[[#This Row],[intresses]]-bank_data[[#This Row],[losses]]</f>
        <v>1.33897</v>
      </c>
    </row>
    <row r="21" spans="1:9" x14ac:dyDescent="0.25">
      <c r="A21">
        <v>20</v>
      </c>
      <c r="B21">
        <v>3009</v>
      </c>
      <c r="C21">
        <v>12</v>
      </c>
      <c r="D21">
        <v>-2.5</v>
      </c>
      <c r="E21">
        <v>12</v>
      </c>
      <c r="F21">
        <v>-2.5</v>
      </c>
      <c r="G21">
        <v>3.45669</v>
      </c>
      <c r="H21">
        <v>1.5249200000000001</v>
      </c>
      <c r="I21" s="8">
        <f>bank_data[[#This Row],[intresses]]-bank_data[[#This Row],[losses]]</f>
        <v>1.93177</v>
      </c>
    </row>
    <row r="22" spans="1:9" x14ac:dyDescent="0.25">
      <c r="A22">
        <v>21</v>
      </c>
      <c r="B22">
        <v>3009.7</v>
      </c>
      <c r="C22">
        <v>12</v>
      </c>
      <c r="D22">
        <v>-2.5</v>
      </c>
      <c r="E22">
        <v>12</v>
      </c>
      <c r="F22">
        <v>-2.5</v>
      </c>
      <c r="G22">
        <v>3.4559600000000001</v>
      </c>
      <c r="H22">
        <v>2.5775299999999999</v>
      </c>
      <c r="I22" s="8">
        <f>bank_data[[#This Row],[intresses]]-bank_data[[#This Row],[losses]]</f>
        <v>0.87843000000000027</v>
      </c>
    </row>
    <row r="23" spans="1:9" x14ac:dyDescent="0.25">
      <c r="A23">
        <v>22</v>
      </c>
      <c r="B23">
        <v>3010.06</v>
      </c>
      <c r="C23">
        <v>12</v>
      </c>
      <c r="D23">
        <v>-2.5</v>
      </c>
      <c r="E23">
        <v>3.3170700000000002</v>
      </c>
      <c r="F23">
        <v>-2.03355</v>
      </c>
      <c r="G23">
        <v>3.0287299999999999</v>
      </c>
      <c r="H23">
        <v>2.5792199999999998</v>
      </c>
      <c r="I23" s="8">
        <f>bank_data[[#This Row],[intresses]]-bank_data[[#This Row],[losses]]</f>
        <v>0.44951000000000008</v>
      </c>
    </row>
    <row r="24" spans="1:9" x14ac:dyDescent="0.25">
      <c r="A24">
        <v>23</v>
      </c>
      <c r="B24">
        <v>3010.79</v>
      </c>
      <c r="C24">
        <v>12</v>
      </c>
      <c r="D24">
        <v>-2.5</v>
      </c>
      <c r="E24">
        <v>3.4574400000000001</v>
      </c>
      <c r="F24">
        <v>-2.0692499999999998</v>
      </c>
      <c r="G24">
        <v>3.06576</v>
      </c>
      <c r="H24">
        <v>2.1533500000000001</v>
      </c>
      <c r="I24" s="8">
        <f>bank_data[[#This Row],[intresses]]-bank_data[[#This Row],[losses]]</f>
        <v>0.91240999999999994</v>
      </c>
    </row>
    <row r="25" spans="1:9" x14ac:dyDescent="0.25">
      <c r="A25">
        <v>24</v>
      </c>
      <c r="B25">
        <v>3012.01</v>
      </c>
      <c r="C25">
        <v>12</v>
      </c>
      <c r="D25">
        <v>-2.5</v>
      </c>
      <c r="E25">
        <v>3.5846</v>
      </c>
      <c r="F25">
        <v>-2.1041300000000001</v>
      </c>
      <c r="G25">
        <v>3.7127400000000002</v>
      </c>
      <c r="H25">
        <v>2.1903000000000001</v>
      </c>
      <c r="I25" s="8">
        <f>bank_data[[#This Row],[intresses]]-bank_data[[#This Row],[losses]]</f>
        <v>1.52244</v>
      </c>
    </row>
    <row r="26" spans="1:9" x14ac:dyDescent="0.25">
      <c r="A26">
        <v>25</v>
      </c>
      <c r="B26">
        <v>3012.84</v>
      </c>
      <c r="C26">
        <v>12</v>
      </c>
      <c r="D26">
        <v>-2.5</v>
      </c>
      <c r="E26">
        <v>3.7010200000000002</v>
      </c>
      <c r="F26">
        <v>-2.13802</v>
      </c>
      <c r="G26">
        <v>3.7429600000000001</v>
      </c>
      <c r="H26">
        <v>2.70505</v>
      </c>
      <c r="I26" s="8">
        <f>bank_data[[#This Row],[intresses]]-bank_data[[#This Row],[losses]]</f>
        <v>1.0379100000000001</v>
      </c>
    </row>
    <row r="27" spans="1:9" x14ac:dyDescent="0.25">
      <c r="A27">
        <v>26</v>
      </c>
      <c r="B27">
        <v>3015.23</v>
      </c>
      <c r="C27">
        <v>12</v>
      </c>
      <c r="D27">
        <v>-2.5</v>
      </c>
      <c r="E27">
        <v>3.8084899999999999</v>
      </c>
      <c r="F27">
        <v>-2.1708599999999998</v>
      </c>
      <c r="G27">
        <v>5.7222400000000002</v>
      </c>
      <c r="H27">
        <v>2.7366299999999999</v>
      </c>
      <c r="I27" s="8">
        <f>bank_data[[#This Row],[intresses]]-bank_data[[#This Row],[losses]]</f>
        <v>2.9856100000000003</v>
      </c>
    </row>
    <row r="28" spans="1:9" x14ac:dyDescent="0.25">
      <c r="A28">
        <v>27</v>
      </c>
      <c r="B28">
        <v>3012.73</v>
      </c>
      <c r="C28">
        <v>12</v>
      </c>
      <c r="D28">
        <v>-2.5</v>
      </c>
      <c r="E28">
        <v>3.9083800000000002</v>
      </c>
      <c r="F28">
        <v>-2.2026300000000001</v>
      </c>
      <c r="G28">
        <v>3.1989399999999999</v>
      </c>
      <c r="H28">
        <v>5.6947099999999997</v>
      </c>
      <c r="I28" s="8">
        <f>bank_data[[#This Row],[intresses]]-bank_data[[#This Row],[losses]]</f>
        <v>-2.4957699999999998</v>
      </c>
    </row>
    <row r="29" spans="1:9" x14ac:dyDescent="0.25">
      <c r="A29">
        <v>28</v>
      </c>
      <c r="B29">
        <v>3014.98</v>
      </c>
      <c r="C29">
        <v>12</v>
      </c>
      <c r="D29">
        <v>-2.5</v>
      </c>
      <c r="E29">
        <v>4.0189500000000002</v>
      </c>
      <c r="F29">
        <v>-2.2548300000000001</v>
      </c>
      <c r="G29">
        <v>4.9634400000000003</v>
      </c>
      <c r="H29">
        <v>2.1568800000000001</v>
      </c>
      <c r="I29" s="8">
        <f>bank_data[[#This Row],[intresses]]-bank_data[[#This Row],[losses]]</f>
        <v>2.8065600000000002</v>
      </c>
    </row>
    <row r="30" spans="1:9" x14ac:dyDescent="0.25">
      <c r="A30">
        <v>29</v>
      </c>
      <c r="B30">
        <v>3014.93</v>
      </c>
      <c r="C30">
        <v>12</v>
      </c>
      <c r="D30">
        <v>-2.5</v>
      </c>
      <c r="E30">
        <v>4.1228199999999999</v>
      </c>
      <c r="F30">
        <v>-2.3054899999999998</v>
      </c>
      <c r="G30">
        <v>4.4494899999999999</v>
      </c>
      <c r="H30">
        <v>4.4999900000000004</v>
      </c>
      <c r="I30" s="8">
        <f>bank_data[[#This Row],[intresses]]-bank_data[[#This Row],[losses]]</f>
        <v>-5.0500000000000433E-2</v>
      </c>
    </row>
    <row r="31" spans="1:9" x14ac:dyDescent="0.25">
      <c r="A31">
        <v>30</v>
      </c>
      <c r="B31">
        <v>3016.1</v>
      </c>
      <c r="C31">
        <v>12</v>
      </c>
      <c r="D31">
        <v>-2.5</v>
      </c>
      <c r="E31">
        <v>4.2518099999999999</v>
      </c>
      <c r="F31">
        <v>-2.41222</v>
      </c>
      <c r="G31">
        <v>4.6623299999999999</v>
      </c>
      <c r="H31">
        <v>3.1995100000000001</v>
      </c>
      <c r="I31" s="8">
        <f>bank_data[[#This Row],[intresses]]-bank_data[[#This Row],[losses]]</f>
        <v>1.4628199999999998</v>
      </c>
    </row>
    <row r="32" spans="1:9" x14ac:dyDescent="0.25">
      <c r="A32">
        <v>31</v>
      </c>
      <c r="B32">
        <v>3019.16</v>
      </c>
      <c r="C32">
        <v>12</v>
      </c>
      <c r="D32">
        <v>-2.5</v>
      </c>
      <c r="E32">
        <v>4.3669700000000002</v>
      </c>
      <c r="F32">
        <v>-2.5157600000000002</v>
      </c>
      <c r="G32">
        <v>7.0322399999999998</v>
      </c>
      <c r="H32">
        <v>3.2036099999999998</v>
      </c>
      <c r="I32" s="8">
        <f>bank_data[[#This Row],[intresses]]-bank_data[[#This Row],[losses]]</f>
        <v>3.82863</v>
      </c>
    </row>
    <row r="33" spans="1:9" x14ac:dyDescent="0.25">
      <c r="A33">
        <v>32</v>
      </c>
      <c r="B33">
        <v>3017.46</v>
      </c>
      <c r="C33">
        <v>12</v>
      </c>
      <c r="D33">
        <v>-2.5</v>
      </c>
      <c r="E33">
        <v>4.4631400000000001</v>
      </c>
      <c r="F33">
        <v>-2.6155900000000001</v>
      </c>
      <c r="G33">
        <v>6.0439499999999997</v>
      </c>
      <c r="H33">
        <v>7.74742</v>
      </c>
      <c r="I33" s="8">
        <f>bank_data[[#This Row],[intresses]]-bank_data[[#This Row],[losses]]</f>
        <v>-1.7034700000000003</v>
      </c>
    </row>
    <row r="34" spans="1:9" x14ac:dyDescent="0.25">
      <c r="A34">
        <v>33</v>
      </c>
      <c r="B34">
        <v>3016.9</v>
      </c>
      <c r="C34">
        <v>12</v>
      </c>
      <c r="D34">
        <v>-2.5</v>
      </c>
      <c r="E34">
        <v>4.5821100000000001</v>
      </c>
      <c r="F34">
        <v>-2.74255</v>
      </c>
      <c r="G34">
        <v>5.8985000000000003</v>
      </c>
      <c r="H34">
        <v>6.4611299999999998</v>
      </c>
      <c r="I34" s="8">
        <f>bank_data[[#This Row],[intresses]]-bank_data[[#This Row],[losses]]</f>
        <v>-0.56262999999999952</v>
      </c>
    </row>
    <row r="35" spans="1:9" x14ac:dyDescent="0.25">
      <c r="A35">
        <v>34</v>
      </c>
      <c r="B35">
        <v>3017.84</v>
      </c>
      <c r="C35">
        <v>12</v>
      </c>
      <c r="D35">
        <v>-2.5</v>
      </c>
      <c r="E35">
        <v>4.6842300000000003</v>
      </c>
      <c r="F35">
        <v>-2.9172400000000001</v>
      </c>
      <c r="G35">
        <v>6.0162699999999996</v>
      </c>
      <c r="H35">
        <v>4.8416699999999997</v>
      </c>
      <c r="I35" s="8">
        <f>bank_data[[#This Row],[intresses]]-bank_data[[#This Row],[losses]]</f>
        <v>1.1745999999999999</v>
      </c>
    </row>
    <row r="36" spans="1:9" x14ac:dyDescent="0.25">
      <c r="A36">
        <v>35</v>
      </c>
      <c r="B36">
        <v>3022.4</v>
      </c>
      <c r="C36">
        <v>12</v>
      </c>
      <c r="D36">
        <v>-2.5</v>
      </c>
      <c r="E36">
        <v>4.7641299999999998</v>
      </c>
      <c r="F36">
        <v>-3.02406</v>
      </c>
      <c r="G36">
        <v>11.3399</v>
      </c>
      <c r="H36">
        <v>5.6383599999999996</v>
      </c>
      <c r="I36" s="8">
        <f>bank_data[[#This Row],[intresses]]-bank_data[[#This Row],[losses]]</f>
        <v>5.7015400000000005</v>
      </c>
    </row>
    <row r="37" spans="1:9" x14ac:dyDescent="0.25">
      <c r="A37">
        <v>36</v>
      </c>
      <c r="B37">
        <v>3018.33</v>
      </c>
      <c r="C37">
        <v>12</v>
      </c>
      <c r="D37">
        <v>-2.5</v>
      </c>
      <c r="E37">
        <v>4.9455799999999996</v>
      </c>
      <c r="F37">
        <v>-3.10893</v>
      </c>
      <c r="G37">
        <v>9.8762600000000003</v>
      </c>
      <c r="H37">
        <v>13.9413</v>
      </c>
      <c r="I37" s="8">
        <f>bank_data[[#This Row],[intresses]]-bank_data[[#This Row],[losses]]</f>
        <v>-4.0650399999999998</v>
      </c>
    </row>
    <row r="38" spans="1:9" x14ac:dyDescent="0.25">
      <c r="A38">
        <v>37</v>
      </c>
      <c r="B38">
        <v>3016.89</v>
      </c>
      <c r="C38">
        <v>12</v>
      </c>
      <c r="D38">
        <v>-2.5</v>
      </c>
      <c r="E38">
        <v>5.0877699999999999</v>
      </c>
      <c r="F38">
        <v>-3.1253500000000001</v>
      </c>
      <c r="G38">
        <v>10.2096</v>
      </c>
      <c r="H38">
        <v>11.653</v>
      </c>
      <c r="I38" s="8">
        <f>bank_data[[#This Row],[intresses]]-bank_data[[#This Row],[losses]]</f>
        <v>-1.4434000000000005</v>
      </c>
    </row>
    <row r="39" spans="1:9" x14ac:dyDescent="0.25">
      <c r="A39">
        <v>38</v>
      </c>
      <c r="B39">
        <v>3018.82</v>
      </c>
      <c r="C39">
        <v>12</v>
      </c>
      <c r="D39">
        <v>-2.5</v>
      </c>
      <c r="E39">
        <v>5.2841399999999998</v>
      </c>
      <c r="F39">
        <v>-3.2398500000000001</v>
      </c>
      <c r="G39">
        <v>11.0837</v>
      </c>
      <c r="H39">
        <v>8.6669199999999993</v>
      </c>
      <c r="I39" s="8">
        <f>bank_data[[#This Row],[intresses]]-bank_data[[#This Row],[losses]]</f>
        <v>2.416780000000001</v>
      </c>
    </row>
    <row r="40" spans="1:9" x14ac:dyDescent="0.25">
      <c r="A40">
        <v>39</v>
      </c>
      <c r="B40">
        <v>3027.23</v>
      </c>
      <c r="C40">
        <v>12</v>
      </c>
      <c r="D40">
        <v>-2.5</v>
      </c>
      <c r="E40">
        <v>5.3576199999999998</v>
      </c>
      <c r="F40">
        <v>-3.25623</v>
      </c>
      <c r="G40">
        <v>21.2865</v>
      </c>
      <c r="H40">
        <v>10.7746</v>
      </c>
      <c r="I40" s="8">
        <f>bank_data[[#This Row],[intresses]]-bank_data[[#This Row],[losses]]</f>
        <v>10.511900000000001</v>
      </c>
    </row>
    <row r="41" spans="1:9" x14ac:dyDescent="0.25">
      <c r="A41">
        <v>40</v>
      </c>
      <c r="B41">
        <v>3026.21</v>
      </c>
      <c r="C41">
        <v>12</v>
      </c>
      <c r="D41">
        <v>-2.5</v>
      </c>
      <c r="E41">
        <v>5.5609099999999998</v>
      </c>
      <c r="F41">
        <v>-3.40781</v>
      </c>
      <c r="G41">
        <v>19.695</v>
      </c>
      <c r="H41">
        <v>20.721499999999999</v>
      </c>
      <c r="I41" s="8">
        <f>bank_data[[#This Row],[intresses]]-bank_data[[#This Row],[losses]]</f>
        <v>-1.0264999999999986</v>
      </c>
    </row>
    <row r="42" spans="1:9" x14ac:dyDescent="0.25">
      <c r="A42">
        <v>41</v>
      </c>
      <c r="B42">
        <v>3030.47</v>
      </c>
      <c r="C42">
        <v>12</v>
      </c>
      <c r="D42">
        <v>-2.5</v>
      </c>
      <c r="E42">
        <v>5.7412900000000002</v>
      </c>
      <c r="F42">
        <v>-3.6086299999999998</v>
      </c>
      <c r="G42">
        <v>22.032</v>
      </c>
      <c r="H42">
        <v>16.702500000000001</v>
      </c>
      <c r="I42" s="8">
        <f>bank_data[[#This Row],[intresses]]-bank_data[[#This Row],[losses]]</f>
        <v>5.3294999999999995</v>
      </c>
    </row>
    <row r="43" spans="1:9" x14ac:dyDescent="0.25">
      <c r="A43">
        <v>42</v>
      </c>
      <c r="B43">
        <v>3036.4</v>
      </c>
      <c r="C43">
        <v>12</v>
      </c>
      <c r="D43">
        <v>-2.5</v>
      </c>
      <c r="E43">
        <v>6.0170899999999996</v>
      </c>
      <c r="F43">
        <v>-3.77806</v>
      </c>
      <c r="G43">
        <v>25.744700000000002</v>
      </c>
      <c r="H43">
        <v>18.331499999999998</v>
      </c>
      <c r="I43" s="8">
        <f>bank_data[[#This Row],[intresses]]-bank_data[[#This Row],[losses]]</f>
        <v>7.4132000000000033</v>
      </c>
    </row>
    <row r="44" spans="1:9" x14ac:dyDescent="0.25">
      <c r="A44">
        <v>43</v>
      </c>
      <c r="B44">
        <v>3041.58</v>
      </c>
      <c r="C44">
        <v>12</v>
      </c>
      <c r="D44">
        <v>-2.5</v>
      </c>
      <c r="E44">
        <v>6.2859999999999996</v>
      </c>
      <c r="F44">
        <v>-3.9167000000000001</v>
      </c>
      <c r="G44">
        <v>28.888100000000001</v>
      </c>
      <c r="H44">
        <v>22.4068</v>
      </c>
      <c r="I44" s="8">
        <f>bank_data[[#This Row],[intresses]]-bank_data[[#This Row],[losses]]</f>
        <v>6.4813000000000009</v>
      </c>
    </row>
    <row r="45" spans="1:9" x14ac:dyDescent="0.25">
      <c r="A45">
        <v>44</v>
      </c>
      <c r="B45">
        <v>3046.13</v>
      </c>
      <c r="C45">
        <v>12</v>
      </c>
      <c r="D45">
        <v>-2.5</v>
      </c>
      <c r="E45">
        <v>6.51511</v>
      </c>
      <c r="F45">
        <v>-4.1071499999999999</v>
      </c>
      <c r="G45">
        <v>33.709499999999998</v>
      </c>
      <c r="H45">
        <v>28.025600000000001</v>
      </c>
      <c r="I45" s="8">
        <f>bank_data[[#This Row],[intresses]]-bank_data[[#This Row],[losses]]</f>
        <v>5.6838999999999977</v>
      </c>
    </row>
    <row r="46" spans="1:9" x14ac:dyDescent="0.25">
      <c r="A46">
        <v>45</v>
      </c>
      <c r="B46">
        <v>3057.93</v>
      </c>
      <c r="C46">
        <v>12</v>
      </c>
      <c r="D46">
        <v>-2.5</v>
      </c>
      <c r="E46">
        <v>6.6651600000000002</v>
      </c>
      <c r="F46">
        <v>-4.2123999999999997</v>
      </c>
      <c r="G46">
        <v>43.006700000000002</v>
      </c>
      <c r="H46">
        <v>28.262</v>
      </c>
      <c r="I46" s="8">
        <f>bank_data[[#This Row],[intresses]]-bank_data[[#This Row],[losses]]</f>
        <v>14.744700000000002</v>
      </c>
    </row>
    <row r="47" spans="1:9" x14ac:dyDescent="0.25">
      <c r="A47">
        <v>46</v>
      </c>
      <c r="B47">
        <v>3067.56</v>
      </c>
      <c r="C47">
        <v>12</v>
      </c>
      <c r="D47">
        <v>-2.5</v>
      </c>
      <c r="E47">
        <v>6.8303200000000004</v>
      </c>
      <c r="F47">
        <v>-4.33474</v>
      </c>
      <c r="G47">
        <v>52.122599999999998</v>
      </c>
      <c r="H47">
        <v>40.077399999999997</v>
      </c>
      <c r="I47" s="8">
        <f>bank_data[[#This Row],[intresses]]-bank_data[[#This Row],[losses]]</f>
        <v>12.045200000000001</v>
      </c>
    </row>
    <row r="48" spans="1:9" x14ac:dyDescent="0.25">
      <c r="A48">
        <v>47</v>
      </c>
      <c r="B48">
        <v>3064.2</v>
      </c>
      <c r="C48">
        <v>12</v>
      </c>
      <c r="D48">
        <v>-2.5</v>
      </c>
      <c r="E48">
        <v>7.0249699999999997</v>
      </c>
      <c r="F48">
        <v>-4.4611700000000001</v>
      </c>
      <c r="G48">
        <v>53.047499999999999</v>
      </c>
      <c r="H48">
        <v>56.409399999999998</v>
      </c>
      <c r="I48" s="8">
        <f>bank_data[[#This Row],[intresses]]-bank_data[[#This Row],[losses]]</f>
        <v>-3.3618999999999986</v>
      </c>
    </row>
    <row r="49" spans="1:9" x14ac:dyDescent="0.25">
      <c r="A49">
        <v>48</v>
      </c>
      <c r="B49">
        <v>3068.15</v>
      </c>
      <c r="C49">
        <v>12</v>
      </c>
      <c r="D49">
        <v>-2.5</v>
      </c>
      <c r="E49">
        <v>7.2798600000000002</v>
      </c>
      <c r="F49">
        <v>-4.6525100000000004</v>
      </c>
      <c r="G49">
        <v>58.058</v>
      </c>
      <c r="H49">
        <v>53.119599999999998</v>
      </c>
      <c r="I49" s="8">
        <f>bank_data[[#This Row],[intresses]]-bank_data[[#This Row],[losses]]</f>
        <v>4.9384000000000015</v>
      </c>
    </row>
    <row r="50" spans="1:9" x14ac:dyDescent="0.25">
      <c r="A50">
        <v>49</v>
      </c>
      <c r="B50">
        <v>3065.51</v>
      </c>
      <c r="C50">
        <v>12</v>
      </c>
      <c r="D50">
        <v>-2.5</v>
      </c>
      <c r="E50">
        <v>7.5104300000000004</v>
      </c>
      <c r="F50">
        <v>-4.7830599999999999</v>
      </c>
      <c r="G50">
        <v>64.718000000000004</v>
      </c>
      <c r="H50">
        <v>67.360699999999994</v>
      </c>
      <c r="I50" s="8">
        <f>bank_data[[#This Row],[intresses]]-bank_data[[#This Row],[losses]]</f>
        <v>-2.6426999999999907</v>
      </c>
    </row>
    <row r="51" spans="1:9" x14ac:dyDescent="0.25">
      <c r="A51">
        <v>50</v>
      </c>
      <c r="B51">
        <v>3061.15</v>
      </c>
      <c r="C51">
        <v>12</v>
      </c>
      <c r="D51">
        <v>-2.5</v>
      </c>
      <c r="E51">
        <v>7.6213600000000001</v>
      </c>
      <c r="F51">
        <v>-4.8699500000000002</v>
      </c>
      <c r="G51">
        <v>63.9953</v>
      </c>
      <c r="H51">
        <v>68.358699999999999</v>
      </c>
      <c r="I51" s="8">
        <f>bank_data[[#This Row],[intresses]]-bank_data[[#This Row],[losses]]</f>
        <v>-4.3633999999999986</v>
      </c>
    </row>
    <row r="52" spans="1:9" x14ac:dyDescent="0.25">
      <c r="A52">
        <v>51</v>
      </c>
      <c r="B52">
        <v>3070.59</v>
      </c>
      <c r="C52">
        <v>12</v>
      </c>
      <c r="D52">
        <v>-2.5</v>
      </c>
      <c r="E52">
        <v>7.6926600000000001</v>
      </c>
      <c r="F52">
        <v>-4.9283400000000004</v>
      </c>
      <c r="G52">
        <v>75.392099999999999</v>
      </c>
      <c r="H52">
        <v>63.589199999999998</v>
      </c>
      <c r="I52" s="8">
        <f>bank_data[[#This Row],[intresses]]-bank_data[[#This Row],[losses]]</f>
        <v>11.802900000000001</v>
      </c>
    </row>
    <row r="53" spans="1:9" x14ac:dyDescent="0.25">
      <c r="A53">
        <v>52</v>
      </c>
      <c r="B53">
        <v>3072.79</v>
      </c>
      <c r="C53">
        <v>12</v>
      </c>
      <c r="D53">
        <v>-2.5</v>
      </c>
      <c r="E53">
        <v>7.8635400000000004</v>
      </c>
      <c r="F53">
        <v>-5.0277000000000003</v>
      </c>
      <c r="G53">
        <v>82.915700000000001</v>
      </c>
      <c r="H53">
        <v>80.158299999999997</v>
      </c>
      <c r="I53" s="8">
        <f>bank_data[[#This Row],[intresses]]-bank_data[[#This Row],[losses]]</f>
        <v>2.7574000000000041</v>
      </c>
    </row>
    <row r="54" spans="1:9" x14ac:dyDescent="0.25">
      <c r="A54">
        <v>53</v>
      </c>
      <c r="B54">
        <v>3081.44</v>
      </c>
      <c r="C54">
        <v>12</v>
      </c>
      <c r="D54">
        <v>-2.5</v>
      </c>
      <c r="E54">
        <v>8.1207499999999992</v>
      </c>
      <c r="F54">
        <v>-5.2276499999999997</v>
      </c>
      <c r="G54">
        <v>91.076800000000006</v>
      </c>
      <c r="H54">
        <v>80.274000000000001</v>
      </c>
      <c r="I54" s="8">
        <f>bank_data[[#This Row],[intresses]]-bank_data[[#This Row],[losses]]</f>
        <v>10.802800000000005</v>
      </c>
    </row>
    <row r="55" spans="1:9" x14ac:dyDescent="0.25">
      <c r="A55">
        <v>54</v>
      </c>
      <c r="B55">
        <v>3088.89</v>
      </c>
      <c r="C55">
        <v>12</v>
      </c>
      <c r="D55">
        <v>-2.5</v>
      </c>
      <c r="E55">
        <v>8.3473400000000009</v>
      </c>
      <c r="F55">
        <v>-5.3832700000000004</v>
      </c>
      <c r="G55">
        <v>97.981999999999999</v>
      </c>
      <c r="H55">
        <v>88.661500000000004</v>
      </c>
      <c r="I55" s="8">
        <f>bank_data[[#This Row],[intresses]]-bank_data[[#This Row],[losses]]</f>
        <v>9.3204999999999956</v>
      </c>
    </row>
    <row r="56" spans="1:9" x14ac:dyDescent="0.25">
      <c r="A56">
        <v>55</v>
      </c>
      <c r="B56">
        <v>3084.86</v>
      </c>
      <c r="C56">
        <v>12</v>
      </c>
      <c r="D56">
        <v>-2.5</v>
      </c>
      <c r="E56">
        <v>8.5573099999999993</v>
      </c>
      <c r="F56">
        <v>-5.5499299999999998</v>
      </c>
      <c r="G56">
        <v>107.241</v>
      </c>
      <c r="H56">
        <v>111.27500000000001</v>
      </c>
      <c r="I56" s="8">
        <f>bank_data[[#This Row],[intresses]]-bank_data[[#This Row],[losses]]</f>
        <v>-4.034000000000006</v>
      </c>
    </row>
    <row r="57" spans="1:9" x14ac:dyDescent="0.25">
      <c r="A57">
        <v>56</v>
      </c>
      <c r="B57">
        <v>3079.73</v>
      </c>
      <c r="C57">
        <v>12</v>
      </c>
      <c r="D57">
        <v>-2.5</v>
      </c>
      <c r="E57">
        <v>8.6869800000000001</v>
      </c>
      <c r="F57">
        <v>-5.6436400000000004</v>
      </c>
      <c r="G57">
        <v>120.122</v>
      </c>
      <c r="H57">
        <v>125.247</v>
      </c>
      <c r="I57" s="8">
        <f>bank_data[[#This Row],[intresses]]-bank_data[[#This Row],[losses]]</f>
        <v>-5.125</v>
      </c>
    </row>
    <row r="58" spans="1:9" x14ac:dyDescent="0.25">
      <c r="A58">
        <v>57</v>
      </c>
      <c r="B58">
        <v>3075.11</v>
      </c>
      <c r="C58">
        <v>12</v>
      </c>
      <c r="D58">
        <v>-2.5</v>
      </c>
      <c r="E58">
        <v>8.8733799999999992</v>
      </c>
      <c r="F58">
        <v>-5.7782200000000001</v>
      </c>
      <c r="G58">
        <v>122.218</v>
      </c>
      <c r="H58">
        <v>126.84399999999999</v>
      </c>
      <c r="I58" s="8">
        <f>bank_data[[#This Row],[intresses]]-bank_data[[#This Row],[losses]]</f>
        <v>-4.6259999999999906</v>
      </c>
    </row>
    <row r="59" spans="1:9" x14ac:dyDescent="0.25">
      <c r="A59">
        <v>58</v>
      </c>
      <c r="B59">
        <v>3063.38</v>
      </c>
      <c r="C59">
        <v>12</v>
      </c>
      <c r="D59">
        <v>-2.5</v>
      </c>
      <c r="E59">
        <v>8.9411900000000006</v>
      </c>
      <c r="F59">
        <v>-5.8245699999999996</v>
      </c>
      <c r="G59">
        <v>121.393</v>
      </c>
      <c r="H59">
        <v>133.12200000000001</v>
      </c>
      <c r="I59" s="8">
        <f>bank_data[[#This Row],[intresses]]-bank_data[[#This Row],[losses]]</f>
        <v>-11.729000000000013</v>
      </c>
    </row>
    <row r="60" spans="1:9" x14ac:dyDescent="0.25">
      <c r="A60">
        <v>59</v>
      </c>
      <c r="B60">
        <v>3052.1</v>
      </c>
      <c r="C60">
        <v>12</v>
      </c>
      <c r="D60">
        <v>-2.5</v>
      </c>
      <c r="E60">
        <v>9.0953800000000005</v>
      </c>
      <c r="F60">
        <v>-5.9491199999999997</v>
      </c>
      <c r="G60">
        <v>126.405</v>
      </c>
      <c r="H60">
        <v>137.68299999999999</v>
      </c>
      <c r="I60" s="8">
        <f>bank_data[[#This Row],[intresses]]-bank_data[[#This Row],[losses]]</f>
        <v>-11.277999999999992</v>
      </c>
    </row>
    <row r="61" spans="1:9" x14ac:dyDescent="0.25">
      <c r="A61">
        <v>60</v>
      </c>
      <c r="B61">
        <v>3059.34</v>
      </c>
      <c r="C61">
        <v>12</v>
      </c>
      <c r="D61">
        <v>-2.5</v>
      </c>
      <c r="E61">
        <v>9.0207499999999996</v>
      </c>
      <c r="F61">
        <v>-5.8372700000000002</v>
      </c>
      <c r="G61">
        <v>141.07300000000001</v>
      </c>
      <c r="H61">
        <v>132.02099999999999</v>
      </c>
      <c r="I61" s="8">
        <f>bank_data[[#This Row],[intresses]]-bank_data[[#This Row],[losses]]</f>
        <v>9.0520000000000209</v>
      </c>
    </row>
    <row r="62" spans="1:9" x14ac:dyDescent="0.25">
      <c r="A62">
        <v>61</v>
      </c>
      <c r="B62">
        <v>3039.48</v>
      </c>
      <c r="C62">
        <v>12</v>
      </c>
      <c r="D62">
        <v>-2.5</v>
      </c>
      <c r="E62">
        <v>9.0126299999999997</v>
      </c>
      <c r="F62">
        <v>-5.7744299999999997</v>
      </c>
      <c r="G62">
        <v>140.05799999999999</v>
      </c>
      <c r="H62">
        <v>159.91900000000001</v>
      </c>
      <c r="I62" s="8">
        <f>bank_data[[#This Row],[intresses]]-bank_data[[#This Row],[losses]]</f>
        <v>-19.861000000000018</v>
      </c>
    </row>
    <row r="63" spans="1:9" x14ac:dyDescent="0.25">
      <c r="A63">
        <v>62</v>
      </c>
      <c r="B63">
        <v>3035.88</v>
      </c>
      <c r="C63">
        <v>12</v>
      </c>
      <c r="D63">
        <v>-2.5</v>
      </c>
      <c r="E63">
        <v>9.0268099999999993</v>
      </c>
      <c r="F63">
        <v>-5.7900400000000003</v>
      </c>
      <c r="G63">
        <v>146.96</v>
      </c>
      <c r="H63">
        <v>150.55699999999999</v>
      </c>
      <c r="I63" s="8">
        <f>bank_data[[#This Row],[intresses]]-bank_data[[#This Row],[losses]]</f>
        <v>-3.59699999999998</v>
      </c>
    </row>
    <row r="64" spans="1:9" x14ac:dyDescent="0.25">
      <c r="A64">
        <v>63</v>
      </c>
      <c r="B64">
        <v>3014.57</v>
      </c>
      <c r="C64">
        <v>12</v>
      </c>
      <c r="D64">
        <v>-2.5</v>
      </c>
      <c r="E64">
        <v>9.1486599999999996</v>
      </c>
      <c r="F64">
        <v>-5.8799400000000004</v>
      </c>
      <c r="G64">
        <v>143.249</v>
      </c>
      <c r="H64">
        <v>164.56</v>
      </c>
      <c r="I64" s="8">
        <f>bank_data[[#This Row],[intresses]]-bank_data[[#This Row],[losses]]</f>
        <v>-21.311000000000007</v>
      </c>
    </row>
    <row r="65" spans="1:9" x14ac:dyDescent="0.25">
      <c r="A65">
        <v>64</v>
      </c>
      <c r="B65">
        <v>3023.01</v>
      </c>
      <c r="C65">
        <v>12</v>
      </c>
      <c r="D65">
        <v>-2.5</v>
      </c>
      <c r="E65">
        <v>9.3621200000000009</v>
      </c>
      <c r="F65">
        <v>-6.0075900000000004</v>
      </c>
      <c r="G65">
        <v>154.15799999999999</v>
      </c>
      <c r="H65">
        <v>143.61600000000001</v>
      </c>
      <c r="I65" s="8">
        <f>bank_data[[#This Row],[intresses]]-bank_data[[#This Row],[losses]]</f>
        <v>10.541999999999973</v>
      </c>
    </row>
    <row r="66" spans="1:9" x14ac:dyDescent="0.25">
      <c r="A66">
        <v>65</v>
      </c>
      <c r="B66">
        <v>3018.18</v>
      </c>
      <c r="C66">
        <v>12</v>
      </c>
      <c r="D66">
        <v>-2.5</v>
      </c>
      <c r="E66">
        <v>9.3072499999999998</v>
      </c>
      <c r="F66">
        <v>-5.92516</v>
      </c>
      <c r="G66">
        <v>159.696</v>
      </c>
      <c r="H66">
        <v>164.517</v>
      </c>
      <c r="I66" s="8">
        <f>bank_data[[#This Row],[intresses]]-bank_data[[#This Row],[losses]]</f>
        <v>-4.820999999999998</v>
      </c>
    </row>
    <row r="67" spans="1:9" x14ac:dyDescent="0.25">
      <c r="A67">
        <v>66</v>
      </c>
      <c r="B67">
        <v>3018.72</v>
      </c>
      <c r="C67">
        <v>12</v>
      </c>
      <c r="D67">
        <v>-2.5</v>
      </c>
      <c r="E67">
        <v>9.2312399999999997</v>
      </c>
      <c r="F67">
        <v>-5.8406399999999996</v>
      </c>
      <c r="G67">
        <v>178.39699999999999</v>
      </c>
      <c r="H67">
        <v>177.721</v>
      </c>
      <c r="I67" s="8">
        <f>bank_data[[#This Row],[intresses]]-bank_data[[#This Row],[losses]]</f>
        <v>0.67599999999998772</v>
      </c>
    </row>
    <row r="68" spans="1:9" x14ac:dyDescent="0.25">
      <c r="A68">
        <v>67</v>
      </c>
      <c r="B68">
        <v>2985.14</v>
      </c>
      <c r="C68">
        <v>12</v>
      </c>
      <c r="D68">
        <v>-2.5</v>
      </c>
      <c r="E68">
        <v>9.3400499999999997</v>
      </c>
      <c r="F68">
        <v>-5.9261299999999997</v>
      </c>
      <c r="G68">
        <v>171.626</v>
      </c>
      <c r="H68">
        <v>205.21</v>
      </c>
      <c r="I68" s="8">
        <f>bank_data[[#This Row],[intresses]]-bank_data[[#This Row],[losses]]</f>
        <v>-33.584000000000003</v>
      </c>
    </row>
    <row r="69" spans="1:9" x14ac:dyDescent="0.25">
      <c r="A69">
        <v>68</v>
      </c>
      <c r="B69">
        <v>2974.86</v>
      </c>
      <c r="C69">
        <v>12</v>
      </c>
      <c r="D69">
        <v>-2.5</v>
      </c>
      <c r="E69">
        <v>9.2916699999999999</v>
      </c>
      <c r="F69">
        <v>-5.8466899999999997</v>
      </c>
      <c r="G69">
        <v>176.178</v>
      </c>
      <c r="H69">
        <v>186.46299999999999</v>
      </c>
      <c r="I69" s="8">
        <f>bank_data[[#This Row],[intresses]]-bank_data[[#This Row],[losses]]</f>
        <v>-10.284999999999997</v>
      </c>
    </row>
    <row r="70" spans="1:9" x14ac:dyDescent="0.25">
      <c r="A70">
        <v>69</v>
      </c>
      <c r="B70">
        <v>2952.08</v>
      </c>
      <c r="C70">
        <v>12</v>
      </c>
      <c r="D70">
        <v>-2.5</v>
      </c>
      <c r="E70">
        <v>9.2656200000000002</v>
      </c>
      <c r="F70">
        <v>-5.7894800000000002</v>
      </c>
      <c r="G70">
        <v>179.26300000000001</v>
      </c>
      <c r="H70">
        <v>202.04</v>
      </c>
      <c r="I70" s="8">
        <f>bank_data[[#This Row],[intresses]]-bank_data[[#This Row],[losses]]</f>
        <v>-22.776999999999987</v>
      </c>
    </row>
    <row r="71" spans="1:9" x14ac:dyDescent="0.25">
      <c r="A71">
        <v>70</v>
      </c>
      <c r="B71">
        <v>2951.79</v>
      </c>
      <c r="C71">
        <v>12</v>
      </c>
      <c r="D71">
        <v>-2.5</v>
      </c>
      <c r="E71">
        <v>9.2363599999999995</v>
      </c>
      <c r="F71">
        <v>-5.7073900000000002</v>
      </c>
      <c r="G71">
        <v>192.87899999999999</v>
      </c>
      <c r="H71">
        <v>193.166</v>
      </c>
      <c r="I71" s="8">
        <f>bank_data[[#This Row],[intresses]]-bank_data[[#This Row],[losses]]</f>
        <v>-0.28700000000000614</v>
      </c>
    </row>
    <row r="72" spans="1:9" x14ac:dyDescent="0.25">
      <c r="A72">
        <v>71</v>
      </c>
      <c r="B72">
        <v>2952.24</v>
      </c>
      <c r="C72">
        <v>12</v>
      </c>
      <c r="D72">
        <v>-2.5</v>
      </c>
      <c r="E72">
        <v>9.2645999999999997</v>
      </c>
      <c r="F72">
        <v>-5.71157</v>
      </c>
      <c r="G72">
        <v>208.01400000000001</v>
      </c>
      <c r="H72">
        <v>207.46</v>
      </c>
      <c r="I72" s="8">
        <f>bank_data[[#This Row],[intresses]]-bank_data[[#This Row],[losses]]</f>
        <v>0.55400000000000205</v>
      </c>
    </row>
    <row r="73" spans="1:9" x14ac:dyDescent="0.25">
      <c r="A73">
        <v>72</v>
      </c>
      <c r="B73">
        <v>2913.09</v>
      </c>
      <c r="C73">
        <v>12</v>
      </c>
      <c r="D73">
        <v>-2.5</v>
      </c>
      <c r="E73">
        <v>9.2418099999999992</v>
      </c>
      <c r="F73">
        <v>-5.6945699999999997</v>
      </c>
      <c r="G73">
        <v>203.54</v>
      </c>
      <c r="H73">
        <v>242.68899999999999</v>
      </c>
      <c r="I73" s="8">
        <f>bank_data[[#This Row],[intresses]]-bank_data[[#This Row],[losses]]</f>
        <v>-39.149000000000001</v>
      </c>
    </row>
    <row r="74" spans="1:9" x14ac:dyDescent="0.25">
      <c r="A74">
        <v>73</v>
      </c>
      <c r="B74">
        <v>2889.66</v>
      </c>
      <c r="C74">
        <v>12</v>
      </c>
      <c r="D74">
        <v>-2.5</v>
      </c>
      <c r="E74">
        <v>9.2109199999999998</v>
      </c>
      <c r="F74">
        <v>-5.6544800000000004</v>
      </c>
      <c r="G74">
        <v>202.45699999999999</v>
      </c>
      <c r="H74">
        <v>225.887</v>
      </c>
      <c r="I74" s="8">
        <f>bank_data[[#This Row],[intresses]]-bank_data[[#This Row],[losses]]</f>
        <v>-23.430000000000007</v>
      </c>
    </row>
    <row r="75" spans="1:9" x14ac:dyDescent="0.25">
      <c r="A75">
        <v>74</v>
      </c>
      <c r="B75">
        <v>2896.2</v>
      </c>
      <c r="C75">
        <v>12</v>
      </c>
      <c r="D75">
        <v>-2.5</v>
      </c>
      <c r="E75">
        <v>9.2309900000000003</v>
      </c>
      <c r="F75">
        <v>-5.6535000000000002</v>
      </c>
      <c r="G75">
        <v>226.29499999999999</v>
      </c>
      <c r="H75">
        <v>218.119</v>
      </c>
      <c r="I75" s="8">
        <f>bank_data[[#This Row],[intresses]]-bank_data[[#This Row],[losses]]</f>
        <v>8.1759999999999877</v>
      </c>
    </row>
    <row r="76" spans="1:9" x14ac:dyDescent="0.25">
      <c r="A76">
        <v>75</v>
      </c>
      <c r="B76">
        <v>2849.45</v>
      </c>
      <c r="C76">
        <v>12</v>
      </c>
      <c r="D76">
        <v>-2.5</v>
      </c>
      <c r="E76">
        <v>9.2127300000000005</v>
      </c>
      <c r="F76">
        <v>-5.6725099999999999</v>
      </c>
      <c r="G76">
        <v>215.81100000000001</v>
      </c>
      <c r="H76">
        <v>262.55599999999998</v>
      </c>
      <c r="I76" s="8">
        <f>bank_data[[#This Row],[intresses]]-bank_data[[#This Row],[losses]]</f>
        <v>-46.744999999999976</v>
      </c>
    </row>
    <row r="77" spans="1:9" x14ac:dyDescent="0.25">
      <c r="A77">
        <v>76</v>
      </c>
      <c r="B77">
        <v>2830.41</v>
      </c>
      <c r="C77">
        <v>12</v>
      </c>
      <c r="D77">
        <v>-2.5</v>
      </c>
      <c r="E77">
        <v>9.3691800000000001</v>
      </c>
      <c r="F77">
        <v>-5.8415299999999997</v>
      </c>
      <c r="G77">
        <v>218.86699999999999</v>
      </c>
      <c r="H77">
        <v>237.911</v>
      </c>
      <c r="I77" s="8">
        <f>bank_data[[#This Row],[intresses]]-bank_data[[#This Row],[losses]]</f>
        <v>-19.044000000000011</v>
      </c>
    </row>
    <row r="78" spans="1:9" x14ac:dyDescent="0.25">
      <c r="A78">
        <v>77</v>
      </c>
      <c r="B78">
        <v>2810.99</v>
      </c>
      <c r="C78">
        <v>12</v>
      </c>
      <c r="D78">
        <v>-2.5</v>
      </c>
      <c r="E78">
        <v>9.4383999999999997</v>
      </c>
      <c r="F78">
        <v>-5.9617599999999999</v>
      </c>
      <c r="G78">
        <v>229.471</v>
      </c>
      <c r="H78">
        <v>248.88900000000001</v>
      </c>
      <c r="I78" s="8">
        <f>bank_data[[#This Row],[intresses]]-bank_data[[#This Row],[losses]]</f>
        <v>-19.418000000000006</v>
      </c>
    </row>
    <row r="79" spans="1:9" x14ac:dyDescent="0.25">
      <c r="A79">
        <v>78</v>
      </c>
      <c r="B79">
        <v>2781.92</v>
      </c>
      <c r="C79">
        <v>12</v>
      </c>
      <c r="D79">
        <v>-2.5</v>
      </c>
      <c r="E79">
        <v>9.5031499999999998</v>
      </c>
      <c r="F79">
        <v>-6.0335700000000001</v>
      </c>
      <c r="G79">
        <v>227.773</v>
      </c>
      <c r="H79">
        <v>256.846</v>
      </c>
      <c r="I79" s="8">
        <f>bank_data[[#This Row],[intresses]]-bank_data[[#This Row],[losses]]</f>
        <v>-29.073000000000008</v>
      </c>
    </row>
    <row r="80" spans="1:9" x14ac:dyDescent="0.25">
      <c r="A80">
        <v>79</v>
      </c>
      <c r="B80">
        <v>2773.72</v>
      </c>
      <c r="C80">
        <v>12</v>
      </c>
      <c r="D80">
        <v>-2.5</v>
      </c>
      <c r="E80">
        <v>9.5145700000000009</v>
      </c>
      <c r="F80">
        <v>-5.9776199999999999</v>
      </c>
      <c r="G80">
        <v>241.28100000000001</v>
      </c>
      <c r="H80">
        <v>249.483</v>
      </c>
      <c r="I80" s="8">
        <f>bank_data[[#This Row],[intresses]]-bank_data[[#This Row],[losses]]</f>
        <v>-8.2019999999999982</v>
      </c>
    </row>
    <row r="81" spans="1:9" x14ac:dyDescent="0.25">
      <c r="A81">
        <v>80</v>
      </c>
      <c r="B81">
        <v>2750.12</v>
      </c>
      <c r="C81">
        <v>12</v>
      </c>
      <c r="D81">
        <v>-2.5</v>
      </c>
      <c r="E81">
        <v>9.4992099999999997</v>
      </c>
      <c r="F81">
        <v>-5.9780800000000003</v>
      </c>
      <c r="G81">
        <v>247.97900000000001</v>
      </c>
      <c r="H81">
        <v>271.577</v>
      </c>
      <c r="I81" s="8">
        <f>bank_data[[#This Row],[intresses]]-bank_data[[#This Row],[losses]]</f>
        <v>-23.597999999999985</v>
      </c>
    </row>
    <row r="82" spans="1:9" x14ac:dyDescent="0.25">
      <c r="A82">
        <v>81</v>
      </c>
      <c r="B82">
        <v>2733.93</v>
      </c>
      <c r="C82">
        <v>12</v>
      </c>
      <c r="D82">
        <v>-2.5</v>
      </c>
      <c r="E82">
        <v>9.4367099999999997</v>
      </c>
      <c r="F82">
        <v>-5.8796999999999997</v>
      </c>
      <c r="G82">
        <v>264.02</v>
      </c>
      <c r="H82">
        <v>280.20999999999998</v>
      </c>
      <c r="I82" s="8">
        <f>bank_data[[#This Row],[intresses]]-bank_data[[#This Row],[losses]]</f>
        <v>-16.189999999999998</v>
      </c>
    </row>
    <row r="83" spans="1:9" x14ac:dyDescent="0.25">
      <c r="A83">
        <v>82</v>
      </c>
      <c r="B83">
        <v>2672.4</v>
      </c>
      <c r="C83">
        <v>12</v>
      </c>
      <c r="D83">
        <v>-2.5</v>
      </c>
      <c r="E83">
        <v>9.3826400000000003</v>
      </c>
      <c r="F83">
        <v>-5.8120399999999997</v>
      </c>
      <c r="G83">
        <v>251.53800000000001</v>
      </c>
      <c r="H83">
        <v>313.06299999999999</v>
      </c>
      <c r="I83" s="8">
        <f>bank_data[[#This Row],[intresses]]-bank_data[[#This Row],[losses]]</f>
        <v>-61.524999999999977</v>
      </c>
    </row>
    <row r="84" spans="1:9" x14ac:dyDescent="0.25">
      <c r="A84">
        <v>83</v>
      </c>
      <c r="B84">
        <v>2620.54</v>
      </c>
      <c r="C84">
        <v>12</v>
      </c>
      <c r="D84">
        <v>-2.5</v>
      </c>
      <c r="E84">
        <v>9.2400699999999993</v>
      </c>
      <c r="F84">
        <v>-5.6200400000000004</v>
      </c>
      <c r="G84">
        <v>236.607</v>
      </c>
      <c r="H84">
        <v>288.46600000000001</v>
      </c>
      <c r="I84" s="8">
        <f>bank_data[[#This Row],[intresses]]-bank_data[[#This Row],[losses]]</f>
        <v>-51.859000000000009</v>
      </c>
    </row>
    <row r="85" spans="1:9" x14ac:dyDescent="0.25">
      <c r="A85">
        <v>84</v>
      </c>
      <c r="B85">
        <v>2635.66</v>
      </c>
      <c r="C85">
        <v>12</v>
      </c>
      <c r="D85">
        <v>-2.5</v>
      </c>
      <c r="E85">
        <v>9.2327200000000005</v>
      </c>
      <c r="F85">
        <v>-5.5640299999999998</v>
      </c>
      <c r="G85">
        <v>265.32</v>
      </c>
      <c r="H85">
        <v>246.42400000000001</v>
      </c>
      <c r="I85" s="8">
        <f>bank_data[[#This Row],[intresses]]-bank_data[[#This Row],[losses]]</f>
        <v>18.895999999999987</v>
      </c>
    </row>
    <row r="86" spans="1:9" x14ac:dyDescent="0.25">
      <c r="A86">
        <v>85</v>
      </c>
      <c r="B86">
        <v>2597.29</v>
      </c>
      <c r="C86">
        <v>12</v>
      </c>
      <c r="D86">
        <v>-2.5</v>
      </c>
      <c r="E86">
        <v>9.2286099999999998</v>
      </c>
      <c r="F86">
        <v>-5.6285100000000003</v>
      </c>
      <c r="G86">
        <v>273.53800000000001</v>
      </c>
      <c r="H86">
        <v>311.90300000000002</v>
      </c>
      <c r="I86" s="8">
        <f>bank_data[[#This Row],[intresses]]-bank_data[[#This Row],[losses]]</f>
        <v>-38.365000000000009</v>
      </c>
    </row>
    <row r="87" spans="1:9" x14ac:dyDescent="0.25">
      <c r="A87">
        <v>86</v>
      </c>
      <c r="B87">
        <v>2552.86</v>
      </c>
      <c r="C87">
        <v>12</v>
      </c>
      <c r="D87">
        <v>-2.5</v>
      </c>
      <c r="E87">
        <v>8.9228500000000004</v>
      </c>
      <c r="F87">
        <v>-5.3451300000000002</v>
      </c>
      <c r="G87">
        <v>265.553</v>
      </c>
      <c r="H87">
        <v>309.98899999999998</v>
      </c>
      <c r="I87" s="8">
        <f>bank_data[[#This Row],[intresses]]-bank_data[[#This Row],[losses]]</f>
        <v>-44.435999999999979</v>
      </c>
    </row>
    <row r="88" spans="1:9" x14ac:dyDescent="0.25">
      <c r="A88">
        <v>87</v>
      </c>
      <c r="B88">
        <v>2533.0500000000002</v>
      </c>
      <c r="C88">
        <v>12</v>
      </c>
      <c r="D88">
        <v>-2.5</v>
      </c>
      <c r="E88">
        <v>8.7268799999999995</v>
      </c>
      <c r="F88">
        <v>-5.0671600000000003</v>
      </c>
      <c r="G88">
        <v>271.036</v>
      </c>
      <c r="H88">
        <v>290.84399999999999</v>
      </c>
      <c r="I88" s="8">
        <f>bank_data[[#This Row],[intresses]]-bank_data[[#This Row],[losses]]</f>
        <v>-19.807999999999993</v>
      </c>
    </row>
    <row r="89" spans="1:9" x14ac:dyDescent="0.25">
      <c r="A89">
        <v>88</v>
      </c>
      <c r="B89">
        <v>2505.52</v>
      </c>
      <c r="C89">
        <v>12</v>
      </c>
      <c r="D89">
        <v>-2.5</v>
      </c>
      <c r="E89">
        <v>8.5420599999999993</v>
      </c>
      <c r="F89">
        <v>-4.8020500000000004</v>
      </c>
      <c r="G89">
        <v>278.71199999999999</v>
      </c>
      <c r="H89">
        <v>306.245</v>
      </c>
      <c r="I89" s="8">
        <f>bank_data[[#This Row],[intresses]]-bank_data[[#This Row],[losses]]</f>
        <v>-27.533000000000015</v>
      </c>
    </row>
    <row r="90" spans="1:9" x14ac:dyDescent="0.25">
      <c r="A90">
        <v>89</v>
      </c>
      <c r="B90">
        <v>2471.12</v>
      </c>
      <c r="C90">
        <v>12</v>
      </c>
      <c r="D90">
        <v>-2.5</v>
      </c>
      <c r="E90">
        <v>8.5145199999999992</v>
      </c>
      <c r="F90">
        <v>-4.7150999999999996</v>
      </c>
      <c r="G90">
        <v>289.08499999999998</v>
      </c>
      <c r="H90">
        <v>323.47899999999998</v>
      </c>
      <c r="I90" s="8">
        <f>bank_data[[#This Row],[intresses]]-bank_data[[#This Row],[losses]]</f>
        <v>-34.394000000000005</v>
      </c>
    </row>
    <row r="91" spans="1:9" x14ac:dyDescent="0.25">
      <c r="A91">
        <v>90</v>
      </c>
      <c r="B91">
        <v>2432.56</v>
      </c>
      <c r="C91">
        <v>12</v>
      </c>
      <c r="D91">
        <v>-2.5</v>
      </c>
      <c r="E91">
        <v>8.4562600000000003</v>
      </c>
      <c r="F91">
        <v>-4.6203599999999998</v>
      </c>
      <c r="G91">
        <v>289.45600000000002</v>
      </c>
      <c r="H91">
        <v>328.02100000000002</v>
      </c>
      <c r="I91" s="8">
        <f>bank_data[[#This Row],[intresses]]-bank_data[[#This Row],[losses]]</f>
        <v>-38.564999999999998</v>
      </c>
    </row>
    <row r="92" spans="1:9" x14ac:dyDescent="0.25">
      <c r="A92">
        <v>91</v>
      </c>
      <c r="B92">
        <v>2386.38</v>
      </c>
      <c r="C92">
        <v>12</v>
      </c>
      <c r="D92">
        <v>-2.5</v>
      </c>
      <c r="E92">
        <v>8.2257400000000001</v>
      </c>
      <c r="F92">
        <v>-4.23271</v>
      </c>
      <c r="G92">
        <v>280.55900000000003</v>
      </c>
      <c r="H92">
        <v>326.73599999999999</v>
      </c>
      <c r="I92" s="8">
        <f>bank_data[[#This Row],[intresses]]-bank_data[[#This Row],[losses]]</f>
        <v>-46.176999999999964</v>
      </c>
    </row>
    <row r="93" spans="1:9" x14ac:dyDescent="0.25">
      <c r="A93">
        <v>92</v>
      </c>
      <c r="B93">
        <v>2366.5500000000002</v>
      </c>
      <c r="C93">
        <v>12</v>
      </c>
      <c r="D93">
        <v>-2.5</v>
      </c>
      <c r="E93">
        <v>8.3203600000000009</v>
      </c>
      <c r="F93">
        <v>-4.2663900000000003</v>
      </c>
      <c r="G93">
        <v>281.95400000000001</v>
      </c>
      <c r="H93">
        <v>301.77999999999997</v>
      </c>
      <c r="I93" s="8">
        <f>bank_data[[#This Row],[intresses]]-bank_data[[#This Row],[losses]]</f>
        <v>-19.825999999999965</v>
      </c>
    </row>
    <row r="94" spans="1:9" x14ac:dyDescent="0.25">
      <c r="A94">
        <v>93</v>
      </c>
      <c r="B94">
        <v>2333.35</v>
      </c>
      <c r="C94">
        <v>12</v>
      </c>
      <c r="D94">
        <v>-2.5</v>
      </c>
      <c r="E94">
        <v>8.2530900000000003</v>
      </c>
      <c r="F94">
        <v>-4.17842</v>
      </c>
      <c r="G94">
        <v>285.96899999999999</v>
      </c>
      <c r="H94">
        <v>319.16800000000001</v>
      </c>
      <c r="I94" s="8">
        <f>bank_data[[#This Row],[intresses]]-bank_data[[#This Row],[losses]]</f>
        <v>-33.199000000000012</v>
      </c>
    </row>
    <row r="95" spans="1:9" x14ac:dyDescent="0.25">
      <c r="A95">
        <v>94</v>
      </c>
      <c r="B95">
        <v>2307.6</v>
      </c>
      <c r="C95">
        <v>12</v>
      </c>
      <c r="D95">
        <v>-2.5</v>
      </c>
      <c r="E95">
        <v>8.2101000000000006</v>
      </c>
      <c r="F95">
        <v>-4.1049899999999999</v>
      </c>
      <c r="G95">
        <v>296.79899999999998</v>
      </c>
      <c r="H95">
        <v>322.55099999999999</v>
      </c>
      <c r="I95" s="8">
        <f>bank_data[[#This Row],[intresses]]-bank_data[[#This Row],[losses]]</f>
        <v>-25.75200000000001</v>
      </c>
    </row>
    <row r="96" spans="1:9" x14ac:dyDescent="0.25">
      <c r="A96">
        <v>95</v>
      </c>
      <c r="B96">
        <v>2252.0300000000002</v>
      </c>
      <c r="C96">
        <v>12</v>
      </c>
      <c r="D96">
        <v>-2.5</v>
      </c>
      <c r="E96">
        <v>8.1378799999999991</v>
      </c>
      <c r="F96">
        <v>-4.0096400000000001</v>
      </c>
      <c r="G96">
        <v>292.54199999999997</v>
      </c>
      <c r="H96">
        <v>348.113</v>
      </c>
      <c r="I96" s="8">
        <f>bank_data[[#This Row],[intresses]]-bank_data[[#This Row],[losses]]</f>
        <v>-55.571000000000026</v>
      </c>
    </row>
    <row r="97" spans="1:9" x14ac:dyDescent="0.25">
      <c r="A97">
        <v>96</v>
      </c>
      <c r="B97">
        <v>2212.88</v>
      </c>
      <c r="C97">
        <v>12</v>
      </c>
      <c r="D97">
        <v>-2.5</v>
      </c>
      <c r="E97">
        <v>8.0528999999999993</v>
      </c>
      <c r="F97">
        <v>-3.9426800000000002</v>
      </c>
      <c r="G97">
        <v>295.11200000000002</v>
      </c>
      <c r="H97">
        <v>334.26299999999998</v>
      </c>
      <c r="I97" s="8">
        <f>bank_data[[#This Row],[intresses]]-bank_data[[#This Row],[losses]]</f>
        <v>-39.150999999999954</v>
      </c>
    </row>
    <row r="98" spans="1:9" x14ac:dyDescent="0.25">
      <c r="A98">
        <v>97</v>
      </c>
      <c r="B98">
        <v>2192.85</v>
      </c>
      <c r="C98">
        <v>12</v>
      </c>
      <c r="D98">
        <v>-2.5</v>
      </c>
      <c r="E98">
        <v>8.0966299999999993</v>
      </c>
      <c r="F98">
        <v>-4.0528399999999998</v>
      </c>
      <c r="G98">
        <v>306.45100000000002</v>
      </c>
      <c r="H98">
        <v>326.48700000000002</v>
      </c>
      <c r="I98" s="8">
        <f>bank_data[[#This Row],[intresses]]-bank_data[[#This Row],[losses]]</f>
        <v>-20.036000000000001</v>
      </c>
    </row>
    <row r="99" spans="1:9" x14ac:dyDescent="0.25">
      <c r="A99">
        <v>98</v>
      </c>
      <c r="B99">
        <v>2140.66</v>
      </c>
      <c r="C99">
        <v>12</v>
      </c>
      <c r="D99">
        <v>-2.5</v>
      </c>
      <c r="E99">
        <v>8.1046899999999997</v>
      </c>
      <c r="F99">
        <v>-4.0862699999999998</v>
      </c>
      <c r="G99">
        <v>302.35899999999998</v>
      </c>
      <c r="H99">
        <v>354.54599999999999</v>
      </c>
      <c r="I99" s="8">
        <f>bank_data[[#This Row],[intresses]]-bank_data[[#This Row],[losses]]</f>
        <v>-52.187000000000012</v>
      </c>
    </row>
    <row r="100" spans="1:9" x14ac:dyDescent="0.25">
      <c r="A100">
        <v>99</v>
      </c>
      <c r="B100">
        <v>2098.59</v>
      </c>
      <c r="C100">
        <v>12</v>
      </c>
      <c r="D100">
        <v>-2.5</v>
      </c>
      <c r="E100">
        <v>8.0762599999999996</v>
      </c>
      <c r="F100">
        <v>-4.0655900000000003</v>
      </c>
      <c r="G100">
        <v>298.13400000000001</v>
      </c>
      <c r="H100">
        <v>340.20600000000002</v>
      </c>
      <c r="I100" s="8">
        <f>bank_data[[#This Row],[intresses]]-bank_data[[#This Row],[losses]]</f>
        <v>-42.072000000000003</v>
      </c>
    </row>
    <row r="101" spans="1:9" x14ac:dyDescent="0.25">
      <c r="A101">
        <v>100</v>
      </c>
      <c r="B101">
        <v>2047.05</v>
      </c>
      <c r="C101">
        <v>12</v>
      </c>
      <c r="D101">
        <v>-2.5</v>
      </c>
      <c r="E101">
        <v>8.0012600000000003</v>
      </c>
      <c r="F101">
        <v>-4.0120800000000001</v>
      </c>
      <c r="G101">
        <v>296.83499999999998</v>
      </c>
      <c r="H101">
        <v>348.37</v>
      </c>
      <c r="I101" s="8">
        <f>bank_data[[#This Row],[intresses]]-bank_data[[#This Row],[losses]]</f>
        <v>-51.535000000000025</v>
      </c>
    </row>
    <row r="102" spans="1:9" x14ac:dyDescent="0.25">
      <c r="A102">
        <v>101</v>
      </c>
      <c r="B102">
        <v>2027.25</v>
      </c>
      <c r="C102">
        <v>12</v>
      </c>
      <c r="D102">
        <v>-2.5</v>
      </c>
      <c r="E102">
        <v>7.8882700000000003</v>
      </c>
      <c r="F102">
        <v>-3.9000400000000002</v>
      </c>
      <c r="G102">
        <v>306.99299999999999</v>
      </c>
      <c r="H102">
        <v>326.79599999999999</v>
      </c>
      <c r="I102" s="8">
        <f>bank_data[[#This Row],[intresses]]-bank_data[[#This Row],[losses]]</f>
        <v>-19.802999999999997</v>
      </c>
    </row>
    <row r="103" spans="1:9" x14ac:dyDescent="0.25">
      <c r="A103">
        <v>102</v>
      </c>
      <c r="B103">
        <v>1987.55</v>
      </c>
      <c r="C103">
        <v>12</v>
      </c>
      <c r="D103">
        <v>-2.5</v>
      </c>
      <c r="E103">
        <v>7.6431699999999996</v>
      </c>
      <c r="F103">
        <v>-3.5546899999999999</v>
      </c>
      <c r="G103">
        <v>305.49900000000002</v>
      </c>
      <c r="H103">
        <v>345.19400000000002</v>
      </c>
      <c r="I103" s="8">
        <f>bank_data[[#This Row],[intresses]]-bank_data[[#This Row],[losses]]</f>
        <v>-39.694999999999993</v>
      </c>
    </row>
    <row r="104" spans="1:9" x14ac:dyDescent="0.25">
      <c r="A104">
        <v>103</v>
      </c>
      <c r="B104">
        <v>1938.92</v>
      </c>
      <c r="C104">
        <v>12</v>
      </c>
      <c r="D104">
        <v>-2.5</v>
      </c>
      <c r="E104">
        <v>7.3861600000000003</v>
      </c>
      <c r="F104">
        <v>-3.1930200000000002</v>
      </c>
      <c r="G104">
        <v>306.43799999999999</v>
      </c>
      <c r="H104">
        <v>355.06799999999998</v>
      </c>
      <c r="I104" s="8">
        <f>bank_data[[#This Row],[intresses]]-bank_data[[#This Row],[losses]]</f>
        <v>-48.629999999999995</v>
      </c>
    </row>
    <row r="105" spans="1:9" x14ac:dyDescent="0.25">
      <c r="A105">
        <v>104</v>
      </c>
      <c r="B105">
        <v>1883.13</v>
      </c>
      <c r="C105">
        <v>12</v>
      </c>
      <c r="D105">
        <v>-2.5</v>
      </c>
      <c r="E105">
        <v>7.2052899999999998</v>
      </c>
      <c r="F105">
        <v>-2.8967100000000001</v>
      </c>
      <c r="G105">
        <v>298.46899999999999</v>
      </c>
      <c r="H105">
        <v>354.26299999999998</v>
      </c>
      <c r="I105" s="8">
        <f>bank_data[[#This Row],[intresses]]-bank_data[[#This Row],[losses]]</f>
        <v>-55.793999999999983</v>
      </c>
    </row>
    <row r="106" spans="1:9" x14ac:dyDescent="0.25">
      <c r="A106">
        <v>105</v>
      </c>
      <c r="B106">
        <v>1844.62</v>
      </c>
      <c r="C106">
        <v>12</v>
      </c>
      <c r="D106">
        <v>-2.5</v>
      </c>
      <c r="E106">
        <v>7.08101</v>
      </c>
      <c r="F106">
        <v>-2.7082600000000001</v>
      </c>
      <c r="G106">
        <v>303.61099999999999</v>
      </c>
      <c r="H106">
        <v>342.125</v>
      </c>
      <c r="I106" s="8">
        <f>bank_data[[#This Row],[intresses]]-bank_data[[#This Row],[losses]]</f>
        <v>-38.51400000000001</v>
      </c>
    </row>
    <row r="107" spans="1:9" x14ac:dyDescent="0.25">
      <c r="A107">
        <v>106</v>
      </c>
      <c r="B107">
        <v>1797.2</v>
      </c>
      <c r="C107">
        <v>12</v>
      </c>
      <c r="D107">
        <v>-2.5</v>
      </c>
      <c r="E107">
        <v>6.8587400000000001</v>
      </c>
      <c r="F107">
        <v>-2.4436200000000001</v>
      </c>
      <c r="G107">
        <v>295.92700000000002</v>
      </c>
      <c r="H107">
        <v>343.34100000000001</v>
      </c>
      <c r="I107" s="8">
        <f>bank_data[[#This Row],[intresses]]-bank_data[[#This Row],[losses]]</f>
        <v>-47.413999999999987</v>
      </c>
    </row>
    <row r="108" spans="1:9" x14ac:dyDescent="0.25">
      <c r="A108">
        <v>107</v>
      </c>
      <c r="B108">
        <v>1757.42</v>
      </c>
      <c r="C108">
        <v>12</v>
      </c>
      <c r="D108">
        <v>-2.5</v>
      </c>
      <c r="E108">
        <v>6.6392699999999998</v>
      </c>
      <c r="F108">
        <v>-2.2113299999999998</v>
      </c>
      <c r="G108">
        <v>300.27499999999998</v>
      </c>
      <c r="H108">
        <v>340.053</v>
      </c>
      <c r="I108" s="8">
        <f>bank_data[[#This Row],[intresses]]-bank_data[[#This Row],[losses]]</f>
        <v>-39.77800000000002</v>
      </c>
    </row>
    <row r="109" spans="1:9" x14ac:dyDescent="0.25">
      <c r="A109">
        <v>108</v>
      </c>
      <c r="B109">
        <v>1692.09</v>
      </c>
      <c r="C109">
        <v>12</v>
      </c>
      <c r="D109">
        <v>-2.5</v>
      </c>
      <c r="E109">
        <v>6.3808800000000003</v>
      </c>
      <c r="F109">
        <v>-1.8910400000000001</v>
      </c>
      <c r="G109">
        <v>287.52600000000001</v>
      </c>
      <c r="H109">
        <v>352.86</v>
      </c>
      <c r="I109" s="8">
        <f>bank_data[[#This Row],[intresses]]-bank_data[[#This Row],[losses]]</f>
        <v>-65.334000000000003</v>
      </c>
    </row>
    <row r="110" spans="1:9" x14ac:dyDescent="0.25">
      <c r="A110">
        <v>109</v>
      </c>
      <c r="B110">
        <v>1666.72</v>
      </c>
      <c r="C110">
        <v>12</v>
      </c>
      <c r="D110">
        <v>-2.5</v>
      </c>
      <c r="E110">
        <v>6.2413100000000004</v>
      </c>
      <c r="F110">
        <v>-1.6693899999999999</v>
      </c>
      <c r="G110">
        <v>286.56799999999998</v>
      </c>
      <c r="H110">
        <v>311.93299999999999</v>
      </c>
      <c r="I110" s="8">
        <f>bank_data[[#This Row],[intresses]]-bank_data[[#This Row],[losses]]</f>
        <v>-25.365000000000009</v>
      </c>
    </row>
    <row r="111" spans="1:9" x14ac:dyDescent="0.25">
      <c r="A111">
        <v>110</v>
      </c>
      <c r="B111">
        <v>1638.77</v>
      </c>
      <c r="C111">
        <v>12</v>
      </c>
      <c r="D111">
        <v>-2.5</v>
      </c>
      <c r="E111">
        <v>5.9037899999999999</v>
      </c>
      <c r="F111">
        <v>-1.2260200000000001</v>
      </c>
      <c r="G111">
        <v>288.50799999999998</v>
      </c>
      <c r="H111">
        <v>316.46199999999999</v>
      </c>
      <c r="I111" s="8">
        <f>bank_data[[#This Row],[intresses]]-bank_data[[#This Row],[losses]]</f>
        <v>-27.954000000000008</v>
      </c>
    </row>
    <row r="112" spans="1:9" x14ac:dyDescent="0.25">
      <c r="A112">
        <v>111</v>
      </c>
      <c r="B112">
        <v>1581.39</v>
      </c>
      <c r="C112">
        <v>12</v>
      </c>
      <c r="D112">
        <v>-2.5</v>
      </c>
      <c r="E112">
        <v>5.7159599999999999</v>
      </c>
      <c r="F112">
        <v>-0.93887399999999999</v>
      </c>
      <c r="G112">
        <v>284.35300000000001</v>
      </c>
      <c r="H112">
        <v>341.73599999999999</v>
      </c>
      <c r="I112" s="8">
        <f>bank_data[[#This Row],[intresses]]-bank_data[[#This Row],[losses]]</f>
        <v>-57.382999999999981</v>
      </c>
    </row>
    <row r="113" spans="1:9" x14ac:dyDescent="0.25">
      <c r="A113">
        <v>112</v>
      </c>
      <c r="B113">
        <v>1550.66</v>
      </c>
      <c r="C113">
        <v>12</v>
      </c>
      <c r="D113">
        <v>-2.5</v>
      </c>
      <c r="E113">
        <v>5.3395999999999999</v>
      </c>
      <c r="F113">
        <v>-0.46359800000000001</v>
      </c>
      <c r="G113">
        <v>281.74299999999999</v>
      </c>
      <c r="H113">
        <v>312.46800000000002</v>
      </c>
      <c r="I113" s="8">
        <f>bank_data[[#This Row],[intresses]]-bank_data[[#This Row],[losses]]</f>
        <v>-30.725000000000023</v>
      </c>
    </row>
    <row r="114" spans="1:9" x14ac:dyDescent="0.25">
      <c r="A114">
        <v>113</v>
      </c>
      <c r="B114">
        <v>1485.59</v>
      </c>
      <c r="C114">
        <v>12</v>
      </c>
      <c r="D114">
        <v>-2.5</v>
      </c>
      <c r="E114">
        <v>4.9019700000000004</v>
      </c>
      <c r="F114">
        <v>6.9189700000000007E-2</v>
      </c>
      <c r="G114">
        <v>273.88499999999999</v>
      </c>
      <c r="H114">
        <v>338.95699999999999</v>
      </c>
      <c r="I114" s="8">
        <f>bank_data[[#This Row],[intresses]]-bank_data[[#This Row],[losses]]</f>
        <v>-65.072000000000003</v>
      </c>
    </row>
    <row r="115" spans="1:9" x14ac:dyDescent="0.25">
      <c r="A115">
        <v>114</v>
      </c>
      <c r="B115">
        <v>1430.24</v>
      </c>
      <c r="C115">
        <v>12</v>
      </c>
      <c r="D115">
        <v>-2.5</v>
      </c>
      <c r="E115">
        <v>4.2824299999999997</v>
      </c>
      <c r="F115">
        <v>0.84037899999999999</v>
      </c>
      <c r="G115">
        <v>268.78800000000001</v>
      </c>
      <c r="H115">
        <v>324.13900000000001</v>
      </c>
      <c r="I115" s="8">
        <f>bank_data[[#This Row],[intresses]]-bank_data[[#This Row],[losses]]</f>
        <v>-55.350999999999999</v>
      </c>
    </row>
    <row r="116" spans="1:9" x14ac:dyDescent="0.25">
      <c r="A116">
        <v>115</v>
      </c>
      <c r="B116">
        <v>1370.62</v>
      </c>
      <c r="C116">
        <v>12</v>
      </c>
      <c r="D116">
        <v>-2.5</v>
      </c>
      <c r="E116">
        <v>4.2928199999999999</v>
      </c>
      <c r="F116">
        <v>0.83025800000000005</v>
      </c>
      <c r="G116">
        <v>260.483</v>
      </c>
      <c r="H116">
        <v>320.10399999999998</v>
      </c>
      <c r="I116" s="8">
        <f>bank_data[[#This Row],[intresses]]-bank_data[[#This Row],[losses]]</f>
        <v>-59.620999999999981</v>
      </c>
    </row>
    <row r="117" spans="1:9" x14ac:dyDescent="0.25">
      <c r="A117">
        <v>116</v>
      </c>
      <c r="B117">
        <v>1298.7</v>
      </c>
      <c r="C117">
        <v>12</v>
      </c>
      <c r="D117">
        <v>-2.5</v>
      </c>
      <c r="E117">
        <v>3.86226</v>
      </c>
      <c r="F117">
        <v>1.3605</v>
      </c>
      <c r="G117">
        <v>255.869</v>
      </c>
      <c r="H117">
        <v>327.79300000000001</v>
      </c>
      <c r="I117" s="8">
        <f>bank_data[[#This Row],[intresses]]-bank_data[[#This Row],[losses]]</f>
        <v>-71.924000000000007</v>
      </c>
    </row>
    <row r="118" spans="1:9" x14ac:dyDescent="0.25">
      <c r="A118">
        <v>117</v>
      </c>
      <c r="B118">
        <v>1232.7</v>
      </c>
      <c r="C118">
        <v>12</v>
      </c>
      <c r="D118">
        <v>-2.5</v>
      </c>
      <c r="E118">
        <v>4.4630900000000002</v>
      </c>
      <c r="F118">
        <v>0.70484599999999997</v>
      </c>
      <c r="G118">
        <v>247.518</v>
      </c>
      <c r="H118">
        <v>313.50900000000001</v>
      </c>
      <c r="I118" s="8">
        <f>bank_data[[#This Row],[intresses]]-bank_data[[#This Row],[losses]]</f>
        <v>-65.991000000000014</v>
      </c>
    </row>
    <row r="119" spans="1:9" x14ac:dyDescent="0.25">
      <c r="A119">
        <v>118</v>
      </c>
      <c r="B119">
        <v>1186.53</v>
      </c>
      <c r="C119">
        <v>12</v>
      </c>
      <c r="D119">
        <v>-2.5</v>
      </c>
      <c r="E119">
        <v>5.0133900000000002</v>
      </c>
      <c r="F119">
        <v>2.3624300000000001E-2</v>
      </c>
      <c r="G119">
        <v>238.916</v>
      </c>
      <c r="H119">
        <v>285.089</v>
      </c>
      <c r="I119" s="8">
        <f>bank_data[[#This Row],[intresses]]-bank_data[[#This Row],[losses]]</f>
        <v>-46.173000000000002</v>
      </c>
    </row>
    <row r="120" spans="1:9" x14ac:dyDescent="0.25">
      <c r="A120">
        <v>119</v>
      </c>
      <c r="B120">
        <v>1089.53</v>
      </c>
      <c r="C120">
        <v>12</v>
      </c>
      <c r="D120">
        <v>-2.5</v>
      </c>
      <c r="E120">
        <v>5.1993999999999998</v>
      </c>
      <c r="F120">
        <v>-0.26181700000000002</v>
      </c>
      <c r="G120">
        <v>220.06399999999999</v>
      </c>
      <c r="H120">
        <v>317.06599999999997</v>
      </c>
      <c r="I120" s="8">
        <f>bank_data[[#This Row],[intresses]]-bank_data[[#This Row],[losses]]</f>
        <v>-97.001999999999981</v>
      </c>
    </row>
    <row r="121" spans="1:9" x14ac:dyDescent="0.25">
      <c r="A121">
        <v>120</v>
      </c>
      <c r="B121">
        <v>1018.43</v>
      </c>
      <c r="C121">
        <v>12</v>
      </c>
      <c r="D121">
        <v>-2.5</v>
      </c>
      <c r="E121">
        <v>5.21075</v>
      </c>
      <c r="F121">
        <v>-0.28495199999999998</v>
      </c>
      <c r="G121">
        <v>206.83699999999999</v>
      </c>
      <c r="H121">
        <v>277.935</v>
      </c>
      <c r="I121" s="8">
        <f>bank_data[[#This Row],[intresses]]-bank_data[[#This Row],[losses]]</f>
        <v>-71.098000000000013</v>
      </c>
    </row>
    <row r="122" spans="1:9" x14ac:dyDescent="0.25">
      <c r="A122">
        <v>121</v>
      </c>
      <c r="B122">
        <v>949.90200000000004</v>
      </c>
      <c r="C122">
        <v>12</v>
      </c>
      <c r="D122">
        <v>-2.5</v>
      </c>
      <c r="E122">
        <v>5.16892</v>
      </c>
      <c r="F122">
        <v>-0.25472699999999998</v>
      </c>
      <c r="G122">
        <v>193.12899999999999</v>
      </c>
      <c r="H122">
        <v>261.65800000000002</v>
      </c>
      <c r="I122" s="8">
        <f>bank_data[[#This Row],[intresses]]-bank_data[[#This Row],[losses]]</f>
        <v>-68.529000000000025</v>
      </c>
    </row>
    <row r="123" spans="1:9" x14ac:dyDescent="0.25">
      <c r="A123">
        <v>122</v>
      </c>
      <c r="B123">
        <v>882.846</v>
      </c>
      <c r="C123">
        <v>12</v>
      </c>
      <c r="D123">
        <v>-2.5</v>
      </c>
      <c r="E123">
        <v>5.3392900000000001</v>
      </c>
      <c r="F123">
        <v>-0.42049900000000001</v>
      </c>
      <c r="G123">
        <v>180.14500000000001</v>
      </c>
      <c r="H123">
        <v>247.2</v>
      </c>
      <c r="I123" s="8">
        <f>bank_data[[#This Row],[intresses]]-bank_data[[#This Row],[losses]]</f>
        <v>-67.054999999999978</v>
      </c>
    </row>
    <row r="124" spans="1:9" x14ac:dyDescent="0.25">
      <c r="A124">
        <v>123</v>
      </c>
      <c r="B124">
        <v>821.00099999999998</v>
      </c>
      <c r="C124">
        <v>12</v>
      </c>
      <c r="D124">
        <v>-2.5</v>
      </c>
      <c r="E124">
        <v>5.46394</v>
      </c>
      <c r="F124">
        <v>-0.54817700000000003</v>
      </c>
      <c r="G124">
        <v>168.23099999999999</v>
      </c>
      <c r="H124">
        <v>230.07599999999999</v>
      </c>
      <c r="I124" s="8">
        <f>bank_data[[#This Row],[intresses]]-bank_data[[#This Row],[losses]]</f>
        <v>-61.844999999999999</v>
      </c>
    </row>
    <row r="125" spans="1:9" x14ac:dyDescent="0.25">
      <c r="A125">
        <v>124</v>
      </c>
      <c r="B125">
        <v>757.00599999999997</v>
      </c>
      <c r="C125">
        <v>12</v>
      </c>
      <c r="D125">
        <v>-2.5</v>
      </c>
      <c r="E125">
        <v>5.4570100000000004</v>
      </c>
      <c r="F125">
        <v>-0.47994700000000001</v>
      </c>
      <c r="G125">
        <v>155.68</v>
      </c>
      <c r="H125">
        <v>219.67500000000001</v>
      </c>
      <c r="I125" s="8">
        <f>bank_data[[#This Row],[intresses]]-bank_data[[#This Row],[losses]]</f>
        <v>-63.995000000000005</v>
      </c>
    </row>
    <row r="126" spans="1:9" x14ac:dyDescent="0.25">
      <c r="A126">
        <v>125</v>
      </c>
      <c r="B126">
        <v>694.60799999999995</v>
      </c>
      <c r="C126">
        <v>12</v>
      </c>
      <c r="D126">
        <v>-2.5</v>
      </c>
      <c r="E126">
        <v>5.4370099999999999</v>
      </c>
      <c r="F126">
        <v>-0.43529800000000002</v>
      </c>
      <c r="G126">
        <v>143.071</v>
      </c>
      <c r="H126">
        <v>205.46899999999999</v>
      </c>
      <c r="I126" s="8">
        <f>bank_data[[#This Row],[intresses]]-bank_data[[#This Row],[losses]]</f>
        <v>-62.397999999999996</v>
      </c>
    </row>
    <row r="127" spans="1:9" x14ac:dyDescent="0.25">
      <c r="A127">
        <v>126</v>
      </c>
      <c r="B127">
        <v>649.779</v>
      </c>
      <c r="C127">
        <v>12</v>
      </c>
      <c r="D127">
        <v>-2.5</v>
      </c>
      <c r="E127">
        <v>5.5746799999999999</v>
      </c>
      <c r="F127">
        <v>-0.56276800000000005</v>
      </c>
      <c r="G127">
        <v>134.191</v>
      </c>
      <c r="H127">
        <v>179.02099999999999</v>
      </c>
      <c r="I127" s="8">
        <f>bank_data[[#This Row],[intresses]]-bank_data[[#This Row],[losses]]</f>
        <v>-44.829999999999984</v>
      </c>
    </row>
    <row r="128" spans="1:9" x14ac:dyDescent="0.25">
      <c r="A128">
        <v>127</v>
      </c>
      <c r="B128">
        <v>593.36199999999997</v>
      </c>
      <c r="C128">
        <v>12</v>
      </c>
      <c r="D128">
        <v>-2.5</v>
      </c>
      <c r="E128">
        <v>5.2852300000000003</v>
      </c>
      <c r="F128">
        <v>-0.34699999999999998</v>
      </c>
      <c r="G128">
        <v>122.818</v>
      </c>
      <c r="H128">
        <v>179.23500000000001</v>
      </c>
      <c r="I128" s="8">
        <f>bank_data[[#This Row],[intresses]]-bank_data[[#This Row],[losses]]</f>
        <v>-56.417000000000016</v>
      </c>
    </row>
    <row r="129" spans="1:9" x14ac:dyDescent="0.25">
      <c r="A129">
        <v>128</v>
      </c>
      <c r="B129">
        <v>558.56799999999998</v>
      </c>
      <c r="C129">
        <v>12</v>
      </c>
      <c r="D129">
        <v>-2.5</v>
      </c>
      <c r="E129">
        <v>4.8958300000000001</v>
      </c>
      <c r="F129">
        <v>-0.29025699999999999</v>
      </c>
      <c r="G129">
        <v>116.1</v>
      </c>
      <c r="H129">
        <v>150.89500000000001</v>
      </c>
      <c r="I129" s="8">
        <f>bank_data[[#This Row],[intresses]]-bank_data[[#This Row],[losses]]</f>
        <v>-34.795000000000016</v>
      </c>
    </row>
    <row r="130" spans="1:9" x14ac:dyDescent="0.25">
      <c r="A130">
        <v>129</v>
      </c>
      <c r="B130">
        <v>478.90100000000001</v>
      </c>
      <c r="C130">
        <v>12</v>
      </c>
      <c r="D130">
        <v>-2.5</v>
      </c>
      <c r="E130">
        <v>4.5346500000000001</v>
      </c>
      <c r="F130">
        <v>-0.38958300000000001</v>
      </c>
      <c r="G130">
        <v>100.264</v>
      </c>
      <c r="H130">
        <v>179.93100000000001</v>
      </c>
      <c r="I130" s="8">
        <f>bank_data[[#This Row],[intresses]]-bank_data[[#This Row],[losses]]</f>
        <v>-79.667000000000016</v>
      </c>
    </row>
    <row r="131" spans="1:9" x14ac:dyDescent="0.25">
      <c r="A131">
        <v>130</v>
      </c>
      <c r="B131">
        <v>428.79300000000001</v>
      </c>
      <c r="C131">
        <v>12</v>
      </c>
      <c r="D131">
        <v>-2.5</v>
      </c>
      <c r="E131">
        <v>4.1251300000000004</v>
      </c>
      <c r="F131">
        <v>-0.80298599999999998</v>
      </c>
      <c r="G131">
        <v>91.164000000000001</v>
      </c>
      <c r="H131">
        <v>141.27199999999999</v>
      </c>
      <c r="I131" s="8">
        <f>bank_data[[#This Row],[intresses]]-bank_data[[#This Row],[losses]]</f>
        <v>-50.10799999999999</v>
      </c>
    </row>
    <row r="132" spans="1:9" x14ac:dyDescent="0.25">
      <c r="A132">
        <v>131</v>
      </c>
      <c r="B132">
        <v>360.46899999999999</v>
      </c>
      <c r="C132">
        <v>12</v>
      </c>
      <c r="D132">
        <v>-2.5</v>
      </c>
      <c r="E132">
        <v>4.0714100000000002</v>
      </c>
      <c r="F132">
        <v>-1.3455999999999999</v>
      </c>
      <c r="G132">
        <v>78.507400000000004</v>
      </c>
      <c r="H132">
        <v>146.83199999999999</v>
      </c>
      <c r="I132" s="8">
        <f>bank_data[[#This Row],[intresses]]-bank_data[[#This Row],[losses]]</f>
        <v>-68.32459999999999</v>
      </c>
    </row>
    <row r="133" spans="1:9" x14ac:dyDescent="0.25">
      <c r="A133">
        <v>132</v>
      </c>
      <c r="B133">
        <v>299.01</v>
      </c>
      <c r="C133">
        <v>12</v>
      </c>
      <c r="D133">
        <v>-2.5</v>
      </c>
      <c r="E133">
        <v>4.6847799999999999</v>
      </c>
      <c r="F133">
        <v>-2.4384800000000002</v>
      </c>
      <c r="G133">
        <v>67.395899999999997</v>
      </c>
      <c r="H133">
        <v>128.85499999999999</v>
      </c>
      <c r="I133" s="8">
        <f>bank_data[[#This Row],[intresses]]-bank_data[[#This Row],[losses]]</f>
        <v>-61.459099999999992</v>
      </c>
    </row>
    <row r="134" spans="1:9" x14ac:dyDescent="0.25">
      <c r="A134">
        <v>133</v>
      </c>
      <c r="B134">
        <v>240.215</v>
      </c>
      <c r="C134">
        <v>12</v>
      </c>
      <c r="D134">
        <v>-2.5</v>
      </c>
      <c r="E134">
        <v>5.0308200000000003</v>
      </c>
      <c r="F134">
        <v>-3.2617699999999998</v>
      </c>
      <c r="G134">
        <v>57.168999999999997</v>
      </c>
      <c r="H134">
        <v>115.96299999999999</v>
      </c>
      <c r="I134" s="8">
        <f>bank_data[[#This Row],[intresses]]-bank_data[[#This Row],[losses]]</f>
        <v>-58.793999999999997</v>
      </c>
    </row>
    <row r="135" spans="1:9" x14ac:dyDescent="0.25">
      <c r="A135">
        <v>134</v>
      </c>
      <c r="B135">
        <v>176.76</v>
      </c>
      <c r="C135">
        <v>12</v>
      </c>
      <c r="D135">
        <v>-2.5</v>
      </c>
      <c r="E135">
        <v>6.0097500000000004</v>
      </c>
      <c r="F135">
        <v>-4.6068600000000002</v>
      </c>
      <c r="G135">
        <v>46.634399999999999</v>
      </c>
      <c r="H135">
        <v>110.09</v>
      </c>
      <c r="I135" s="8">
        <f>bank_data[[#This Row],[intresses]]-bank_data[[#This Row],[losses]]</f>
        <v>-63.455600000000004</v>
      </c>
    </row>
    <row r="136" spans="1:9" x14ac:dyDescent="0.25">
      <c r="A136">
        <v>135</v>
      </c>
      <c r="B136">
        <v>103.17700000000001</v>
      </c>
      <c r="C136">
        <v>12</v>
      </c>
      <c r="D136">
        <v>-2.5</v>
      </c>
      <c r="E136">
        <v>6.3578999999999999</v>
      </c>
      <c r="F136">
        <v>-5.2395500000000004</v>
      </c>
      <c r="G136">
        <v>35.415100000000002</v>
      </c>
      <c r="H136">
        <v>108.997</v>
      </c>
      <c r="I136" s="8">
        <f>bank_data[[#This Row],[intresses]]-bank_data[[#This Row],[losses]]</f>
        <v>-73.58189999999999</v>
      </c>
    </row>
    <row r="137" spans="1:9" x14ac:dyDescent="0.25">
      <c r="A137">
        <v>136</v>
      </c>
      <c r="B137">
        <v>48.381</v>
      </c>
      <c r="C137">
        <v>12</v>
      </c>
      <c r="D137">
        <v>-2.5</v>
      </c>
      <c r="E137">
        <v>5.9418499999999996</v>
      </c>
      <c r="F137">
        <v>-5.04514</v>
      </c>
      <c r="G137">
        <v>25.970500000000001</v>
      </c>
      <c r="H137">
        <v>80.766999999999996</v>
      </c>
      <c r="I137" s="8">
        <f>bank_data[[#This Row],[intresses]]-bank_data[[#This Row],[losses]]</f>
        <v>-54.796499999999995</v>
      </c>
    </row>
    <row r="138" spans="1:9" x14ac:dyDescent="0.25">
      <c r="A138">
        <v>137</v>
      </c>
      <c r="B138">
        <v>-17.910299999999999</v>
      </c>
      <c r="C138">
        <v>12</v>
      </c>
      <c r="D138">
        <v>-2.5</v>
      </c>
      <c r="E138">
        <v>5.0329600000000001</v>
      </c>
      <c r="F138">
        <v>-4.3469899999999999</v>
      </c>
      <c r="G138">
        <v>19.307400000000001</v>
      </c>
      <c r="H138">
        <v>85.598699999999994</v>
      </c>
      <c r="I138" s="8">
        <f>bank_data[[#This Row],[intresses]]-bank_data[[#This Row],[losses]]</f>
        <v>-66.291299999999993</v>
      </c>
    </row>
    <row r="139" spans="1:9" x14ac:dyDescent="0.25">
      <c r="A139">
        <v>138</v>
      </c>
      <c r="B139">
        <v>-106.79900000000001</v>
      </c>
      <c r="C139">
        <v>12</v>
      </c>
      <c r="D139">
        <v>-2.5</v>
      </c>
      <c r="E139">
        <v>4.16852</v>
      </c>
      <c r="F139">
        <v>-3.49072</v>
      </c>
      <c r="G139">
        <v>13.4588</v>
      </c>
      <c r="H139">
        <v>102.348</v>
      </c>
      <c r="I139" s="8">
        <f>bank_data[[#This Row],[intresses]]-bank_data[[#This Row],[losses]]</f>
        <v>-88.889200000000002</v>
      </c>
    </row>
    <row r="140" spans="1:9" x14ac:dyDescent="0.25">
      <c r="A140">
        <v>139</v>
      </c>
      <c r="B140">
        <v>-154.86000000000001</v>
      </c>
      <c r="C140">
        <v>12</v>
      </c>
      <c r="D140">
        <v>-2.5</v>
      </c>
      <c r="E140">
        <v>3.63246</v>
      </c>
      <c r="F140">
        <v>-2.9228499999999999</v>
      </c>
      <c r="G140">
        <v>11.2852</v>
      </c>
      <c r="H140">
        <v>59.346299999999999</v>
      </c>
      <c r="I140" s="8">
        <f>bank_data[[#This Row],[intresses]]-bank_data[[#This Row],[losses]]</f>
        <v>-48.061099999999996</v>
      </c>
    </row>
    <row r="141" spans="1:9" x14ac:dyDescent="0.25">
      <c r="A141">
        <v>140</v>
      </c>
      <c r="B141">
        <v>-237.97</v>
      </c>
      <c r="C141">
        <v>12</v>
      </c>
      <c r="D141">
        <v>-2.5</v>
      </c>
      <c r="E141">
        <v>3.1407400000000001</v>
      </c>
      <c r="F141">
        <v>-2.3679100000000002</v>
      </c>
      <c r="G141">
        <v>8.2447700000000008</v>
      </c>
      <c r="H141">
        <v>91.354399999999998</v>
      </c>
      <c r="I141" s="8">
        <f>bank_data[[#This Row],[intresses]]-bank_data[[#This Row],[losses]]</f>
        <v>-83.109629999999996</v>
      </c>
    </row>
    <row r="142" spans="1:9" x14ac:dyDescent="0.25">
      <c r="A142">
        <v>141</v>
      </c>
      <c r="B142">
        <v>-285.23</v>
      </c>
      <c r="C142">
        <v>12</v>
      </c>
      <c r="D142">
        <v>-2.5</v>
      </c>
      <c r="E142">
        <v>3.06345</v>
      </c>
      <c r="F142">
        <v>-2.0918800000000002</v>
      </c>
      <c r="G142">
        <v>6.4940800000000003</v>
      </c>
      <c r="H142">
        <v>53.7547</v>
      </c>
      <c r="I142" s="8">
        <f>bank_data[[#This Row],[intresses]]-bank_data[[#This Row],[losses]]</f>
        <v>-47.260620000000003</v>
      </c>
    </row>
    <row r="143" spans="1:9" x14ac:dyDescent="0.25">
      <c r="A143">
        <v>142</v>
      </c>
      <c r="B143">
        <v>-344.19200000000001</v>
      </c>
      <c r="C143">
        <v>12</v>
      </c>
      <c r="D143">
        <v>-2.5</v>
      </c>
      <c r="E143">
        <v>3.0154700000000001</v>
      </c>
      <c r="F143">
        <v>-1.8709899999999999</v>
      </c>
      <c r="G143">
        <v>5.2694000000000001</v>
      </c>
      <c r="H143">
        <v>64.231399999999994</v>
      </c>
      <c r="I143" s="8">
        <f>bank_data[[#This Row],[intresses]]-bank_data[[#This Row],[losses]]</f>
        <v>-58.961999999999996</v>
      </c>
    </row>
    <row r="144" spans="1:9" x14ac:dyDescent="0.25">
      <c r="A144">
        <v>143</v>
      </c>
      <c r="B144">
        <v>-411.71899999999999</v>
      </c>
      <c r="C144">
        <v>12</v>
      </c>
      <c r="D144">
        <v>-2.5</v>
      </c>
      <c r="E144">
        <v>2.98786</v>
      </c>
      <c r="F144">
        <v>-1.6064000000000001</v>
      </c>
      <c r="G144">
        <v>4.1622000000000003</v>
      </c>
      <c r="H144">
        <v>71.6892</v>
      </c>
      <c r="I144" s="8">
        <f>bank_data[[#This Row],[intresses]]-bank_data[[#This Row],[losses]]</f>
        <v>-67.527000000000001</v>
      </c>
    </row>
    <row r="145" spans="1:9" x14ac:dyDescent="0.25">
      <c r="A145">
        <v>144</v>
      </c>
      <c r="B145">
        <v>-470.67399999999998</v>
      </c>
      <c r="C145">
        <v>12</v>
      </c>
      <c r="D145">
        <v>-2.5</v>
      </c>
      <c r="E145">
        <v>3.19895</v>
      </c>
      <c r="F145">
        <v>-1.4933799999999999</v>
      </c>
      <c r="G145">
        <v>3.4332699999999998</v>
      </c>
      <c r="H145">
        <v>62.387999999999998</v>
      </c>
      <c r="I145" s="8">
        <f>bank_data[[#This Row],[intresses]]-bank_data[[#This Row],[losses]]</f>
        <v>-58.954729999999998</v>
      </c>
    </row>
    <row r="146" spans="1:9" x14ac:dyDescent="0.25">
      <c r="A146">
        <v>145</v>
      </c>
      <c r="B146">
        <v>-530.29600000000005</v>
      </c>
      <c r="C146">
        <v>12</v>
      </c>
      <c r="D146">
        <v>-2.5</v>
      </c>
      <c r="E146">
        <v>3.29339</v>
      </c>
      <c r="F146">
        <v>-1.2930999999999999</v>
      </c>
      <c r="G146">
        <v>3.0626000000000002</v>
      </c>
      <c r="H146">
        <v>62.684100000000001</v>
      </c>
      <c r="I146" s="8">
        <f>bank_data[[#This Row],[intresses]]-bank_data[[#This Row],[losses]]</f>
        <v>-59.621499999999997</v>
      </c>
    </row>
    <row r="147" spans="1:9" x14ac:dyDescent="0.25">
      <c r="A147">
        <v>146</v>
      </c>
      <c r="B147">
        <v>-599.08000000000004</v>
      </c>
      <c r="C147">
        <v>12</v>
      </c>
      <c r="D147">
        <v>-2.5</v>
      </c>
      <c r="E147">
        <v>3.3289200000000001</v>
      </c>
      <c r="F147">
        <v>-1.1214200000000001</v>
      </c>
      <c r="G147">
        <v>2.3169200000000001</v>
      </c>
      <c r="H147">
        <v>71.101600000000005</v>
      </c>
      <c r="I147" s="8">
        <f>bank_data[[#This Row],[intresses]]-bank_data[[#This Row],[losses]]</f>
        <v>-68.784680000000009</v>
      </c>
    </row>
    <row r="148" spans="1:9" x14ac:dyDescent="0.25">
      <c r="A148">
        <v>147</v>
      </c>
      <c r="B148">
        <v>-660.26099999999997</v>
      </c>
      <c r="C148">
        <v>12</v>
      </c>
      <c r="D148">
        <v>-2.5</v>
      </c>
      <c r="E148">
        <v>3.2820299999999998</v>
      </c>
      <c r="F148">
        <v>-0.91905999999999999</v>
      </c>
      <c r="G148">
        <v>1.9464300000000001</v>
      </c>
      <c r="H148">
        <v>63.126800000000003</v>
      </c>
      <c r="I148" s="8">
        <f>bank_data[[#This Row],[intresses]]-bank_data[[#This Row],[losses]]</f>
        <v>-61.180370000000003</v>
      </c>
    </row>
    <row r="149" spans="1:9" x14ac:dyDescent="0.25">
      <c r="A149">
        <v>148</v>
      </c>
      <c r="B149">
        <v>-714.56200000000001</v>
      </c>
      <c r="C149">
        <v>12</v>
      </c>
      <c r="D149">
        <v>-2.5</v>
      </c>
      <c r="E149">
        <v>3.2033</v>
      </c>
      <c r="F149">
        <v>-0.70734900000000001</v>
      </c>
      <c r="G149">
        <v>1.3680000000000001</v>
      </c>
      <c r="H149">
        <v>55.669800000000002</v>
      </c>
      <c r="I149" s="8">
        <f>bank_data[[#This Row],[intresses]]-bank_data[[#This Row],[losses]]</f>
        <v>-54.3018</v>
      </c>
    </row>
    <row r="150" spans="1:9" x14ac:dyDescent="0.25">
      <c r="A150">
        <v>149</v>
      </c>
      <c r="B150">
        <v>-782.34299999999996</v>
      </c>
      <c r="C150">
        <v>12</v>
      </c>
      <c r="D150">
        <v>-2.5</v>
      </c>
      <c r="E150">
        <v>3.18913</v>
      </c>
      <c r="F150">
        <v>-0.54166199999999998</v>
      </c>
      <c r="G150">
        <v>1.1596900000000001</v>
      </c>
      <c r="H150">
        <v>68.940200000000004</v>
      </c>
      <c r="I150" s="8">
        <f>bank_data[[#This Row],[intresses]]-bank_data[[#This Row],[losses]]</f>
        <v>-67.780510000000007</v>
      </c>
    </row>
    <row r="151" spans="1:9" x14ac:dyDescent="0.25">
      <c r="A151">
        <v>150</v>
      </c>
      <c r="B151">
        <v>-837.92100000000005</v>
      </c>
      <c r="C151">
        <v>12</v>
      </c>
      <c r="D151">
        <v>-2.5</v>
      </c>
      <c r="E151">
        <v>3.29284</v>
      </c>
      <c r="F151">
        <v>-0.478686</v>
      </c>
      <c r="G151">
        <v>0.79604200000000003</v>
      </c>
      <c r="H151">
        <v>56.373699999999999</v>
      </c>
      <c r="I151" s="8">
        <f>bank_data[[#This Row],[intresses]]-bank_data[[#This Row],[losses]]</f>
        <v>-55.577658</v>
      </c>
    </row>
    <row r="152" spans="1:9" x14ac:dyDescent="0.25">
      <c r="A152">
        <v>151</v>
      </c>
      <c r="B152">
        <v>-893.18700000000001</v>
      </c>
      <c r="C152">
        <v>12</v>
      </c>
      <c r="D152">
        <v>-2.5</v>
      </c>
      <c r="E152">
        <v>3.2409699999999999</v>
      </c>
      <c r="F152">
        <v>-0.29998900000000001</v>
      </c>
      <c r="G152">
        <v>0.67330599999999996</v>
      </c>
      <c r="H152">
        <v>55.940100000000001</v>
      </c>
      <c r="I152" s="8">
        <f>bank_data[[#This Row],[intresses]]-bank_data[[#This Row],[losses]]</f>
        <v>-55.266794000000004</v>
      </c>
    </row>
    <row r="153" spans="1:9" x14ac:dyDescent="0.25">
      <c r="A153">
        <v>152</v>
      </c>
      <c r="B153">
        <v>-953.78399999999999</v>
      </c>
      <c r="C153">
        <v>12</v>
      </c>
      <c r="D153">
        <v>-2.5</v>
      </c>
      <c r="E153">
        <v>3.1634500000000001</v>
      </c>
      <c r="F153">
        <v>-0.110627</v>
      </c>
      <c r="G153">
        <v>0.51968599999999998</v>
      </c>
      <c r="H153">
        <v>61.116100000000003</v>
      </c>
      <c r="I153" s="8">
        <f>bank_data[[#This Row],[intresses]]-bank_data[[#This Row],[losses]]</f>
        <v>-60.596414000000003</v>
      </c>
    </row>
    <row r="154" spans="1:9" x14ac:dyDescent="0.25">
      <c r="A154">
        <v>153</v>
      </c>
      <c r="B154">
        <v>-1011.82</v>
      </c>
      <c r="C154">
        <v>12</v>
      </c>
      <c r="D154">
        <v>-2.5</v>
      </c>
      <c r="E154">
        <v>3.18085</v>
      </c>
      <c r="F154">
        <v>3.5831599999999998E-2</v>
      </c>
      <c r="G154">
        <v>0.49370199999999997</v>
      </c>
      <c r="H154">
        <v>58.5289</v>
      </c>
      <c r="I154" s="8">
        <f>bank_data[[#This Row],[intresses]]-bank_data[[#This Row],[losses]]</f>
        <v>-58.035198000000001</v>
      </c>
    </row>
    <row r="155" spans="1:9" x14ac:dyDescent="0.25">
      <c r="A155">
        <v>154</v>
      </c>
      <c r="B155">
        <v>-1075.19</v>
      </c>
      <c r="C155">
        <v>12</v>
      </c>
      <c r="D155">
        <v>-2.5</v>
      </c>
      <c r="E155">
        <v>3.1899199999999999</v>
      </c>
      <c r="F155">
        <v>0.18560699999999999</v>
      </c>
      <c r="G155">
        <v>0.46901700000000002</v>
      </c>
      <c r="H155">
        <v>63.840800000000002</v>
      </c>
      <c r="I155" s="8">
        <f>bank_data[[#This Row],[intresses]]-bank_data[[#This Row],[losses]]</f>
        <v>-63.371783000000001</v>
      </c>
    </row>
    <row r="156" spans="1:9" x14ac:dyDescent="0.25">
      <c r="A156">
        <v>155</v>
      </c>
      <c r="B156">
        <v>-1133.51</v>
      </c>
      <c r="C156">
        <v>12</v>
      </c>
      <c r="D156">
        <v>-2.5</v>
      </c>
      <c r="E156">
        <v>3.2308699999999999</v>
      </c>
      <c r="F156">
        <v>0.29166500000000001</v>
      </c>
      <c r="G156">
        <v>0.44556600000000002</v>
      </c>
      <c r="H156">
        <v>58.761899999999997</v>
      </c>
      <c r="I156" s="8">
        <f>bank_data[[#This Row],[intresses]]-bank_data[[#This Row],[losses]]</f>
        <v>-58.316333999999998</v>
      </c>
    </row>
    <row r="157" spans="1:9" x14ac:dyDescent="0.25">
      <c r="A157">
        <v>156</v>
      </c>
      <c r="B157">
        <v>-1201.3900000000001</v>
      </c>
      <c r="C157">
        <v>12</v>
      </c>
      <c r="D157">
        <v>-2.5</v>
      </c>
      <c r="E157">
        <v>3.26444</v>
      </c>
      <c r="F157">
        <v>0.38421699999999998</v>
      </c>
      <c r="G157">
        <v>0.256442</v>
      </c>
      <c r="H157">
        <v>68.143100000000004</v>
      </c>
      <c r="I157" s="8">
        <f>bank_data[[#This Row],[intresses]]-bank_data[[#This Row],[losses]]</f>
        <v>-67.886657999999997</v>
      </c>
    </row>
    <row r="158" spans="1:9" x14ac:dyDescent="0.25">
      <c r="A158">
        <v>157</v>
      </c>
      <c r="B158">
        <v>-1238.82</v>
      </c>
      <c r="C158">
        <v>12</v>
      </c>
      <c r="D158">
        <v>-2.5</v>
      </c>
      <c r="E158">
        <v>3.3168099999999998</v>
      </c>
      <c r="F158">
        <v>0.50159600000000004</v>
      </c>
      <c r="G158">
        <v>0.24362</v>
      </c>
      <c r="H158">
        <v>37.667499999999997</v>
      </c>
      <c r="I158" s="8">
        <f>bank_data[[#This Row],[intresses]]-bank_data[[#This Row],[losses]]</f>
        <v>-37.423879999999997</v>
      </c>
    </row>
    <row r="159" spans="1:9" x14ac:dyDescent="0.25">
      <c r="A159">
        <v>158</v>
      </c>
      <c r="B159">
        <v>-1304.77</v>
      </c>
      <c r="C159">
        <v>12</v>
      </c>
      <c r="D159">
        <v>-2.5</v>
      </c>
      <c r="E159">
        <v>3.3586100000000001</v>
      </c>
      <c r="F159">
        <v>0.63069200000000003</v>
      </c>
      <c r="G159">
        <v>0.23143900000000001</v>
      </c>
      <c r="H159">
        <v>66.1858</v>
      </c>
      <c r="I159" s="8">
        <f>bank_data[[#This Row],[intresses]]-bank_data[[#This Row],[losses]]</f>
        <v>-65.954361000000006</v>
      </c>
    </row>
    <row r="160" spans="1:9" x14ac:dyDescent="0.25">
      <c r="A160">
        <v>159</v>
      </c>
      <c r="B160">
        <v>-1364.01</v>
      </c>
      <c r="C160">
        <v>12</v>
      </c>
      <c r="D160">
        <v>-2.5</v>
      </c>
      <c r="E160">
        <v>3.4706600000000001</v>
      </c>
      <c r="F160">
        <v>0.722441</v>
      </c>
      <c r="G160">
        <v>0.13386799999999999</v>
      </c>
      <c r="H160">
        <v>59.375900000000001</v>
      </c>
      <c r="I160" s="8">
        <f>bank_data[[#This Row],[intresses]]-bank_data[[#This Row],[losses]]</f>
        <v>-59.242032000000002</v>
      </c>
    </row>
    <row r="161" spans="1:9" x14ac:dyDescent="0.25">
      <c r="A161">
        <v>160</v>
      </c>
      <c r="B161">
        <v>-1409.99</v>
      </c>
      <c r="C161">
        <v>12</v>
      </c>
      <c r="D161">
        <v>-2.5</v>
      </c>
      <c r="E161">
        <v>3.47709</v>
      </c>
      <c r="F161">
        <v>0.84755499999999995</v>
      </c>
      <c r="G161">
        <v>0.12717500000000001</v>
      </c>
      <c r="H161">
        <v>46.101799999999997</v>
      </c>
      <c r="I161" s="8">
        <f>bank_data[[#This Row],[intresses]]-bank_data[[#This Row],[losses]]</f>
        <v>-45.974624999999996</v>
      </c>
    </row>
    <row r="162" spans="1:9" x14ac:dyDescent="0.25">
      <c r="A162">
        <v>161</v>
      </c>
      <c r="B162">
        <v>-1454.49</v>
      </c>
      <c r="C162">
        <v>12</v>
      </c>
      <c r="D162">
        <v>-2.5</v>
      </c>
      <c r="E162">
        <v>3.5035699999999999</v>
      </c>
      <c r="F162">
        <v>0.95581799999999995</v>
      </c>
      <c r="G162">
        <v>7.1160899999999999E-2</v>
      </c>
      <c r="H162">
        <v>44.570900000000002</v>
      </c>
      <c r="I162" s="8">
        <f>bank_data[[#This Row],[intresses]]-bank_data[[#This Row],[losses]]</f>
        <v>-44.499739099999999</v>
      </c>
    </row>
    <row r="163" spans="1:9" x14ac:dyDescent="0.25">
      <c r="A163">
        <v>162</v>
      </c>
      <c r="B163">
        <v>-1533.4</v>
      </c>
      <c r="C163">
        <v>12</v>
      </c>
      <c r="D163">
        <v>-2.5</v>
      </c>
      <c r="E163">
        <v>3.5359400000000001</v>
      </c>
      <c r="F163">
        <v>1.0058</v>
      </c>
      <c r="G163">
        <v>6.7602899999999994E-2</v>
      </c>
      <c r="H163">
        <v>78.982100000000003</v>
      </c>
      <c r="I163" s="8">
        <f>bank_data[[#This Row],[intresses]]-bank_data[[#This Row],[losses]]</f>
        <v>-78.914497100000006</v>
      </c>
    </row>
    <row r="164" spans="1:9" x14ac:dyDescent="0.25">
      <c r="A164">
        <v>163</v>
      </c>
      <c r="B164">
        <v>-1596.14</v>
      </c>
      <c r="C164">
        <v>12</v>
      </c>
      <c r="D164">
        <v>-2.5</v>
      </c>
      <c r="E164">
        <v>3.5327000000000002</v>
      </c>
      <c r="F164">
        <v>1.0874699999999999</v>
      </c>
      <c r="G164">
        <v>6.4222699999999994E-2</v>
      </c>
      <c r="H164">
        <v>62.806199999999997</v>
      </c>
      <c r="I164" s="8">
        <f>bank_data[[#This Row],[intresses]]-bank_data[[#This Row],[losses]]</f>
        <v>-62.741977299999995</v>
      </c>
    </row>
    <row r="165" spans="1:9" x14ac:dyDescent="0.25">
      <c r="A165">
        <v>164</v>
      </c>
      <c r="B165">
        <v>-1655.85</v>
      </c>
      <c r="C165">
        <v>12</v>
      </c>
      <c r="D165">
        <v>-2.5</v>
      </c>
      <c r="E165">
        <v>3.5373100000000002</v>
      </c>
      <c r="F165">
        <v>1.19293</v>
      </c>
      <c r="G165">
        <v>6.1011599999999999E-2</v>
      </c>
      <c r="H165">
        <v>59.763100000000001</v>
      </c>
      <c r="I165" s="8">
        <f>bank_data[[#This Row],[intresses]]-bank_data[[#This Row],[losses]]</f>
        <v>-59.702088400000001</v>
      </c>
    </row>
    <row r="166" spans="1:9" x14ac:dyDescent="0.25">
      <c r="A166">
        <v>165</v>
      </c>
      <c r="B166">
        <v>-1713.79</v>
      </c>
      <c r="C166">
        <v>12</v>
      </c>
      <c r="D166">
        <v>-2.5</v>
      </c>
      <c r="E166">
        <v>3.52033</v>
      </c>
      <c r="F166">
        <v>1.28393</v>
      </c>
      <c r="G166">
        <v>5.7960999999999999E-2</v>
      </c>
      <c r="H166">
        <v>58.004899999999999</v>
      </c>
      <c r="I166" s="8">
        <f>bank_data[[#This Row],[intresses]]-bank_data[[#This Row],[losses]]</f>
        <v>-57.946939</v>
      </c>
    </row>
    <row r="167" spans="1:9" x14ac:dyDescent="0.25">
      <c r="A167">
        <v>166</v>
      </c>
      <c r="B167">
        <v>-1757.01</v>
      </c>
      <c r="C167">
        <v>12</v>
      </c>
      <c r="D167">
        <v>-2.5</v>
      </c>
      <c r="E167">
        <v>3.4959500000000001</v>
      </c>
      <c r="F167">
        <v>1.3750199999999999</v>
      </c>
      <c r="G167">
        <v>5.5063000000000001E-2</v>
      </c>
      <c r="H167">
        <v>43.269100000000002</v>
      </c>
      <c r="I167" s="8">
        <f>bank_data[[#This Row],[intresses]]-bank_data[[#This Row],[losses]]</f>
        <v>-43.214037000000005</v>
      </c>
    </row>
    <row r="168" spans="1:9" x14ac:dyDescent="0.25">
      <c r="A168">
        <v>167</v>
      </c>
      <c r="B168">
        <v>-1830.64</v>
      </c>
      <c r="C168">
        <v>12</v>
      </c>
      <c r="D168">
        <v>-2.5</v>
      </c>
      <c r="E168">
        <v>3.5027499999999998</v>
      </c>
      <c r="F168">
        <v>1.3943000000000001</v>
      </c>
      <c r="G168">
        <v>5.2309799999999997E-2</v>
      </c>
      <c r="H168">
        <v>73.686800000000005</v>
      </c>
      <c r="I168" s="8">
        <f>bank_data[[#This Row],[intresses]]-bank_data[[#This Row],[losses]]</f>
        <v>-73.634490200000002</v>
      </c>
    </row>
    <row r="169" spans="1:9" x14ac:dyDescent="0.25">
      <c r="A169">
        <v>168</v>
      </c>
      <c r="B169">
        <v>-1882.05</v>
      </c>
      <c r="C169">
        <v>12</v>
      </c>
      <c r="D169">
        <v>-2.5</v>
      </c>
      <c r="E169">
        <v>3.4855499999999999</v>
      </c>
      <c r="F169">
        <v>1.43007</v>
      </c>
      <c r="G169">
        <v>4.9694299999999997E-2</v>
      </c>
      <c r="H169">
        <v>51.457500000000003</v>
      </c>
      <c r="I169" s="8">
        <f>bank_data[[#This Row],[intresses]]-bank_data[[#This Row],[losses]]</f>
        <v>-51.407805700000004</v>
      </c>
    </row>
    <row r="170" spans="1:9" x14ac:dyDescent="0.25">
      <c r="A170">
        <v>169</v>
      </c>
      <c r="B170">
        <v>-1949.33</v>
      </c>
      <c r="C170">
        <v>12</v>
      </c>
      <c r="D170">
        <v>-2.5</v>
      </c>
      <c r="E170">
        <v>3.4655999999999998</v>
      </c>
      <c r="F170">
        <v>1.4986299999999999</v>
      </c>
      <c r="G170">
        <v>4.7209599999999997E-2</v>
      </c>
      <c r="H170">
        <v>67.322299999999998</v>
      </c>
      <c r="I170" s="8">
        <f>bank_data[[#This Row],[intresses]]-bank_data[[#This Row],[losses]]</f>
        <v>-67.275090399999996</v>
      </c>
    </row>
    <row r="171" spans="1:9" x14ac:dyDescent="0.25">
      <c r="A171">
        <v>170</v>
      </c>
      <c r="B171">
        <v>-2000.37</v>
      </c>
      <c r="C171">
        <v>12</v>
      </c>
      <c r="D171">
        <v>-2.5</v>
      </c>
      <c r="E171">
        <v>3.4702099999999998</v>
      </c>
      <c r="F171">
        <v>1.52898</v>
      </c>
      <c r="G171">
        <v>4.4849100000000003E-2</v>
      </c>
      <c r="H171">
        <v>51.084899999999998</v>
      </c>
      <c r="I171" s="8">
        <f>bank_data[[#This Row],[intresses]]-bank_data[[#This Row],[losses]]</f>
        <v>-51.040050899999997</v>
      </c>
    </row>
    <row r="172" spans="1:9" x14ac:dyDescent="0.25">
      <c r="A172">
        <v>171</v>
      </c>
      <c r="B172">
        <v>-2054.9499999999998</v>
      </c>
      <c r="C172">
        <v>12</v>
      </c>
      <c r="D172">
        <v>-2.5</v>
      </c>
      <c r="E172">
        <v>3.4086799999999999</v>
      </c>
      <c r="F172">
        <v>1.63571</v>
      </c>
      <c r="G172">
        <v>4.2606699999999997E-2</v>
      </c>
      <c r="H172">
        <v>54.630299999999998</v>
      </c>
      <c r="I172" s="8">
        <f>bank_data[[#This Row],[intresses]]-bank_data[[#This Row],[losses]]</f>
        <v>-54.587693299999998</v>
      </c>
    </row>
    <row r="173" spans="1:9" x14ac:dyDescent="0.25">
      <c r="A173">
        <v>172</v>
      </c>
      <c r="B173">
        <v>-2115.1999999999998</v>
      </c>
      <c r="C173">
        <v>12</v>
      </c>
      <c r="D173">
        <v>-2.5</v>
      </c>
      <c r="E173">
        <v>3.3482699999999999</v>
      </c>
      <c r="F173">
        <v>1.71973</v>
      </c>
      <c r="G173">
        <v>4.04763E-2</v>
      </c>
      <c r="H173">
        <v>60.288200000000003</v>
      </c>
      <c r="I173" s="8">
        <f>bank_data[[#This Row],[intresses]]-bank_data[[#This Row],[losses]]</f>
        <v>-60.247723700000002</v>
      </c>
    </row>
    <row r="174" spans="1:9" x14ac:dyDescent="0.25">
      <c r="A174">
        <v>173</v>
      </c>
      <c r="B174">
        <v>-2151.7399999999998</v>
      </c>
      <c r="C174">
        <v>12</v>
      </c>
      <c r="D174">
        <v>-2.5</v>
      </c>
      <c r="E174">
        <v>3.3255400000000002</v>
      </c>
      <c r="F174">
        <v>1.7775000000000001</v>
      </c>
      <c r="G174">
        <v>3.8452500000000001E-2</v>
      </c>
      <c r="H174">
        <v>36.575600000000001</v>
      </c>
      <c r="I174" s="8">
        <f>bank_data[[#This Row],[intresses]]-bank_data[[#This Row],[losses]]</f>
        <v>-36.537147500000003</v>
      </c>
    </row>
    <row r="175" spans="1:9" x14ac:dyDescent="0.25">
      <c r="A175">
        <v>174</v>
      </c>
      <c r="B175">
        <v>-2228.85</v>
      </c>
      <c r="C175">
        <v>12</v>
      </c>
      <c r="D175">
        <v>-2.5</v>
      </c>
      <c r="E175">
        <v>3.2923</v>
      </c>
      <c r="F175">
        <v>1.8485400000000001</v>
      </c>
      <c r="G175">
        <v>3.6529899999999997E-2</v>
      </c>
      <c r="H175">
        <v>77.147499999999994</v>
      </c>
      <c r="I175" s="8">
        <f>bank_data[[#This Row],[intresses]]-bank_data[[#This Row],[losses]]</f>
        <v>-77.110970099999989</v>
      </c>
    </row>
    <row r="176" spans="1:9" x14ac:dyDescent="0.25">
      <c r="A176">
        <v>175</v>
      </c>
      <c r="B176">
        <v>-2284.3200000000002</v>
      </c>
      <c r="C176">
        <v>12</v>
      </c>
      <c r="D176">
        <v>-2.5</v>
      </c>
      <c r="E176">
        <v>3.2899799999999999</v>
      </c>
      <c r="F176">
        <v>1.8702300000000001</v>
      </c>
      <c r="G176">
        <v>3.4703400000000002E-2</v>
      </c>
      <c r="H176">
        <v>55.505600000000001</v>
      </c>
      <c r="I176" s="8">
        <f>bank_data[[#This Row],[intresses]]-bank_data[[#This Row],[losses]]</f>
        <v>-55.470896600000003</v>
      </c>
    </row>
    <row r="177" spans="1:9" x14ac:dyDescent="0.25">
      <c r="A177">
        <v>176</v>
      </c>
      <c r="B177">
        <v>-2344.3200000000002</v>
      </c>
      <c r="C177">
        <v>12</v>
      </c>
      <c r="D177">
        <v>-2.5</v>
      </c>
      <c r="E177">
        <v>3.28695</v>
      </c>
      <c r="F177">
        <v>1.9099699999999999</v>
      </c>
      <c r="G177">
        <v>2.8347899999999999E-2</v>
      </c>
      <c r="H177">
        <v>60.032299999999999</v>
      </c>
      <c r="I177" s="8">
        <f>bank_data[[#This Row],[intresses]]-bank_data[[#This Row],[losses]]</f>
        <v>-60.003952099999999</v>
      </c>
    </row>
    <row r="178" spans="1:9" x14ac:dyDescent="0.25">
      <c r="A178">
        <v>177</v>
      </c>
      <c r="B178">
        <v>-2418.2600000000002</v>
      </c>
      <c r="C178">
        <v>12</v>
      </c>
      <c r="D178">
        <v>-2.5</v>
      </c>
      <c r="E178">
        <v>3.2573699999999999</v>
      </c>
      <c r="F178">
        <v>1.94509</v>
      </c>
      <c r="G178">
        <v>2.69305E-2</v>
      </c>
      <c r="H178">
        <v>73.9589</v>
      </c>
      <c r="I178" s="8">
        <f>bank_data[[#This Row],[intresses]]-bank_data[[#This Row],[losses]]</f>
        <v>-73.931969499999994</v>
      </c>
    </row>
    <row r="179" spans="1:9" x14ac:dyDescent="0.25">
      <c r="A179">
        <v>178</v>
      </c>
      <c r="B179">
        <v>-2499.38</v>
      </c>
      <c r="C179">
        <v>12</v>
      </c>
      <c r="D179">
        <v>-2.5</v>
      </c>
      <c r="E179">
        <v>3.20642</v>
      </c>
      <c r="F179">
        <v>2.0005600000000001</v>
      </c>
      <c r="G179">
        <v>2.5583999999999999E-2</v>
      </c>
      <c r="H179">
        <v>81.146799999999999</v>
      </c>
      <c r="I179" s="8">
        <f>bank_data[[#This Row],[intresses]]-bank_data[[#This Row],[losses]]</f>
        <v>-81.121216000000004</v>
      </c>
    </row>
    <row r="180" spans="1:9" x14ac:dyDescent="0.25">
      <c r="A180">
        <v>179</v>
      </c>
      <c r="B180">
        <v>-2574.54</v>
      </c>
      <c r="C180">
        <v>12</v>
      </c>
      <c r="D180">
        <v>-2.5</v>
      </c>
      <c r="E180">
        <v>3.2219600000000002</v>
      </c>
      <c r="F180">
        <v>1.99868</v>
      </c>
      <c r="G180">
        <v>2.4304800000000001E-2</v>
      </c>
      <c r="H180">
        <v>75.189499999999995</v>
      </c>
      <c r="I180" s="8">
        <f>bank_data[[#This Row],[intresses]]-bank_data[[#This Row],[losses]]</f>
        <v>-75.165195199999999</v>
      </c>
    </row>
    <row r="181" spans="1:9" x14ac:dyDescent="0.25">
      <c r="A181">
        <v>180</v>
      </c>
      <c r="B181">
        <v>-2638.55</v>
      </c>
      <c r="C181">
        <v>12</v>
      </c>
      <c r="D181">
        <v>-2.5</v>
      </c>
      <c r="E181">
        <v>3.20696</v>
      </c>
      <c r="F181">
        <v>2.0230700000000001</v>
      </c>
      <c r="G181">
        <v>2.3089599999999998E-2</v>
      </c>
      <c r="H181">
        <v>64.032499999999999</v>
      </c>
      <c r="I181" s="8">
        <f>bank_data[[#This Row],[intresses]]-bank_data[[#This Row],[losses]]</f>
        <v>-64.009410399999993</v>
      </c>
    </row>
    <row r="182" spans="1:9" x14ac:dyDescent="0.25">
      <c r="A182">
        <v>181</v>
      </c>
      <c r="B182">
        <v>-2701.14</v>
      </c>
      <c r="C182">
        <v>12</v>
      </c>
      <c r="D182">
        <v>-2.5</v>
      </c>
      <c r="E182">
        <v>3.1727300000000001</v>
      </c>
      <c r="F182">
        <v>2.0641600000000002</v>
      </c>
      <c r="G182">
        <v>2.1935099999999999E-2</v>
      </c>
      <c r="H182">
        <v>62.6111</v>
      </c>
      <c r="I182" s="8">
        <f>bank_data[[#This Row],[intresses]]-bank_data[[#This Row],[losses]]</f>
        <v>-62.5891649</v>
      </c>
    </row>
    <row r="183" spans="1:9" x14ac:dyDescent="0.25">
      <c r="A183">
        <v>182</v>
      </c>
      <c r="B183">
        <v>-2781.11</v>
      </c>
      <c r="C183">
        <v>12</v>
      </c>
      <c r="D183">
        <v>-2.5</v>
      </c>
      <c r="E183">
        <v>3.1525400000000001</v>
      </c>
      <c r="F183">
        <v>2.0929799999999998</v>
      </c>
      <c r="G183">
        <v>2.0838300000000001E-2</v>
      </c>
      <c r="H183">
        <v>79.994399999999999</v>
      </c>
      <c r="I183" s="8">
        <f>bank_data[[#This Row],[intresses]]-bank_data[[#This Row],[losses]]</f>
        <v>-79.973561700000005</v>
      </c>
    </row>
    <row r="184" spans="1:9" x14ac:dyDescent="0.25">
      <c r="A184">
        <v>183</v>
      </c>
      <c r="B184">
        <v>-2838.55</v>
      </c>
      <c r="C184">
        <v>12</v>
      </c>
      <c r="D184">
        <v>-2.5</v>
      </c>
      <c r="E184">
        <v>3.0996199999999998</v>
      </c>
      <c r="F184">
        <v>2.16466</v>
      </c>
      <c r="G184">
        <v>3.7312399999999998E-3</v>
      </c>
      <c r="H184">
        <v>57.442300000000003</v>
      </c>
      <c r="I184" s="8">
        <f>bank_data[[#This Row],[intresses]]-bank_data[[#This Row],[losses]]</f>
        <v>-57.438568760000003</v>
      </c>
    </row>
    <row r="185" spans="1:9" x14ac:dyDescent="0.25">
      <c r="A185">
        <v>184</v>
      </c>
      <c r="B185">
        <v>-2926.34</v>
      </c>
      <c r="C185">
        <v>12</v>
      </c>
      <c r="D185">
        <v>-2.5</v>
      </c>
      <c r="E185">
        <v>3.0646100000000001</v>
      </c>
      <c r="F185">
        <v>2.22072</v>
      </c>
      <c r="G185">
        <v>3.5446800000000001E-3</v>
      </c>
      <c r="H185">
        <v>87.786000000000001</v>
      </c>
      <c r="I185" s="8">
        <f>bank_data[[#This Row],[intresses]]-bank_data[[#This Row],[losses]]</f>
        <v>-87.782455319999997</v>
      </c>
    </row>
    <row r="186" spans="1:9" x14ac:dyDescent="0.25">
      <c r="A186">
        <v>185</v>
      </c>
      <c r="B186">
        <v>-2997.85</v>
      </c>
      <c r="C186">
        <v>12</v>
      </c>
      <c r="D186">
        <v>-2.5</v>
      </c>
      <c r="E186">
        <v>2.99492</v>
      </c>
      <c r="F186">
        <v>2.3075899999999998</v>
      </c>
      <c r="G186">
        <v>3.3674400000000002E-3</v>
      </c>
      <c r="H186">
        <v>71.518199999999993</v>
      </c>
      <c r="I186" s="8">
        <f>bank_data[[#This Row],[intresses]]-bank_data[[#This Row],[losses]]</f>
        <v>-71.514832559999988</v>
      </c>
    </row>
    <row r="187" spans="1:9" x14ac:dyDescent="0.25">
      <c r="A187">
        <v>186</v>
      </c>
      <c r="B187">
        <v>-3061.68</v>
      </c>
      <c r="C187">
        <v>12</v>
      </c>
      <c r="D187">
        <v>-2.5</v>
      </c>
      <c r="E187">
        <v>2.93682</v>
      </c>
      <c r="F187">
        <v>2.3854899999999999</v>
      </c>
      <c r="G187">
        <v>3.19907E-3</v>
      </c>
      <c r="H187">
        <v>63.833100000000002</v>
      </c>
      <c r="I187" s="8">
        <f>bank_data[[#This Row],[intresses]]-bank_data[[#This Row],[losses]]</f>
        <v>-63.829900930000001</v>
      </c>
    </row>
    <row r="188" spans="1:9" x14ac:dyDescent="0.25">
      <c r="A188">
        <v>187</v>
      </c>
      <c r="B188">
        <v>-3131.97</v>
      </c>
      <c r="C188">
        <v>12</v>
      </c>
      <c r="D188">
        <v>-2.5</v>
      </c>
      <c r="E188">
        <v>2.9031099999999999</v>
      </c>
      <c r="F188">
        <v>2.4436800000000001</v>
      </c>
      <c r="G188">
        <v>3.0391200000000002E-3</v>
      </c>
      <c r="H188">
        <v>70.296400000000006</v>
      </c>
      <c r="I188" s="8">
        <f>bank_data[[#This Row],[intresses]]-bank_data[[#This Row],[losses]]</f>
        <v>-70.293360880000009</v>
      </c>
    </row>
    <row r="189" spans="1:9" x14ac:dyDescent="0.25">
      <c r="A189">
        <v>188</v>
      </c>
      <c r="B189">
        <v>-3208.92</v>
      </c>
      <c r="C189">
        <v>12</v>
      </c>
      <c r="D189">
        <v>-2.5</v>
      </c>
      <c r="E189">
        <v>2.84877</v>
      </c>
      <c r="F189">
        <v>2.5214400000000001</v>
      </c>
      <c r="G189">
        <v>2.8871600000000002E-3</v>
      </c>
      <c r="H189">
        <v>76.951599999999999</v>
      </c>
      <c r="I189" s="8">
        <f>bank_data[[#This Row],[intresses]]-bank_data[[#This Row],[losses]]</f>
        <v>-76.948712839999999</v>
      </c>
    </row>
    <row r="190" spans="1:9" x14ac:dyDescent="0.25">
      <c r="A190">
        <v>189</v>
      </c>
      <c r="B190">
        <v>-3276.45</v>
      </c>
      <c r="C190">
        <v>12</v>
      </c>
      <c r="D190">
        <v>-2.5</v>
      </c>
      <c r="E190">
        <v>2.78403</v>
      </c>
      <c r="F190">
        <v>2.6103700000000001</v>
      </c>
      <c r="G190">
        <v>2.7428000000000001E-3</v>
      </c>
      <c r="H190">
        <v>67.528099999999995</v>
      </c>
      <c r="I190" s="8">
        <f>bank_data[[#This Row],[intresses]]-bank_data[[#This Row],[losses]]</f>
        <v>-67.525357200000002</v>
      </c>
    </row>
    <row r="191" spans="1:9" x14ac:dyDescent="0.25">
      <c r="A191">
        <v>190</v>
      </c>
      <c r="B191">
        <v>-3359.59</v>
      </c>
      <c r="C191">
        <v>12</v>
      </c>
      <c r="D191">
        <v>-2.5</v>
      </c>
      <c r="E191">
        <v>2.7779799999999999</v>
      </c>
      <c r="F191">
        <v>2.61612</v>
      </c>
      <c r="G191">
        <v>2.6056600000000001E-3</v>
      </c>
      <c r="H191">
        <v>83.1494</v>
      </c>
      <c r="I191" s="8">
        <f>bank_data[[#This Row],[intresses]]-bank_data[[#This Row],[losses]]</f>
        <v>-83.14679434</v>
      </c>
    </row>
    <row r="192" spans="1:9" x14ac:dyDescent="0.25">
      <c r="A192">
        <v>191</v>
      </c>
      <c r="B192">
        <v>-3432.89</v>
      </c>
      <c r="C192">
        <v>12</v>
      </c>
      <c r="D192">
        <v>-2.5</v>
      </c>
      <c r="E192">
        <v>2.6228500000000001</v>
      </c>
      <c r="F192">
        <v>2.8241900000000002</v>
      </c>
      <c r="G192">
        <v>2.4753800000000001E-3</v>
      </c>
      <c r="H192">
        <v>73.300600000000003</v>
      </c>
      <c r="I192" s="8">
        <f>bank_data[[#This Row],[intresses]]-bank_data[[#This Row],[losses]]</f>
        <v>-73.298124619999996</v>
      </c>
    </row>
    <row r="193" spans="1:9" x14ac:dyDescent="0.25">
      <c r="A193">
        <v>192</v>
      </c>
      <c r="B193">
        <v>-3530.96</v>
      </c>
      <c r="C193">
        <v>12</v>
      </c>
      <c r="D193">
        <v>-2.5</v>
      </c>
      <c r="E193">
        <v>2.58568</v>
      </c>
      <c r="F193">
        <v>2.8780800000000002</v>
      </c>
      <c r="G193">
        <v>2.3516100000000001E-3</v>
      </c>
      <c r="H193">
        <v>98.066100000000006</v>
      </c>
      <c r="I193" s="8">
        <f>bank_data[[#This Row],[intresses]]-bank_data[[#This Row],[losses]]</f>
        <v>-98.063748390000001</v>
      </c>
    </row>
    <row r="194" spans="1:9" x14ac:dyDescent="0.25">
      <c r="A194">
        <v>193</v>
      </c>
      <c r="B194">
        <v>-3619.19</v>
      </c>
      <c r="C194">
        <v>12</v>
      </c>
      <c r="D194">
        <v>-2.5</v>
      </c>
      <c r="E194">
        <v>2.53782</v>
      </c>
      <c r="F194">
        <v>2.9423599999999999</v>
      </c>
      <c r="G194">
        <v>2.2340300000000001E-3</v>
      </c>
      <c r="H194">
        <v>88.231999999999999</v>
      </c>
      <c r="I194" s="8">
        <f>bank_data[[#This Row],[intresses]]-bank_data[[#This Row],[losses]]</f>
        <v>-88.229765970000003</v>
      </c>
    </row>
    <row r="195" spans="1:9" x14ac:dyDescent="0.25">
      <c r="A195">
        <v>194</v>
      </c>
      <c r="B195">
        <v>-3711.36</v>
      </c>
      <c r="C195">
        <v>12</v>
      </c>
      <c r="D195">
        <v>-2.5</v>
      </c>
      <c r="E195">
        <v>2.5195099999999999</v>
      </c>
      <c r="F195">
        <v>2.9820899999999999</v>
      </c>
      <c r="G195">
        <v>2.12233E-3</v>
      </c>
      <c r="H195">
        <v>92.175600000000003</v>
      </c>
      <c r="I195" s="8">
        <f>bank_data[[#This Row],[intresses]]-bank_data[[#This Row],[losses]]</f>
        <v>-92.173477669999997</v>
      </c>
    </row>
    <row r="196" spans="1:9" x14ac:dyDescent="0.25">
      <c r="A196">
        <v>195</v>
      </c>
      <c r="B196">
        <v>-3822.54</v>
      </c>
      <c r="C196">
        <v>12</v>
      </c>
      <c r="D196">
        <v>-2.5</v>
      </c>
      <c r="E196">
        <v>2.4564400000000002</v>
      </c>
      <c r="F196">
        <v>3.0623999999999998</v>
      </c>
      <c r="G196">
        <v>2.0162100000000001E-3</v>
      </c>
      <c r="H196">
        <v>111.18300000000001</v>
      </c>
      <c r="I196" s="8">
        <f>bank_data[[#This Row],[intresses]]-bank_data[[#This Row],[losses]]</f>
        <v>-111.18098379000001</v>
      </c>
    </row>
    <row r="197" spans="1:9" x14ac:dyDescent="0.25">
      <c r="A197">
        <v>196</v>
      </c>
      <c r="B197">
        <v>-3909.13</v>
      </c>
      <c r="C197">
        <v>12</v>
      </c>
      <c r="D197">
        <v>-2.5</v>
      </c>
      <c r="E197">
        <v>2.1044900000000002</v>
      </c>
      <c r="F197">
        <v>3.18282</v>
      </c>
      <c r="G197">
        <v>1.9154E-3</v>
      </c>
      <c r="H197">
        <v>86.588099999999997</v>
      </c>
      <c r="I197" s="8">
        <f>bank_data[[#This Row],[intresses]]-bank_data[[#This Row],[losses]]</f>
        <v>-86.586184599999996</v>
      </c>
    </row>
    <row r="198" spans="1:9" x14ac:dyDescent="0.25">
      <c r="A198">
        <v>197</v>
      </c>
      <c r="B198">
        <v>-4005.39</v>
      </c>
      <c r="C198">
        <v>12</v>
      </c>
      <c r="D198">
        <v>-2.5</v>
      </c>
      <c r="E198">
        <v>2.0423399999999998</v>
      </c>
      <c r="F198">
        <v>3.2572299999999998</v>
      </c>
      <c r="G198">
        <v>1.81963E-3</v>
      </c>
      <c r="H198">
        <v>96.264200000000002</v>
      </c>
      <c r="I198" s="8">
        <f>bank_data[[#This Row],[intresses]]-bank_data[[#This Row],[losses]]</f>
        <v>-96.262380370000002</v>
      </c>
    </row>
    <row r="199" spans="1:9" x14ac:dyDescent="0.25">
      <c r="A199">
        <v>198</v>
      </c>
      <c r="B199">
        <v>-4092.23</v>
      </c>
      <c r="C199">
        <v>12</v>
      </c>
      <c r="D199">
        <v>-2.5</v>
      </c>
      <c r="E199">
        <v>1.9981599999999999</v>
      </c>
      <c r="F199">
        <v>3.3224200000000002</v>
      </c>
      <c r="G199">
        <v>1.72865E-3</v>
      </c>
      <c r="H199">
        <v>86.843800000000002</v>
      </c>
      <c r="I199" s="8">
        <f>bank_data[[#This Row],[intresses]]-bank_data[[#This Row],[losses]]</f>
        <v>-86.842071349999998</v>
      </c>
    </row>
    <row r="200" spans="1:9" x14ac:dyDescent="0.25">
      <c r="A200">
        <v>199</v>
      </c>
      <c r="B200">
        <v>-4169.58</v>
      </c>
      <c r="C200">
        <v>12</v>
      </c>
      <c r="D200">
        <v>-2.5</v>
      </c>
      <c r="E200">
        <v>1.98939</v>
      </c>
      <c r="F200">
        <v>3.3280599999999998</v>
      </c>
      <c r="G200">
        <v>1.64222E-3</v>
      </c>
      <c r="H200">
        <v>77.3553</v>
      </c>
      <c r="I200" s="8">
        <f>bank_data[[#This Row],[intresses]]-bank_data[[#This Row],[losses]]</f>
        <v>-77.353657780000006</v>
      </c>
    </row>
    <row r="201" spans="1:9" x14ac:dyDescent="0.25">
      <c r="A201">
        <v>200</v>
      </c>
      <c r="B201">
        <v>-4273.29</v>
      </c>
      <c r="C201">
        <v>12</v>
      </c>
      <c r="D201">
        <v>-2.5</v>
      </c>
      <c r="E201">
        <v>1.97862</v>
      </c>
      <c r="F201">
        <v>3.3358599999999998</v>
      </c>
      <c r="G201">
        <v>1.56011E-3</v>
      </c>
      <c r="H201">
        <v>103.706</v>
      </c>
      <c r="I201" s="8">
        <f>bank_data[[#This Row],[intresses]]-bank_data[[#This Row],[losses]]</f>
        <v>-103.70443989</v>
      </c>
    </row>
    <row r="202" spans="1:9" x14ac:dyDescent="0.25">
      <c r="A202">
        <v>201</v>
      </c>
      <c r="B202">
        <v>-4374.4799999999996</v>
      </c>
      <c r="C202">
        <v>12</v>
      </c>
      <c r="D202">
        <v>-2.5</v>
      </c>
      <c r="E202">
        <v>1.9173800000000001</v>
      </c>
      <c r="F202">
        <v>3.4163100000000002</v>
      </c>
      <c r="G202">
        <v>2.0048E-4</v>
      </c>
      <c r="H202">
        <v>101.18600000000001</v>
      </c>
      <c r="I202" s="8">
        <f>bank_data[[#This Row],[intresses]]-bank_data[[#This Row],[losses]]</f>
        <v>-101.18579952</v>
      </c>
    </row>
    <row r="203" spans="1:9" x14ac:dyDescent="0.25">
      <c r="A203">
        <v>202</v>
      </c>
      <c r="B203">
        <v>-4450.7700000000004</v>
      </c>
      <c r="C203">
        <v>12</v>
      </c>
      <c r="D203">
        <v>-2.5</v>
      </c>
      <c r="E203">
        <v>1.8672800000000001</v>
      </c>
      <c r="F203">
        <v>3.4902299999999999</v>
      </c>
      <c r="G203">
        <v>1.9045600000000001E-4</v>
      </c>
      <c r="H203">
        <v>76.294899999999998</v>
      </c>
      <c r="I203" s="8">
        <f>bank_data[[#This Row],[intresses]]-bank_data[[#This Row],[losses]]</f>
        <v>-76.294709544</v>
      </c>
    </row>
    <row r="204" spans="1:9" x14ac:dyDescent="0.25">
      <c r="A204">
        <v>203</v>
      </c>
      <c r="B204">
        <v>-4573.7700000000004</v>
      </c>
      <c r="C204">
        <v>12</v>
      </c>
      <c r="D204">
        <v>-2.5</v>
      </c>
      <c r="E204">
        <v>1.8062499999999999</v>
      </c>
      <c r="F204">
        <v>3.5759099999999999</v>
      </c>
      <c r="G204">
        <v>1.8093300000000001E-4</v>
      </c>
      <c r="H204">
        <v>123.003</v>
      </c>
      <c r="I204" s="8">
        <f>bank_data[[#This Row],[intresses]]-bank_data[[#This Row],[losses]]</f>
        <v>-123.002819067</v>
      </c>
    </row>
    <row r="205" spans="1:9" x14ac:dyDescent="0.25">
      <c r="A205">
        <v>204</v>
      </c>
      <c r="B205">
        <v>-4670.5200000000004</v>
      </c>
      <c r="C205">
        <v>12</v>
      </c>
      <c r="D205">
        <v>-2.5</v>
      </c>
      <c r="E205">
        <v>1.6606300000000001</v>
      </c>
      <c r="F205">
        <v>3.7776000000000001</v>
      </c>
      <c r="G205">
        <v>1.71886E-4</v>
      </c>
      <c r="H205">
        <v>96.745900000000006</v>
      </c>
      <c r="I205" s="8">
        <f>bank_data[[#This Row],[intresses]]-bank_data[[#This Row],[losses]]</f>
        <v>-96.745728114000002</v>
      </c>
    </row>
    <row r="206" spans="1:9" x14ac:dyDescent="0.25">
      <c r="A206">
        <v>205</v>
      </c>
      <c r="B206">
        <v>-4768.72</v>
      </c>
      <c r="C206">
        <v>12</v>
      </c>
      <c r="D206">
        <v>-2.5</v>
      </c>
      <c r="E206">
        <v>1.69007</v>
      </c>
      <c r="F206">
        <v>3.7532000000000001</v>
      </c>
      <c r="G206">
        <v>1.6329199999999999E-4</v>
      </c>
      <c r="H206">
        <v>98.204099999999997</v>
      </c>
      <c r="I206" s="8">
        <f>bank_data[[#This Row],[intresses]]-bank_data[[#This Row],[losses]]</f>
        <v>-98.203936708000001</v>
      </c>
    </row>
    <row r="207" spans="1:9" x14ac:dyDescent="0.25">
      <c r="A207">
        <v>206</v>
      </c>
      <c r="B207">
        <v>-4889.97</v>
      </c>
      <c r="C207">
        <v>12</v>
      </c>
      <c r="D207">
        <v>-2.5</v>
      </c>
      <c r="E207">
        <v>1.50335</v>
      </c>
      <c r="F207">
        <v>4.0093800000000002</v>
      </c>
      <c r="G207">
        <v>1.5512699999999999E-4</v>
      </c>
      <c r="H207">
        <v>121.246</v>
      </c>
      <c r="I207" s="8">
        <f>bank_data[[#This Row],[intresses]]-bank_data[[#This Row],[losses]]</f>
        <v>-121.245844873</v>
      </c>
    </row>
    <row r="208" spans="1:9" x14ac:dyDescent="0.25">
      <c r="A208">
        <v>207</v>
      </c>
      <c r="B208">
        <v>-4996.66</v>
      </c>
      <c r="C208">
        <v>12</v>
      </c>
      <c r="D208">
        <v>-2.5</v>
      </c>
      <c r="E208">
        <v>1.3978900000000001</v>
      </c>
      <c r="F208">
        <v>4.15876</v>
      </c>
      <c r="G208">
        <v>1.4737100000000001E-4</v>
      </c>
      <c r="H208">
        <v>106.693</v>
      </c>
      <c r="I208" s="8">
        <f>bank_data[[#This Row],[intresses]]-bank_data[[#This Row],[losses]]</f>
        <v>-106.692852629</v>
      </c>
    </row>
    <row r="209" spans="1:9" x14ac:dyDescent="0.25">
      <c r="A209">
        <v>208</v>
      </c>
      <c r="B209">
        <v>-5067.83</v>
      </c>
      <c r="C209">
        <v>12</v>
      </c>
      <c r="D209">
        <v>-2.5</v>
      </c>
      <c r="E209">
        <v>1.2615799999999999</v>
      </c>
      <c r="F209">
        <v>4.3446199999999999</v>
      </c>
      <c r="G209">
        <v>1.4000199999999999E-4</v>
      </c>
      <c r="H209">
        <v>71.164900000000003</v>
      </c>
      <c r="I209" s="8">
        <f>bank_data[[#This Row],[intresses]]-bank_data[[#This Row],[losses]]</f>
        <v>-71.164759998000008</v>
      </c>
    </row>
    <row r="210" spans="1:9" x14ac:dyDescent="0.25">
      <c r="A210">
        <v>209</v>
      </c>
      <c r="B210">
        <v>-5154.6000000000004</v>
      </c>
      <c r="C210">
        <v>12</v>
      </c>
      <c r="D210">
        <v>-2.5</v>
      </c>
      <c r="E210">
        <v>1.26952</v>
      </c>
      <c r="F210">
        <v>4.3379899999999996</v>
      </c>
      <c r="G210">
        <v>1.3300200000000001E-4</v>
      </c>
      <c r="H210">
        <v>86.772499999999994</v>
      </c>
      <c r="I210" s="8">
        <f>bank_data[[#This Row],[intresses]]-bank_data[[#This Row],[losses]]</f>
        <v>-86.772366997999995</v>
      </c>
    </row>
    <row r="211" spans="1:9" x14ac:dyDescent="0.25">
      <c r="A211">
        <v>210</v>
      </c>
      <c r="B211">
        <v>-5237.37</v>
      </c>
      <c r="C211">
        <v>12</v>
      </c>
      <c r="D211">
        <v>-2.5</v>
      </c>
      <c r="E211">
        <v>1.1299600000000001</v>
      </c>
      <c r="F211">
        <v>4.5412699999999999</v>
      </c>
      <c r="G211">
        <v>1.2635200000000001E-4</v>
      </c>
      <c r="H211">
        <v>82.773399999999995</v>
      </c>
      <c r="I211" s="8">
        <f>bank_data[[#This Row],[intresses]]-bank_data[[#This Row],[losses]]</f>
        <v>-82.773273648</v>
      </c>
    </row>
    <row r="212" spans="1:9" x14ac:dyDescent="0.25">
      <c r="A212">
        <v>211</v>
      </c>
      <c r="B212">
        <v>-5346.42</v>
      </c>
      <c r="C212">
        <v>12</v>
      </c>
      <c r="D212">
        <v>-2.5</v>
      </c>
      <c r="E212">
        <v>0.96165100000000003</v>
      </c>
      <c r="F212">
        <v>4.7899500000000002</v>
      </c>
      <c r="G212">
        <v>1.20035E-4</v>
      </c>
      <c r="H212">
        <v>109.05</v>
      </c>
      <c r="I212" s="8">
        <f>bank_data[[#This Row],[intresses]]-bank_data[[#This Row],[losses]]</f>
        <v>-109.049879965</v>
      </c>
    </row>
    <row r="213" spans="1:9" x14ac:dyDescent="0.25">
      <c r="A213">
        <v>212</v>
      </c>
      <c r="B213">
        <v>-5454.66</v>
      </c>
      <c r="C213">
        <v>12</v>
      </c>
      <c r="D213">
        <v>-2.5</v>
      </c>
      <c r="E213">
        <v>1.2763899999999999</v>
      </c>
      <c r="F213">
        <v>4.89419</v>
      </c>
      <c r="G213">
        <v>1.14033E-4</v>
      </c>
      <c r="H213">
        <v>108.23399999999999</v>
      </c>
      <c r="I213" s="8">
        <f>bank_data[[#This Row],[intresses]]-bank_data[[#This Row],[losses]]</f>
        <v>-108.23388596699999</v>
      </c>
    </row>
    <row r="214" spans="1:9" x14ac:dyDescent="0.25">
      <c r="A214">
        <v>213</v>
      </c>
      <c r="B214">
        <v>-5535.23</v>
      </c>
      <c r="C214">
        <v>12</v>
      </c>
      <c r="D214">
        <v>-2.5</v>
      </c>
      <c r="E214">
        <v>1.1011299999999999</v>
      </c>
      <c r="F214">
        <v>5.2420999999999998</v>
      </c>
      <c r="G214">
        <v>1.08331E-4</v>
      </c>
      <c r="H214">
        <v>80.574799999999996</v>
      </c>
      <c r="I214" s="8">
        <f>bank_data[[#This Row],[intresses]]-bank_data[[#This Row],[losses]]</f>
        <v>-80.574691668999989</v>
      </c>
    </row>
    <row r="215" spans="1:9" x14ac:dyDescent="0.25">
      <c r="A215">
        <v>214</v>
      </c>
      <c r="B215">
        <v>-5622.78</v>
      </c>
      <c r="C215">
        <v>12</v>
      </c>
      <c r="D215">
        <v>-2.5</v>
      </c>
      <c r="E215">
        <v>0.85882700000000001</v>
      </c>
      <c r="F215">
        <v>5.74559</v>
      </c>
      <c r="G215">
        <v>1.02915E-4</v>
      </c>
      <c r="H215">
        <v>87.5518</v>
      </c>
      <c r="I215" s="8">
        <f>bank_data[[#This Row],[intresses]]-bank_data[[#This Row],[losses]]</f>
        <v>-87.551697085000001</v>
      </c>
    </row>
    <row r="216" spans="1:9" x14ac:dyDescent="0.25">
      <c r="A216">
        <v>215</v>
      </c>
      <c r="B216">
        <v>-5697.64</v>
      </c>
      <c r="C216">
        <v>12</v>
      </c>
      <c r="D216">
        <v>-2.5</v>
      </c>
      <c r="E216">
        <v>0.51757600000000004</v>
      </c>
      <c r="F216">
        <v>6.6025999999999998</v>
      </c>
      <c r="G216">
        <v>9.7768899999999998E-5</v>
      </c>
      <c r="H216">
        <v>74.859099999999998</v>
      </c>
      <c r="I216" s="8">
        <f>bank_data[[#This Row],[intresses]]-bank_data[[#This Row],[losses]]</f>
        <v>-74.859002231099993</v>
      </c>
    </row>
    <row r="217" spans="1:9" x14ac:dyDescent="0.25">
      <c r="A217">
        <v>216</v>
      </c>
      <c r="B217">
        <v>-5797.56</v>
      </c>
      <c r="C217">
        <v>12</v>
      </c>
      <c r="D217">
        <v>-2.5</v>
      </c>
      <c r="E217">
        <v>0.51757600000000004</v>
      </c>
      <c r="F217">
        <v>6.6025999999999998</v>
      </c>
      <c r="G217">
        <v>9.28805E-5</v>
      </c>
      <c r="H217">
        <v>99.921800000000005</v>
      </c>
      <c r="I217" s="8">
        <f>bank_data[[#This Row],[intresses]]-bank_data[[#This Row],[losses]]</f>
        <v>-99.921707119499999</v>
      </c>
    </row>
    <row r="218" spans="1:9" x14ac:dyDescent="0.25">
      <c r="A218">
        <v>217</v>
      </c>
      <c r="B218">
        <v>-5895.05</v>
      </c>
      <c r="C218">
        <v>12</v>
      </c>
      <c r="D218">
        <v>-2.5</v>
      </c>
      <c r="E218">
        <v>0.51757600000000004</v>
      </c>
      <c r="F218">
        <v>6.6025999999999998</v>
      </c>
      <c r="G218">
        <v>8.8236499999999995E-5</v>
      </c>
      <c r="H218">
        <v>97.489599999999996</v>
      </c>
      <c r="I218" s="8">
        <f>bank_data[[#This Row],[intresses]]-bank_data[[#This Row],[losses]]</f>
        <v>-97.489511763499991</v>
      </c>
    </row>
    <row r="219" spans="1:9" x14ac:dyDescent="0.25">
      <c r="A219">
        <v>218</v>
      </c>
      <c r="B219">
        <v>-5993.4</v>
      </c>
      <c r="C219">
        <v>12</v>
      </c>
      <c r="D219">
        <v>-2.5</v>
      </c>
      <c r="E219">
        <v>0.51757600000000004</v>
      </c>
      <c r="F219">
        <v>6.6025999999999998</v>
      </c>
      <c r="G219">
        <v>8.3824699999999997E-5</v>
      </c>
      <c r="H219">
        <v>98.347200000000001</v>
      </c>
      <c r="I219" s="8">
        <f>bank_data[[#This Row],[intresses]]-bank_data[[#This Row],[losses]]</f>
        <v>-98.347116175300002</v>
      </c>
    </row>
    <row r="220" spans="1:9" x14ac:dyDescent="0.25">
      <c r="A220">
        <v>219</v>
      </c>
      <c r="B220">
        <v>-6087.45</v>
      </c>
      <c r="C220">
        <v>12</v>
      </c>
      <c r="D220">
        <v>-2.5</v>
      </c>
      <c r="E220">
        <v>0.51757600000000004</v>
      </c>
      <c r="F220">
        <v>6.6025999999999998</v>
      </c>
      <c r="G220">
        <v>7.9633400000000002E-5</v>
      </c>
      <c r="H220">
        <v>94.048199999999994</v>
      </c>
      <c r="I220" s="8">
        <f>bank_data[[#This Row],[intresses]]-bank_data[[#This Row],[losses]]</f>
        <v>-94.048120366599989</v>
      </c>
    </row>
    <row r="221" spans="1:9" x14ac:dyDescent="0.25">
      <c r="A221">
        <v>220</v>
      </c>
      <c r="B221">
        <v>-6205.5</v>
      </c>
      <c r="C221">
        <v>12</v>
      </c>
      <c r="D221">
        <v>-2.5</v>
      </c>
      <c r="E221">
        <v>0.51757600000000004</v>
      </c>
      <c r="F221">
        <v>6.6025999999999998</v>
      </c>
      <c r="G221">
        <v>7.5651700000000006E-5</v>
      </c>
      <c r="H221">
        <v>118.04900000000001</v>
      </c>
      <c r="I221" s="8">
        <f>bank_data[[#This Row],[intresses]]-bank_data[[#This Row],[losses]]</f>
        <v>-118.04892434830001</v>
      </c>
    </row>
    <row r="222" spans="1:9" x14ac:dyDescent="0.25">
      <c r="A222">
        <v>221</v>
      </c>
      <c r="B222">
        <v>-6316.42</v>
      </c>
      <c r="C222">
        <v>12</v>
      </c>
      <c r="D222">
        <v>-2.5</v>
      </c>
      <c r="E222">
        <v>0.51757600000000004</v>
      </c>
      <c r="F222">
        <v>6.6025999999999998</v>
      </c>
      <c r="G222">
        <v>7.18692E-5</v>
      </c>
      <c r="H222">
        <v>110.92700000000001</v>
      </c>
      <c r="I222" s="8">
        <f>bank_data[[#This Row],[intresses]]-bank_data[[#This Row],[losses]]</f>
        <v>-110.92692813080001</v>
      </c>
    </row>
    <row r="223" spans="1:9" x14ac:dyDescent="0.25">
      <c r="A223">
        <v>222</v>
      </c>
      <c r="B223">
        <v>-6436.24</v>
      </c>
      <c r="C223">
        <v>12</v>
      </c>
      <c r="D223">
        <v>-2.5</v>
      </c>
      <c r="E223">
        <v>0.51757600000000004</v>
      </c>
      <c r="F223">
        <v>6.6025999999999998</v>
      </c>
      <c r="G223">
        <v>6.8275700000000001E-5</v>
      </c>
      <c r="H223">
        <v>119.819</v>
      </c>
      <c r="I223" s="8">
        <f>bank_data[[#This Row],[intresses]]-bank_data[[#This Row],[losses]]</f>
        <v>-119.8189317243</v>
      </c>
    </row>
    <row r="224" spans="1:9" x14ac:dyDescent="0.25">
      <c r="A224">
        <v>223</v>
      </c>
      <c r="B224">
        <v>-6566.56</v>
      </c>
      <c r="C224">
        <v>12</v>
      </c>
      <c r="D224">
        <v>-2.5</v>
      </c>
      <c r="E224">
        <v>0.51757600000000004</v>
      </c>
      <c r="F224">
        <v>6.6025999999999998</v>
      </c>
      <c r="G224">
        <v>6.4861899999999996E-5</v>
      </c>
      <c r="H224">
        <v>130.32300000000001</v>
      </c>
      <c r="I224" s="8">
        <f>bank_data[[#This Row],[intresses]]-bank_data[[#This Row],[losses]]</f>
        <v>-130.32293513810001</v>
      </c>
    </row>
    <row r="225" spans="1:9" x14ac:dyDescent="0.25">
      <c r="A225">
        <v>224</v>
      </c>
      <c r="B225">
        <v>-6662.59</v>
      </c>
      <c r="C225">
        <v>12</v>
      </c>
      <c r="D225">
        <v>-2.5</v>
      </c>
      <c r="E225">
        <v>0.51757600000000004</v>
      </c>
      <c r="F225">
        <v>6.6025999999999998</v>
      </c>
      <c r="G225">
        <v>6.1618799999999994E-5</v>
      </c>
      <c r="H225">
        <v>96.030500000000004</v>
      </c>
      <c r="I225" s="8">
        <f>bank_data[[#This Row],[intresses]]-bank_data[[#This Row],[losses]]</f>
        <v>-96.0304383812</v>
      </c>
    </row>
    <row r="226" spans="1:9" x14ac:dyDescent="0.25">
      <c r="A226">
        <v>225</v>
      </c>
      <c r="B226">
        <v>-6790.46</v>
      </c>
      <c r="C226">
        <v>12</v>
      </c>
      <c r="D226">
        <v>-2.5</v>
      </c>
      <c r="E226">
        <v>0.51757600000000004</v>
      </c>
      <c r="F226">
        <v>6.6025999999999998</v>
      </c>
      <c r="G226">
        <v>5.8537900000000001E-5</v>
      </c>
      <c r="H226">
        <v>127.86499999999999</v>
      </c>
      <c r="I226" s="8">
        <f>bank_data[[#This Row],[intresses]]-bank_data[[#This Row],[losses]]</f>
        <v>-127.86494146209999</v>
      </c>
    </row>
    <row r="227" spans="1:9" x14ac:dyDescent="0.25">
      <c r="A227">
        <v>226</v>
      </c>
      <c r="B227">
        <v>-6895.65</v>
      </c>
      <c r="C227">
        <v>12</v>
      </c>
      <c r="D227">
        <v>-2.5</v>
      </c>
      <c r="E227">
        <v>0.51757600000000004</v>
      </c>
      <c r="F227">
        <v>6.6025999999999998</v>
      </c>
      <c r="G227">
        <v>5.5611E-5</v>
      </c>
      <c r="H227">
        <v>105.187</v>
      </c>
      <c r="I227" s="8">
        <f>bank_data[[#This Row],[intresses]]-bank_data[[#This Row],[losses]]</f>
        <v>-105.186944389</v>
      </c>
    </row>
    <row r="228" spans="1:9" x14ac:dyDescent="0.25">
      <c r="A228">
        <v>227</v>
      </c>
      <c r="B228">
        <v>-7018</v>
      </c>
      <c r="C228">
        <v>12</v>
      </c>
      <c r="D228">
        <v>-2.5</v>
      </c>
      <c r="E228">
        <v>0.51757600000000004</v>
      </c>
      <c r="F228">
        <v>6.6025999999999998</v>
      </c>
      <c r="G228">
        <v>5.2830400000000002E-5</v>
      </c>
      <c r="H228">
        <v>122.35299999999999</v>
      </c>
      <c r="I228" s="8">
        <f>bank_data[[#This Row],[intresses]]-bank_data[[#This Row],[losses]]</f>
        <v>-122.3529471696</v>
      </c>
    </row>
    <row r="229" spans="1:9" x14ac:dyDescent="0.25">
      <c r="A229">
        <v>228</v>
      </c>
      <c r="B229">
        <v>-7104.42</v>
      </c>
      <c r="C229">
        <v>12</v>
      </c>
      <c r="D229">
        <v>-2.5</v>
      </c>
      <c r="E229">
        <v>0.51757600000000004</v>
      </c>
      <c r="F229">
        <v>6.6025999999999998</v>
      </c>
      <c r="G229">
        <v>5.0188900000000003E-5</v>
      </c>
      <c r="H229">
        <v>86.423299999999998</v>
      </c>
      <c r="I229" s="8">
        <f>bank_data[[#This Row],[intresses]]-bank_data[[#This Row],[losses]]</f>
        <v>-86.423249811099993</v>
      </c>
    </row>
    <row r="230" spans="1:9" x14ac:dyDescent="0.25">
      <c r="A230">
        <v>229</v>
      </c>
      <c r="B230">
        <v>-7209.32</v>
      </c>
      <c r="C230">
        <v>12</v>
      </c>
      <c r="D230">
        <v>-2.5</v>
      </c>
      <c r="E230">
        <v>0.51757600000000004</v>
      </c>
      <c r="F230">
        <v>6.6025999999999998</v>
      </c>
      <c r="G230">
        <v>4.7679500000000003E-5</v>
      </c>
      <c r="H230">
        <v>104.89700000000001</v>
      </c>
      <c r="I230" s="8">
        <f>bank_data[[#This Row],[intresses]]-bank_data[[#This Row],[losses]]</f>
        <v>-104.89695232050001</v>
      </c>
    </row>
    <row r="231" spans="1:9" x14ac:dyDescent="0.25">
      <c r="A231">
        <v>230</v>
      </c>
      <c r="B231">
        <v>-7321.99</v>
      </c>
      <c r="C231">
        <v>12</v>
      </c>
      <c r="D231">
        <v>-2.5</v>
      </c>
      <c r="E231">
        <v>0.51757600000000004</v>
      </c>
      <c r="F231">
        <v>6.6025999999999998</v>
      </c>
      <c r="G231">
        <v>4.52955E-5</v>
      </c>
      <c r="H231">
        <v>112.667</v>
      </c>
      <c r="I231" s="8">
        <f>bank_data[[#This Row],[intresses]]-bank_data[[#This Row],[losses]]</f>
        <v>-112.6669547045</v>
      </c>
    </row>
    <row r="232" spans="1:9" x14ac:dyDescent="0.25">
      <c r="A232">
        <v>231</v>
      </c>
      <c r="B232">
        <v>-7413.04</v>
      </c>
      <c r="C232">
        <v>12</v>
      </c>
      <c r="D232">
        <v>-2.5</v>
      </c>
      <c r="E232">
        <v>0.51757600000000004</v>
      </c>
      <c r="F232">
        <v>6.6025999999999998</v>
      </c>
      <c r="G232">
        <v>4.3030700000000001E-5</v>
      </c>
      <c r="H232">
        <v>91.050299999999993</v>
      </c>
      <c r="I232" s="8">
        <f>bank_data[[#This Row],[intresses]]-bank_data[[#This Row],[losses]]</f>
        <v>-91.050256969299994</v>
      </c>
    </row>
    <row r="233" spans="1:9" x14ac:dyDescent="0.25">
      <c r="A233">
        <v>232</v>
      </c>
      <c r="B233">
        <v>-7559.6</v>
      </c>
      <c r="C233">
        <v>12</v>
      </c>
      <c r="D233">
        <v>-2.5</v>
      </c>
      <c r="E233">
        <v>0.51757600000000004</v>
      </c>
      <c r="F233">
        <v>6.6025999999999998</v>
      </c>
      <c r="G233">
        <v>4.08792E-5</v>
      </c>
      <c r="H233">
        <v>146.566</v>
      </c>
      <c r="I233" s="8">
        <f>bank_data[[#This Row],[intresses]]-bank_data[[#This Row],[losses]]</f>
        <v>-146.56595912080002</v>
      </c>
    </row>
    <row r="234" spans="1:9" x14ac:dyDescent="0.25">
      <c r="A234">
        <v>233</v>
      </c>
      <c r="B234">
        <v>-7637.35</v>
      </c>
      <c r="C234">
        <v>12</v>
      </c>
      <c r="D234">
        <v>-2.5</v>
      </c>
      <c r="E234">
        <v>0.51757600000000004</v>
      </c>
      <c r="F234">
        <v>6.6025999999999998</v>
      </c>
      <c r="G234">
        <v>3.8835199999999997E-5</v>
      </c>
      <c r="H234">
        <v>77.742800000000003</v>
      </c>
      <c r="I234" s="8">
        <f>bank_data[[#This Row],[intresses]]-bank_data[[#This Row],[losses]]</f>
        <v>-77.742761164800001</v>
      </c>
    </row>
    <row r="235" spans="1:9" x14ac:dyDescent="0.25">
      <c r="A235">
        <v>234</v>
      </c>
      <c r="B235">
        <v>-7755.83</v>
      </c>
      <c r="C235">
        <v>12</v>
      </c>
      <c r="D235">
        <v>-2.5</v>
      </c>
      <c r="E235">
        <v>0.51757600000000004</v>
      </c>
      <c r="F235">
        <v>6.6025999999999998</v>
      </c>
      <c r="G235">
        <v>3.6893500000000002E-5</v>
      </c>
      <c r="H235">
        <v>118.482</v>
      </c>
      <c r="I235" s="8">
        <f>bank_data[[#This Row],[intresses]]-bank_data[[#This Row],[losses]]</f>
        <v>-118.4819631065</v>
      </c>
    </row>
    <row r="236" spans="1:9" x14ac:dyDescent="0.25">
      <c r="A236">
        <v>235</v>
      </c>
      <c r="B236">
        <v>-7867.64</v>
      </c>
      <c r="C236">
        <v>12</v>
      </c>
      <c r="D236">
        <v>-2.5</v>
      </c>
      <c r="E236">
        <v>0.51757600000000004</v>
      </c>
      <c r="F236">
        <v>6.6025999999999998</v>
      </c>
      <c r="G236">
        <v>3.5048800000000002E-5</v>
      </c>
      <c r="H236">
        <v>111.81100000000001</v>
      </c>
      <c r="I236" s="8">
        <f>bank_data[[#This Row],[intresses]]-bank_data[[#This Row],[losses]]</f>
        <v>-111.81096495120001</v>
      </c>
    </row>
    <row r="237" spans="1:9" x14ac:dyDescent="0.25">
      <c r="A237">
        <v>236</v>
      </c>
      <c r="B237">
        <v>-8020.56</v>
      </c>
      <c r="C237">
        <v>12</v>
      </c>
      <c r="D237">
        <v>-2.5</v>
      </c>
      <c r="E237">
        <v>0.51757600000000004</v>
      </c>
      <c r="F237">
        <v>6.6025999999999998</v>
      </c>
      <c r="G237">
        <v>3.3296400000000002E-5</v>
      </c>
      <c r="H237">
        <v>152.91900000000001</v>
      </c>
      <c r="I237" s="8">
        <f>bank_data[[#This Row],[intresses]]-bank_data[[#This Row],[losses]]</f>
        <v>-152.91896670360001</v>
      </c>
    </row>
    <row r="238" spans="1:9" x14ac:dyDescent="0.25">
      <c r="A238">
        <v>237</v>
      </c>
      <c r="B238">
        <v>-8152</v>
      </c>
      <c r="C238">
        <v>12</v>
      </c>
      <c r="D238">
        <v>-2.5</v>
      </c>
      <c r="E238">
        <v>0.51757600000000004</v>
      </c>
      <c r="F238">
        <v>6.6025999999999998</v>
      </c>
      <c r="G238">
        <v>3.1631499999999997E-5</v>
      </c>
      <c r="H238">
        <v>131.43899999999999</v>
      </c>
      <c r="I238" s="8">
        <f>bank_data[[#This Row],[intresses]]-bank_data[[#This Row],[losses]]</f>
        <v>-131.43896836849999</v>
      </c>
    </row>
    <row r="239" spans="1:9" x14ac:dyDescent="0.25">
      <c r="A239">
        <v>238</v>
      </c>
      <c r="B239">
        <v>-8307.4599999999991</v>
      </c>
      <c r="C239">
        <v>12</v>
      </c>
      <c r="D239">
        <v>-2.5</v>
      </c>
      <c r="E239">
        <v>0.51757600000000004</v>
      </c>
      <c r="F239">
        <v>6.6025999999999998</v>
      </c>
      <c r="G239">
        <v>3.0049999999999999E-5</v>
      </c>
      <c r="H239">
        <v>155.464</v>
      </c>
      <c r="I239" s="8">
        <f>bank_data[[#This Row],[intresses]]-bank_data[[#This Row],[losses]]</f>
        <v>-155.46396995000001</v>
      </c>
    </row>
    <row r="240" spans="1:9" x14ac:dyDescent="0.25">
      <c r="A240">
        <v>239</v>
      </c>
      <c r="B240">
        <v>-8427.2000000000007</v>
      </c>
      <c r="C240">
        <v>12</v>
      </c>
      <c r="D240">
        <v>-2.5</v>
      </c>
      <c r="E240">
        <v>0.51757600000000004</v>
      </c>
      <c r="F240">
        <v>6.6025999999999998</v>
      </c>
      <c r="G240">
        <v>2.8547500000000001E-5</v>
      </c>
      <c r="H240">
        <v>119.73399999999999</v>
      </c>
      <c r="I240" s="8">
        <f>bank_data[[#This Row],[intresses]]-bank_data[[#This Row],[losses]]</f>
        <v>-119.7339714525</v>
      </c>
    </row>
    <row r="241" spans="1:9" x14ac:dyDescent="0.25">
      <c r="A241">
        <v>240</v>
      </c>
      <c r="B241">
        <v>-8591.27</v>
      </c>
      <c r="C241">
        <v>12</v>
      </c>
      <c r="D241">
        <v>-2.5</v>
      </c>
      <c r="E241">
        <v>0.51757600000000004</v>
      </c>
      <c r="F241">
        <v>6.6025999999999998</v>
      </c>
      <c r="G241">
        <v>2.7120100000000001E-5</v>
      </c>
      <c r="H241">
        <v>164.077</v>
      </c>
      <c r="I241" s="8">
        <f>bank_data[[#This Row],[intresses]]-bank_data[[#This Row],[losses]]</f>
        <v>-164.07697287990001</v>
      </c>
    </row>
    <row r="242" spans="1:9" x14ac:dyDescent="0.25">
      <c r="A242">
        <v>241</v>
      </c>
      <c r="B242">
        <v>-8697.35</v>
      </c>
      <c r="C242">
        <v>12</v>
      </c>
      <c r="D242">
        <v>-2.5</v>
      </c>
      <c r="E242">
        <v>0.51757600000000004</v>
      </c>
      <c r="F242">
        <v>6.6025999999999998</v>
      </c>
      <c r="G242">
        <v>2.57641E-5</v>
      </c>
      <c r="H242">
        <v>106.07299999999999</v>
      </c>
      <c r="I242" s="8">
        <f>bank_data[[#This Row],[intresses]]-bank_data[[#This Row],[losses]]</f>
        <v>-106.07297423589999</v>
      </c>
    </row>
    <row r="243" spans="1:9" x14ac:dyDescent="0.25">
      <c r="A243">
        <v>242</v>
      </c>
      <c r="B243">
        <v>-8850</v>
      </c>
      <c r="C243">
        <v>12</v>
      </c>
      <c r="D243">
        <v>-2.5</v>
      </c>
      <c r="E243">
        <v>0.51757600000000004</v>
      </c>
      <c r="F243">
        <v>6.6025999999999998</v>
      </c>
      <c r="G243">
        <v>2.4475900000000001E-5</v>
      </c>
      <c r="H243">
        <v>152.649</v>
      </c>
      <c r="I243" s="8">
        <f>bank_data[[#This Row],[intresses]]-bank_data[[#This Row],[losses]]</f>
        <v>-152.6489755241</v>
      </c>
    </row>
    <row r="244" spans="1:9" x14ac:dyDescent="0.25">
      <c r="A244">
        <v>243</v>
      </c>
      <c r="B244">
        <v>-8990.09</v>
      </c>
      <c r="C244">
        <v>12</v>
      </c>
      <c r="D244">
        <v>-2.5</v>
      </c>
      <c r="E244">
        <v>0.51757600000000004</v>
      </c>
      <c r="F244">
        <v>6.6025999999999998</v>
      </c>
      <c r="G244">
        <v>2.3252100000000001E-5</v>
      </c>
      <c r="H244">
        <v>140.09100000000001</v>
      </c>
      <c r="I244" s="8">
        <f>bank_data[[#This Row],[intresses]]-bank_data[[#This Row],[losses]]</f>
        <v>-140.09097674790002</v>
      </c>
    </row>
    <row r="245" spans="1:9" x14ac:dyDescent="0.25">
      <c r="A245">
        <v>244</v>
      </c>
      <c r="B245">
        <v>-9140.1299999999992</v>
      </c>
      <c r="C245">
        <v>12</v>
      </c>
      <c r="D245">
        <v>-2.5</v>
      </c>
      <c r="E245">
        <v>0.51757600000000004</v>
      </c>
      <c r="F245">
        <v>6.6025999999999998</v>
      </c>
      <c r="G245">
        <v>2.2089499999999999E-5</v>
      </c>
      <c r="H245">
        <v>150.041</v>
      </c>
      <c r="I245" s="8">
        <f>bank_data[[#This Row],[intresses]]-bank_data[[#This Row],[losses]]</f>
        <v>-150.0409779105</v>
      </c>
    </row>
    <row r="246" spans="1:9" x14ac:dyDescent="0.25">
      <c r="A246">
        <v>245</v>
      </c>
      <c r="B246">
        <v>-9259.6200000000008</v>
      </c>
      <c r="C246">
        <v>12</v>
      </c>
      <c r="D246">
        <v>-2.5</v>
      </c>
      <c r="E246">
        <v>0.51757600000000004</v>
      </c>
      <c r="F246">
        <v>6.6025999999999998</v>
      </c>
      <c r="G246">
        <v>2.0985E-5</v>
      </c>
      <c r="H246">
        <v>119.49299999999999</v>
      </c>
      <c r="I246" s="8">
        <f>bank_data[[#This Row],[intresses]]-bank_data[[#This Row],[losses]]</f>
        <v>-119.49297901499999</v>
      </c>
    </row>
    <row r="247" spans="1:9" x14ac:dyDescent="0.25">
      <c r="A247">
        <v>246</v>
      </c>
      <c r="B247">
        <v>-9425.27</v>
      </c>
      <c r="C247">
        <v>12</v>
      </c>
      <c r="D247">
        <v>-2.5</v>
      </c>
      <c r="E247">
        <v>0.51757600000000004</v>
      </c>
      <c r="F247">
        <v>6.6025999999999998</v>
      </c>
      <c r="G247">
        <v>1.99358E-5</v>
      </c>
      <c r="H247">
        <v>165.655</v>
      </c>
      <c r="I247" s="8">
        <f>bank_data[[#This Row],[intresses]]-bank_data[[#This Row],[losses]]</f>
        <v>-165.6549800642</v>
      </c>
    </row>
    <row r="248" spans="1:9" x14ac:dyDescent="0.25">
      <c r="A248">
        <v>247</v>
      </c>
      <c r="B248">
        <v>-9578.9500000000007</v>
      </c>
      <c r="C248">
        <v>12</v>
      </c>
      <c r="D248">
        <v>-2.5</v>
      </c>
      <c r="E248">
        <v>0.51757600000000004</v>
      </c>
      <c r="F248">
        <v>6.6025999999999998</v>
      </c>
      <c r="G248">
        <v>1.8938999999999999E-5</v>
      </c>
      <c r="H248">
        <v>153.679</v>
      </c>
      <c r="I248" s="8">
        <f>bank_data[[#This Row],[intresses]]-bank_data[[#This Row],[losses]]</f>
        <v>-153.678981061</v>
      </c>
    </row>
    <row r="249" spans="1:9" x14ac:dyDescent="0.25">
      <c r="A249">
        <v>248</v>
      </c>
      <c r="B249">
        <v>-9676.56</v>
      </c>
      <c r="C249">
        <v>12</v>
      </c>
      <c r="D249">
        <v>-2.5</v>
      </c>
      <c r="E249">
        <v>0.51757600000000004</v>
      </c>
      <c r="F249">
        <v>6.6025999999999998</v>
      </c>
      <c r="G249">
        <v>1.7992E-5</v>
      </c>
      <c r="H249">
        <v>97.603700000000003</v>
      </c>
      <c r="I249" s="8">
        <f>bank_data[[#This Row],[intresses]]-bank_data[[#This Row],[losses]]</f>
        <v>-97.603682008000007</v>
      </c>
    </row>
    <row r="250" spans="1:9" x14ac:dyDescent="0.25">
      <c r="A250">
        <v>249</v>
      </c>
      <c r="B250">
        <v>-9799.2099999999991</v>
      </c>
      <c r="C250">
        <v>12</v>
      </c>
      <c r="D250">
        <v>-2.5</v>
      </c>
      <c r="E250">
        <v>0.51757600000000004</v>
      </c>
      <c r="F250">
        <v>6.6025999999999998</v>
      </c>
      <c r="G250">
        <v>1.7092399999999999E-5</v>
      </c>
      <c r="H250">
        <v>122.65300000000001</v>
      </c>
      <c r="I250" s="8">
        <f>bank_data[[#This Row],[intresses]]-bank_data[[#This Row],[losses]]</f>
        <v>-122.65298290760001</v>
      </c>
    </row>
    <row r="251" spans="1:9" x14ac:dyDescent="0.25">
      <c r="A251">
        <v>250</v>
      </c>
      <c r="B251">
        <v>-9949.51</v>
      </c>
      <c r="C251">
        <v>12</v>
      </c>
      <c r="D251">
        <v>-2.5</v>
      </c>
      <c r="E251">
        <v>0.51757600000000004</v>
      </c>
      <c r="F251">
        <v>6.6025999999999998</v>
      </c>
      <c r="G251">
        <v>1.6237799999999999E-5</v>
      </c>
      <c r="H251">
        <v>150.297</v>
      </c>
      <c r="I251" s="8">
        <f>bank_data[[#This Row],[intresses]]-bank_data[[#This Row],[losses]]</f>
        <v>-150.2969837622</v>
      </c>
    </row>
    <row r="252" spans="1:9" x14ac:dyDescent="0.25">
      <c r="A252">
        <v>251</v>
      </c>
      <c r="B252">
        <v>-10083.1</v>
      </c>
      <c r="C252">
        <v>12</v>
      </c>
      <c r="D252">
        <v>-2.5</v>
      </c>
      <c r="E252">
        <v>0.51757600000000004</v>
      </c>
      <c r="F252">
        <v>6.6025999999999998</v>
      </c>
      <c r="G252">
        <v>1.5425900000000001E-5</v>
      </c>
      <c r="H252">
        <v>133.54499999999999</v>
      </c>
      <c r="I252" s="8">
        <f>bank_data[[#This Row],[intresses]]-bank_data[[#This Row],[losses]]</f>
        <v>-133.5449845741</v>
      </c>
    </row>
    <row r="253" spans="1:9" x14ac:dyDescent="0.25">
      <c r="A253">
        <v>252</v>
      </c>
      <c r="B253">
        <v>-10277.799999999999</v>
      </c>
      <c r="C253">
        <v>12</v>
      </c>
      <c r="D253">
        <v>-2.5</v>
      </c>
      <c r="E253">
        <v>0.51757600000000004</v>
      </c>
      <c r="F253">
        <v>6.6025999999999998</v>
      </c>
      <c r="G253">
        <v>1.46546E-5</v>
      </c>
      <c r="H253">
        <v>194.77</v>
      </c>
      <c r="I253" s="8">
        <f>bank_data[[#This Row],[intresses]]-bank_data[[#This Row],[losses]]</f>
        <v>-194.76998534540002</v>
      </c>
    </row>
    <row r="254" spans="1:9" x14ac:dyDescent="0.25">
      <c r="A254">
        <v>253</v>
      </c>
      <c r="B254">
        <v>-10425.700000000001</v>
      </c>
      <c r="C254">
        <v>12</v>
      </c>
      <c r="D254">
        <v>-2.5</v>
      </c>
      <c r="E254">
        <v>0.51757600000000004</v>
      </c>
      <c r="F254">
        <v>6.6025999999999998</v>
      </c>
      <c r="G254">
        <v>1.39219E-5</v>
      </c>
      <c r="H254">
        <v>147.852</v>
      </c>
      <c r="I254" s="8">
        <f>bank_data[[#This Row],[intresses]]-bank_data[[#This Row],[losses]]</f>
        <v>-147.8519860781</v>
      </c>
    </row>
    <row r="255" spans="1:9" x14ac:dyDescent="0.25">
      <c r="A255">
        <v>254</v>
      </c>
      <c r="B255">
        <v>-10580.2</v>
      </c>
      <c r="C255">
        <v>12</v>
      </c>
      <c r="D255">
        <v>-2.5</v>
      </c>
      <c r="E255">
        <v>0.51757600000000004</v>
      </c>
      <c r="F255">
        <v>6.6025999999999998</v>
      </c>
      <c r="G255">
        <v>1.32258E-5</v>
      </c>
      <c r="H255">
        <v>154.53800000000001</v>
      </c>
      <c r="I255" s="8">
        <f>bank_data[[#This Row],[intresses]]-bank_data[[#This Row],[losses]]</f>
        <v>-154.53798677420002</v>
      </c>
    </row>
    <row r="256" spans="1:9" x14ac:dyDescent="0.25">
      <c r="A256">
        <v>255</v>
      </c>
      <c r="B256">
        <v>-10721.7</v>
      </c>
      <c r="C256">
        <v>12</v>
      </c>
      <c r="D256">
        <v>-2.5</v>
      </c>
      <c r="E256">
        <v>0.51757600000000004</v>
      </c>
      <c r="F256">
        <v>6.6025999999999998</v>
      </c>
      <c r="G256">
        <v>1.25645E-5</v>
      </c>
      <c r="H256">
        <v>141.50299999999999</v>
      </c>
      <c r="I256" s="8">
        <f>bank_data[[#This Row],[intresses]]-bank_data[[#This Row],[losses]]</f>
        <v>-141.50298743549999</v>
      </c>
    </row>
    <row r="257" spans="1:9" x14ac:dyDescent="0.25">
      <c r="A257">
        <v>256</v>
      </c>
      <c r="B257">
        <v>-10897.5</v>
      </c>
      <c r="C257">
        <v>12</v>
      </c>
      <c r="D257">
        <v>-2.5</v>
      </c>
      <c r="E257">
        <v>0.51757600000000004</v>
      </c>
      <c r="F257">
        <v>6.6025999999999998</v>
      </c>
      <c r="G257">
        <v>1.19363E-5</v>
      </c>
      <c r="H257">
        <v>175.792</v>
      </c>
      <c r="I257" s="8">
        <f>bank_data[[#This Row],[intresses]]-bank_data[[#This Row],[losses]]</f>
        <v>-175.79198806369999</v>
      </c>
    </row>
    <row r="258" spans="1:9" x14ac:dyDescent="0.25">
      <c r="A258">
        <v>257</v>
      </c>
      <c r="B258">
        <v>-11046.5</v>
      </c>
      <c r="C258">
        <v>12</v>
      </c>
      <c r="D258">
        <v>-2.5</v>
      </c>
      <c r="E258">
        <v>0.51757600000000004</v>
      </c>
      <c r="F258">
        <v>6.6025999999999998</v>
      </c>
      <c r="G258">
        <v>1.13395E-5</v>
      </c>
      <c r="H258">
        <v>148.95400000000001</v>
      </c>
      <c r="I258" s="8">
        <f>bank_data[[#This Row],[intresses]]-bank_data[[#This Row],[losses]]</f>
        <v>-148.95398866050002</v>
      </c>
    </row>
    <row r="259" spans="1:9" x14ac:dyDescent="0.25">
      <c r="A259">
        <v>258</v>
      </c>
      <c r="B259">
        <v>-11252.8</v>
      </c>
      <c r="C259">
        <v>12</v>
      </c>
      <c r="D259">
        <v>-2.5</v>
      </c>
      <c r="E259">
        <v>0.51757600000000004</v>
      </c>
      <c r="F259">
        <v>6.6025999999999998</v>
      </c>
      <c r="G259">
        <v>1.0772500000000001E-5</v>
      </c>
      <c r="H259">
        <v>206.36</v>
      </c>
      <c r="I259" s="8">
        <f>bank_data[[#This Row],[intresses]]-bank_data[[#This Row],[losses]]</f>
        <v>-206.35998922750002</v>
      </c>
    </row>
    <row r="260" spans="1:9" x14ac:dyDescent="0.25">
      <c r="A260">
        <v>259</v>
      </c>
      <c r="B260">
        <v>-11418.3</v>
      </c>
      <c r="C260">
        <v>12</v>
      </c>
      <c r="D260">
        <v>-2.5</v>
      </c>
      <c r="E260">
        <v>0.51757600000000004</v>
      </c>
      <c r="F260">
        <v>6.6025999999999998</v>
      </c>
      <c r="G260">
        <v>1.02339E-5</v>
      </c>
      <c r="H260">
        <v>165.43899999999999</v>
      </c>
      <c r="I260" s="8">
        <f>bank_data[[#This Row],[intresses]]-bank_data[[#This Row],[losses]]</f>
        <v>-165.43898976609998</v>
      </c>
    </row>
    <row r="261" spans="1:9" x14ac:dyDescent="0.25">
      <c r="A261">
        <v>260</v>
      </c>
      <c r="B261">
        <v>-11578.8</v>
      </c>
      <c r="C261">
        <v>12</v>
      </c>
      <c r="D261">
        <v>-2.5</v>
      </c>
      <c r="E261">
        <v>0.51757600000000004</v>
      </c>
      <c r="F261">
        <v>6.6025999999999998</v>
      </c>
      <c r="G261">
        <v>9.7221699999999994E-6</v>
      </c>
      <c r="H261">
        <v>160.5</v>
      </c>
      <c r="I261" s="8">
        <f>bank_data[[#This Row],[intresses]]-bank_data[[#This Row],[losses]]</f>
        <v>-160.49999027782999</v>
      </c>
    </row>
    <row r="262" spans="1:9" x14ac:dyDescent="0.25">
      <c r="A262">
        <v>261</v>
      </c>
      <c r="B262">
        <v>-11732.9</v>
      </c>
      <c r="C262">
        <v>12</v>
      </c>
      <c r="D262">
        <v>-2.5</v>
      </c>
      <c r="E262">
        <v>0.51757600000000004</v>
      </c>
      <c r="F262">
        <v>6.6025999999999998</v>
      </c>
      <c r="G262">
        <v>9.2360600000000001E-6</v>
      </c>
      <c r="H262">
        <v>154.124</v>
      </c>
      <c r="I262" s="8">
        <f>bank_data[[#This Row],[intresses]]-bank_data[[#This Row],[losses]]</f>
        <v>-154.12399076393999</v>
      </c>
    </row>
    <row r="263" spans="1:9" x14ac:dyDescent="0.25">
      <c r="A263">
        <v>262</v>
      </c>
      <c r="B263">
        <v>-11878.1</v>
      </c>
      <c r="C263">
        <v>12</v>
      </c>
      <c r="D263">
        <v>-2.5</v>
      </c>
      <c r="E263">
        <v>0.51757600000000004</v>
      </c>
      <c r="F263">
        <v>6.6025999999999998</v>
      </c>
      <c r="G263">
        <v>8.7742600000000006E-6</v>
      </c>
      <c r="H263">
        <v>145.261</v>
      </c>
      <c r="I263" s="8">
        <f>bank_data[[#This Row],[intresses]]-bank_data[[#This Row],[losses]]</f>
        <v>-145.26099122573999</v>
      </c>
    </row>
    <row r="264" spans="1:9" x14ac:dyDescent="0.25">
      <c r="A264">
        <v>263</v>
      </c>
      <c r="B264">
        <v>-12038</v>
      </c>
      <c r="C264">
        <v>12</v>
      </c>
      <c r="D264">
        <v>-2.5</v>
      </c>
      <c r="E264">
        <v>0.51757600000000004</v>
      </c>
      <c r="F264">
        <v>6.6025999999999998</v>
      </c>
      <c r="G264">
        <v>8.3355500000000002E-6</v>
      </c>
      <c r="H264">
        <v>159.905</v>
      </c>
      <c r="I264" s="8">
        <f>bank_data[[#This Row],[intresses]]-bank_data[[#This Row],[losses]]</f>
        <v>-159.90499166444999</v>
      </c>
    </row>
    <row r="265" spans="1:9" x14ac:dyDescent="0.25">
      <c r="A265">
        <v>264</v>
      </c>
      <c r="B265">
        <v>-12166.6</v>
      </c>
      <c r="C265">
        <v>12</v>
      </c>
      <c r="D265">
        <v>-2.5</v>
      </c>
      <c r="E265">
        <v>0.51757600000000004</v>
      </c>
      <c r="F265">
        <v>6.6025999999999998</v>
      </c>
      <c r="G265">
        <v>7.9187700000000008E-6</v>
      </c>
      <c r="H265">
        <v>128.523</v>
      </c>
      <c r="I265" s="8">
        <f>bank_data[[#This Row],[intresses]]-bank_data[[#This Row],[losses]]</f>
        <v>-128.52299208123</v>
      </c>
    </row>
    <row r="266" spans="1:9" x14ac:dyDescent="0.25">
      <c r="A266">
        <v>265</v>
      </c>
      <c r="B266">
        <v>-12311.9</v>
      </c>
      <c r="C266">
        <v>12</v>
      </c>
      <c r="D266">
        <v>-2.5</v>
      </c>
      <c r="E266">
        <v>0.51757600000000004</v>
      </c>
      <c r="F266">
        <v>6.6025999999999998</v>
      </c>
      <c r="G266">
        <v>7.5228299999999998E-6</v>
      </c>
      <c r="H266">
        <v>145.30500000000001</v>
      </c>
      <c r="I266" s="8">
        <f>bank_data[[#This Row],[intresses]]-bank_data[[#This Row],[losses]]</f>
        <v>-145.30499247717</v>
      </c>
    </row>
    <row r="267" spans="1:9" x14ac:dyDescent="0.25">
      <c r="A267">
        <v>266</v>
      </c>
      <c r="B267">
        <v>-12460.3</v>
      </c>
      <c r="C267">
        <v>12</v>
      </c>
      <c r="D267">
        <v>-2.5</v>
      </c>
      <c r="E267">
        <v>0.51757600000000004</v>
      </c>
      <c r="F267">
        <v>6.6025999999999998</v>
      </c>
      <c r="G267">
        <v>7.1466899999999998E-6</v>
      </c>
      <c r="H267">
        <v>148.45099999999999</v>
      </c>
      <c r="I267" s="8">
        <f>bank_data[[#This Row],[intresses]]-bank_data[[#This Row],[losses]]</f>
        <v>-148.45099285331</v>
      </c>
    </row>
    <row r="268" spans="1:9" x14ac:dyDescent="0.25">
      <c r="A268">
        <v>267</v>
      </c>
      <c r="B268">
        <v>-12575.7</v>
      </c>
      <c r="C268">
        <v>12</v>
      </c>
      <c r="D268">
        <v>-2.5</v>
      </c>
      <c r="E268">
        <v>0.51757600000000004</v>
      </c>
      <c r="F268">
        <v>6.6025999999999998</v>
      </c>
      <c r="G268">
        <v>6.7893499999999996E-6</v>
      </c>
      <c r="H268">
        <v>115.349</v>
      </c>
      <c r="I268" s="8">
        <f>bank_data[[#This Row],[intresses]]-bank_data[[#This Row],[losses]]</f>
        <v>-115.34899321065001</v>
      </c>
    </row>
    <row r="269" spans="1:9" x14ac:dyDescent="0.25">
      <c r="A269">
        <v>268</v>
      </c>
      <c r="B269">
        <v>-12727</v>
      </c>
      <c r="C269">
        <v>12</v>
      </c>
      <c r="D269">
        <v>-2.5</v>
      </c>
      <c r="E269">
        <v>0.51757600000000004</v>
      </c>
      <c r="F269">
        <v>6.6025999999999998</v>
      </c>
      <c r="G269">
        <v>6.44989E-6</v>
      </c>
      <c r="H269">
        <v>151.33699999999999</v>
      </c>
      <c r="I269" s="8">
        <f>bank_data[[#This Row],[intresses]]-bank_data[[#This Row],[losses]]</f>
        <v>-151.33699355010998</v>
      </c>
    </row>
    <row r="270" spans="1:9" x14ac:dyDescent="0.25">
      <c r="A270">
        <v>269</v>
      </c>
      <c r="B270">
        <v>-12856.8</v>
      </c>
      <c r="C270">
        <v>12</v>
      </c>
      <c r="D270">
        <v>-2.5</v>
      </c>
      <c r="E270">
        <v>0.51757600000000004</v>
      </c>
      <c r="F270">
        <v>6.6025999999999998</v>
      </c>
      <c r="G270">
        <v>6.1273900000000001E-6</v>
      </c>
      <c r="H270">
        <v>129.78200000000001</v>
      </c>
      <c r="I270" s="8">
        <f>bank_data[[#This Row],[intresses]]-bank_data[[#This Row],[losses]]</f>
        <v>-129.78199387261</v>
      </c>
    </row>
    <row r="271" spans="1:9" x14ac:dyDescent="0.25">
      <c r="A271">
        <v>270</v>
      </c>
      <c r="B271">
        <v>-13065.2</v>
      </c>
      <c r="C271">
        <v>12</v>
      </c>
      <c r="D271">
        <v>-2.5</v>
      </c>
      <c r="E271">
        <v>0.51757600000000004</v>
      </c>
      <c r="F271">
        <v>6.6025999999999998</v>
      </c>
      <c r="G271">
        <v>5.8210200000000004E-6</v>
      </c>
      <c r="H271">
        <v>208.35400000000001</v>
      </c>
      <c r="I271" s="8">
        <f>bank_data[[#This Row],[intresses]]-bank_data[[#This Row],[losses]]</f>
        <v>-208.35399417898</v>
      </c>
    </row>
    <row r="272" spans="1:9" x14ac:dyDescent="0.25">
      <c r="A272">
        <v>271</v>
      </c>
      <c r="B272">
        <v>-13228.1</v>
      </c>
      <c r="C272">
        <v>12</v>
      </c>
      <c r="D272">
        <v>-2.5</v>
      </c>
      <c r="E272">
        <v>0.51757600000000004</v>
      </c>
      <c r="F272">
        <v>6.6025999999999998</v>
      </c>
      <c r="G272">
        <v>5.52997E-6</v>
      </c>
      <c r="H272">
        <v>162.96799999999999</v>
      </c>
      <c r="I272" s="8">
        <f>bank_data[[#This Row],[intresses]]-bank_data[[#This Row],[losses]]</f>
        <v>-162.96799447002999</v>
      </c>
    </row>
    <row r="273" spans="1:9" x14ac:dyDescent="0.25">
      <c r="A273">
        <v>272</v>
      </c>
      <c r="B273">
        <v>-13412.3</v>
      </c>
      <c r="C273">
        <v>12</v>
      </c>
      <c r="D273">
        <v>-2.5</v>
      </c>
      <c r="E273">
        <v>0.51757600000000004</v>
      </c>
      <c r="F273">
        <v>6.6025999999999998</v>
      </c>
      <c r="G273">
        <v>5.2534700000000002E-6</v>
      </c>
      <c r="H273">
        <v>184.20099999999999</v>
      </c>
      <c r="I273" s="8">
        <f>bank_data[[#This Row],[intresses]]-bank_data[[#This Row],[losses]]</f>
        <v>-184.20099474653</v>
      </c>
    </row>
    <row r="274" spans="1:9" x14ac:dyDescent="0.25">
      <c r="A274">
        <v>273</v>
      </c>
      <c r="B274">
        <v>-13595.2</v>
      </c>
      <c r="C274">
        <v>12</v>
      </c>
      <c r="D274">
        <v>-2.5</v>
      </c>
      <c r="E274">
        <v>0.51757600000000004</v>
      </c>
      <c r="F274">
        <v>6.6025999999999998</v>
      </c>
      <c r="G274">
        <v>4.9907999999999997E-6</v>
      </c>
      <c r="H274">
        <v>182.93</v>
      </c>
      <c r="I274" s="8">
        <f>bank_data[[#This Row],[intresses]]-bank_data[[#This Row],[losses]]</f>
        <v>-182.92999500920001</v>
      </c>
    </row>
    <row r="275" spans="1:9" x14ac:dyDescent="0.25">
      <c r="A275">
        <v>274</v>
      </c>
      <c r="B275">
        <v>-13759.8</v>
      </c>
      <c r="C275">
        <v>12</v>
      </c>
      <c r="D275">
        <v>-2.5</v>
      </c>
      <c r="E275">
        <v>0.51757600000000004</v>
      </c>
      <c r="F275">
        <v>6.6025999999999998</v>
      </c>
      <c r="G275">
        <v>4.7412600000000004E-6</v>
      </c>
      <c r="H275">
        <v>164.58</v>
      </c>
      <c r="I275" s="8">
        <f>bank_data[[#This Row],[intresses]]-bank_data[[#This Row],[losses]]</f>
        <v>-164.57999525874001</v>
      </c>
    </row>
    <row r="276" spans="1:9" x14ac:dyDescent="0.25">
      <c r="A276">
        <v>275</v>
      </c>
      <c r="B276">
        <v>-14008.4</v>
      </c>
      <c r="C276">
        <v>12</v>
      </c>
      <c r="D276">
        <v>-2.5</v>
      </c>
      <c r="E276">
        <v>0.51757600000000004</v>
      </c>
      <c r="F276">
        <v>6.6025999999999998</v>
      </c>
      <c r="G276">
        <v>4.5042E-6</v>
      </c>
      <c r="H276">
        <v>248.578</v>
      </c>
      <c r="I276" s="8">
        <f>bank_data[[#This Row],[intresses]]-bank_data[[#This Row],[losses]]</f>
        <v>-248.5779954958</v>
      </c>
    </row>
    <row r="277" spans="1:9" x14ac:dyDescent="0.25">
      <c r="A277">
        <v>276</v>
      </c>
      <c r="B277">
        <v>-14184</v>
      </c>
      <c r="C277">
        <v>12</v>
      </c>
      <c r="D277">
        <v>-2.5</v>
      </c>
      <c r="E277">
        <v>0.51757600000000004</v>
      </c>
      <c r="F277">
        <v>6.6025999999999998</v>
      </c>
      <c r="G277">
        <v>4.2789900000000002E-6</v>
      </c>
      <c r="H277">
        <v>175.625</v>
      </c>
      <c r="I277" s="8">
        <f>bank_data[[#This Row],[intresses]]-bank_data[[#This Row],[losses]]</f>
        <v>-175.62499572101001</v>
      </c>
    </row>
    <row r="278" spans="1:9" x14ac:dyDescent="0.25">
      <c r="A278">
        <v>277</v>
      </c>
      <c r="B278">
        <v>-14332.3</v>
      </c>
      <c r="C278">
        <v>12</v>
      </c>
      <c r="D278">
        <v>-2.5</v>
      </c>
      <c r="E278">
        <v>0.51757600000000004</v>
      </c>
      <c r="F278">
        <v>6.6025999999999998</v>
      </c>
      <c r="G278">
        <v>4.0650400000000003E-6</v>
      </c>
      <c r="H278">
        <v>148.31700000000001</v>
      </c>
      <c r="I278" s="8">
        <f>bank_data[[#This Row],[intresses]]-bank_data[[#This Row],[losses]]</f>
        <v>-148.31699593496</v>
      </c>
    </row>
    <row r="279" spans="1:9" x14ac:dyDescent="0.25">
      <c r="A279">
        <v>278</v>
      </c>
      <c r="B279">
        <v>-14543.7</v>
      </c>
      <c r="C279">
        <v>12</v>
      </c>
      <c r="D279">
        <v>-2.5</v>
      </c>
      <c r="E279">
        <v>0.51757600000000004</v>
      </c>
      <c r="F279">
        <v>6.6025999999999998</v>
      </c>
      <c r="G279">
        <v>3.8617800000000003E-6</v>
      </c>
      <c r="H279">
        <v>211.35900000000001</v>
      </c>
      <c r="I279" s="8">
        <f>bank_data[[#This Row],[intresses]]-bank_data[[#This Row],[losses]]</f>
        <v>-211.35899613822002</v>
      </c>
    </row>
    <row r="280" spans="1:9" x14ac:dyDescent="0.25">
      <c r="A280">
        <v>279</v>
      </c>
      <c r="B280">
        <v>-14730.3</v>
      </c>
      <c r="C280">
        <v>12</v>
      </c>
      <c r="D280">
        <v>-2.5</v>
      </c>
      <c r="E280">
        <v>0.51757600000000004</v>
      </c>
      <c r="F280">
        <v>6.6025999999999998</v>
      </c>
      <c r="G280">
        <v>3.6687000000000001E-6</v>
      </c>
      <c r="H280">
        <v>186.572</v>
      </c>
      <c r="I280" s="8">
        <f>bank_data[[#This Row],[intresses]]-bank_data[[#This Row],[losses]]</f>
        <v>-186.5719963313</v>
      </c>
    </row>
    <row r="281" spans="1:9" x14ac:dyDescent="0.25">
      <c r="A281">
        <v>280</v>
      </c>
      <c r="B281">
        <v>-14864.5</v>
      </c>
      <c r="C281">
        <v>12</v>
      </c>
      <c r="D281">
        <v>-2.5</v>
      </c>
      <c r="E281">
        <v>0.51757600000000004</v>
      </c>
      <c r="F281">
        <v>6.6025999999999998</v>
      </c>
      <c r="G281">
        <v>3.4852600000000001E-6</v>
      </c>
      <c r="H281">
        <v>134.196</v>
      </c>
      <c r="I281" s="8">
        <f>bank_data[[#This Row],[intresses]]-bank_data[[#This Row],[losses]]</f>
        <v>-134.19599651473999</v>
      </c>
    </row>
    <row r="282" spans="1:9" x14ac:dyDescent="0.25">
      <c r="A282">
        <v>281</v>
      </c>
      <c r="B282">
        <v>-15039.3</v>
      </c>
      <c r="C282">
        <v>12</v>
      </c>
      <c r="D282">
        <v>-2.5</v>
      </c>
      <c r="E282">
        <v>0.51757600000000004</v>
      </c>
      <c r="F282">
        <v>6.6025999999999998</v>
      </c>
      <c r="G282">
        <v>3.3110000000000001E-6</v>
      </c>
      <c r="H282">
        <v>174.81700000000001</v>
      </c>
      <c r="I282" s="8">
        <f>bank_data[[#This Row],[intresses]]-bank_data[[#This Row],[losses]]</f>
        <v>-174.81699668900001</v>
      </c>
    </row>
    <row r="283" spans="1:9" x14ac:dyDescent="0.25">
      <c r="A283">
        <v>282</v>
      </c>
      <c r="B283">
        <v>-15183</v>
      </c>
      <c r="C283">
        <v>12</v>
      </c>
      <c r="D283">
        <v>-2.5</v>
      </c>
      <c r="E283">
        <v>0.51757600000000004</v>
      </c>
      <c r="F283">
        <v>6.6025999999999998</v>
      </c>
      <c r="G283">
        <v>3.1454500000000001E-6</v>
      </c>
      <c r="H283">
        <v>143.744</v>
      </c>
      <c r="I283" s="8">
        <f>bank_data[[#This Row],[intresses]]-bank_data[[#This Row],[losses]]</f>
        <v>-143.74399685455001</v>
      </c>
    </row>
    <row r="284" spans="1:9" x14ac:dyDescent="0.25">
      <c r="A284">
        <v>283</v>
      </c>
      <c r="B284">
        <v>-15347.7</v>
      </c>
      <c r="C284">
        <v>12</v>
      </c>
      <c r="D284">
        <v>-2.5</v>
      </c>
      <c r="E284">
        <v>0.51757600000000004</v>
      </c>
      <c r="F284">
        <v>6.6025999999999998</v>
      </c>
      <c r="G284">
        <v>2.9881799999999999E-6</v>
      </c>
      <c r="H284">
        <v>164.69200000000001</v>
      </c>
      <c r="I284" s="8">
        <f>bank_data[[#This Row],[intresses]]-bank_data[[#This Row],[losses]]</f>
        <v>-164.69199701182001</v>
      </c>
    </row>
    <row r="285" spans="1:9" x14ac:dyDescent="0.25">
      <c r="A285">
        <v>284</v>
      </c>
      <c r="B285">
        <v>-15494.3</v>
      </c>
      <c r="C285">
        <v>12</v>
      </c>
      <c r="D285">
        <v>-2.5</v>
      </c>
      <c r="E285">
        <v>0.51757600000000004</v>
      </c>
      <c r="F285">
        <v>6.6025999999999998</v>
      </c>
      <c r="G285">
        <v>2.8387699999999998E-6</v>
      </c>
      <c r="H285">
        <v>146.57499999999999</v>
      </c>
      <c r="I285" s="8">
        <f>bank_data[[#This Row],[intresses]]-bank_data[[#This Row],[losses]]</f>
        <v>-146.57499716122999</v>
      </c>
    </row>
    <row r="286" spans="1:9" x14ac:dyDescent="0.25">
      <c r="A286">
        <v>285</v>
      </c>
      <c r="B286">
        <v>-15633.1</v>
      </c>
      <c r="C286">
        <v>12</v>
      </c>
      <c r="D286">
        <v>-2.5</v>
      </c>
      <c r="E286">
        <v>0.51757600000000004</v>
      </c>
      <c r="F286">
        <v>6.6025999999999998</v>
      </c>
      <c r="G286">
        <v>2.6968300000000001E-6</v>
      </c>
      <c r="H286">
        <v>138.81100000000001</v>
      </c>
      <c r="I286" s="8">
        <f>bank_data[[#This Row],[intresses]]-bank_data[[#This Row],[losses]]</f>
        <v>-138.81099730317001</v>
      </c>
    </row>
    <row r="287" spans="1:9" x14ac:dyDescent="0.25">
      <c r="A287">
        <v>286</v>
      </c>
      <c r="B287">
        <v>-15787.6</v>
      </c>
      <c r="C287">
        <v>12</v>
      </c>
      <c r="D287">
        <v>-2.5</v>
      </c>
      <c r="E287">
        <v>0.51757600000000004</v>
      </c>
      <c r="F287">
        <v>6.6025999999999998</v>
      </c>
      <c r="G287">
        <v>2.5619899999999999E-6</v>
      </c>
      <c r="H287">
        <v>154.51300000000001</v>
      </c>
      <c r="I287" s="8">
        <f>bank_data[[#This Row],[intresses]]-bank_data[[#This Row],[losses]]</f>
        <v>-154.51299743801002</v>
      </c>
    </row>
    <row r="288" spans="1:9" x14ac:dyDescent="0.25">
      <c r="A288">
        <v>287</v>
      </c>
      <c r="B288">
        <v>-16049.3</v>
      </c>
      <c r="C288">
        <v>12</v>
      </c>
      <c r="D288">
        <v>-2.5</v>
      </c>
      <c r="E288">
        <v>0.51757600000000004</v>
      </c>
      <c r="F288">
        <v>6.6025999999999998</v>
      </c>
      <c r="G288">
        <v>2.4338899999999998E-6</v>
      </c>
      <c r="H288">
        <v>261.67399999999998</v>
      </c>
      <c r="I288" s="8">
        <f>bank_data[[#This Row],[intresses]]-bank_data[[#This Row],[losses]]</f>
        <v>-261.67399756610996</v>
      </c>
    </row>
    <row r="289" spans="1:9" x14ac:dyDescent="0.25">
      <c r="A289">
        <v>288</v>
      </c>
      <c r="B289">
        <v>-16190.5</v>
      </c>
      <c r="C289">
        <v>12</v>
      </c>
      <c r="D289">
        <v>-2.5</v>
      </c>
      <c r="E289">
        <v>0.51757600000000004</v>
      </c>
      <c r="F289">
        <v>6.6025999999999998</v>
      </c>
      <c r="G289">
        <v>2.3121899999999998E-6</v>
      </c>
      <c r="H289">
        <v>141.16800000000001</v>
      </c>
      <c r="I289" s="8">
        <f>bank_data[[#This Row],[intresses]]-bank_data[[#This Row],[losses]]</f>
        <v>-141.16799768781001</v>
      </c>
    </row>
    <row r="290" spans="1:9" x14ac:dyDescent="0.25">
      <c r="A290">
        <v>289</v>
      </c>
      <c r="B290">
        <v>-16398.599999999999</v>
      </c>
      <c r="C290">
        <v>12</v>
      </c>
      <c r="D290">
        <v>-2.5</v>
      </c>
      <c r="E290">
        <v>0.51757600000000004</v>
      </c>
      <c r="F290">
        <v>6.6025999999999998</v>
      </c>
      <c r="G290">
        <v>2.1965800000000002E-6</v>
      </c>
      <c r="H290">
        <v>208.16900000000001</v>
      </c>
      <c r="I290" s="8">
        <f>bank_data[[#This Row],[intresses]]-bank_data[[#This Row],[losses]]</f>
        <v>-208.16899780342001</v>
      </c>
    </row>
    <row r="291" spans="1:9" x14ac:dyDescent="0.25">
      <c r="A291">
        <v>290</v>
      </c>
      <c r="B291">
        <v>-16567.2</v>
      </c>
      <c r="C291">
        <v>12</v>
      </c>
      <c r="D291">
        <v>-2.5</v>
      </c>
      <c r="E291">
        <v>0.51757600000000004</v>
      </c>
      <c r="F291">
        <v>6.6025999999999998</v>
      </c>
      <c r="G291">
        <v>2.08675E-6</v>
      </c>
      <c r="H291">
        <v>168.57499999999999</v>
      </c>
      <c r="I291" s="8">
        <f>bank_data[[#This Row],[intresses]]-bank_data[[#This Row],[losses]]</f>
        <v>-168.57499791325</v>
      </c>
    </row>
    <row r="292" spans="1:9" x14ac:dyDescent="0.25">
      <c r="A292">
        <v>291</v>
      </c>
      <c r="B292">
        <v>-16767.400000000001</v>
      </c>
      <c r="C292">
        <v>12</v>
      </c>
      <c r="D292">
        <v>-2.5</v>
      </c>
      <c r="E292">
        <v>0.51757600000000004</v>
      </c>
      <c r="F292">
        <v>6.6025999999999998</v>
      </c>
      <c r="G292">
        <v>1.98242E-6</v>
      </c>
      <c r="H292">
        <v>200.208</v>
      </c>
      <c r="I292" s="8">
        <f>bank_data[[#This Row],[intresses]]-bank_data[[#This Row],[losses]]</f>
        <v>-200.20799801758</v>
      </c>
    </row>
    <row r="293" spans="1:9" x14ac:dyDescent="0.25">
      <c r="A293">
        <v>292</v>
      </c>
      <c r="B293">
        <v>-16962.5</v>
      </c>
      <c r="C293">
        <v>12</v>
      </c>
      <c r="D293">
        <v>-2.5</v>
      </c>
      <c r="E293">
        <v>0.51757600000000004</v>
      </c>
      <c r="F293">
        <v>6.6025999999999998</v>
      </c>
      <c r="G293">
        <v>1.8833E-6</v>
      </c>
      <c r="H293">
        <v>195.03</v>
      </c>
      <c r="I293" s="8">
        <f>bank_data[[#This Row],[intresses]]-bank_data[[#This Row],[losses]]</f>
        <v>-195.0299981167</v>
      </c>
    </row>
    <row r="294" spans="1:9" x14ac:dyDescent="0.25">
      <c r="A294">
        <v>293</v>
      </c>
      <c r="B294">
        <v>-17163.5</v>
      </c>
      <c r="C294">
        <v>12</v>
      </c>
      <c r="D294">
        <v>-2.5</v>
      </c>
      <c r="E294">
        <v>0.51757600000000004</v>
      </c>
      <c r="F294">
        <v>6.6025999999999998</v>
      </c>
      <c r="G294">
        <v>1.7891299999999999E-6</v>
      </c>
      <c r="H294">
        <v>201.05500000000001</v>
      </c>
      <c r="I294" s="8">
        <f>bank_data[[#This Row],[intresses]]-bank_data[[#This Row],[losses]]</f>
        <v>-201.05499821087</v>
      </c>
    </row>
    <row r="295" spans="1:9" x14ac:dyDescent="0.25">
      <c r="A295">
        <v>294</v>
      </c>
      <c r="B295">
        <v>-17398</v>
      </c>
      <c r="C295">
        <v>12</v>
      </c>
      <c r="D295">
        <v>-2.5</v>
      </c>
      <c r="E295">
        <v>0.51757600000000004</v>
      </c>
      <c r="F295">
        <v>6.6025999999999998</v>
      </c>
      <c r="G295">
        <v>1.69967E-6</v>
      </c>
      <c r="H295">
        <v>234.52600000000001</v>
      </c>
      <c r="I295" s="8">
        <f>bank_data[[#This Row],[intresses]]-bank_data[[#This Row],[losses]]</f>
        <v>-234.52599830033</v>
      </c>
    </row>
    <row r="296" spans="1:9" x14ac:dyDescent="0.25">
      <c r="A296">
        <v>295</v>
      </c>
      <c r="B296">
        <v>-17591.2</v>
      </c>
      <c r="C296">
        <v>12</v>
      </c>
      <c r="D296">
        <v>-2.5</v>
      </c>
      <c r="E296">
        <v>0.51757600000000004</v>
      </c>
      <c r="F296">
        <v>6.6025999999999998</v>
      </c>
      <c r="G296">
        <v>1.6146899999999999E-6</v>
      </c>
      <c r="H296">
        <v>193.17599999999999</v>
      </c>
      <c r="I296" s="8">
        <f>bank_data[[#This Row],[intresses]]-bank_data[[#This Row],[losses]]</f>
        <v>-193.17599838530998</v>
      </c>
    </row>
    <row r="297" spans="1:9" x14ac:dyDescent="0.25">
      <c r="A297">
        <v>296</v>
      </c>
      <c r="B297">
        <v>-17794.7</v>
      </c>
      <c r="C297">
        <v>12</v>
      </c>
      <c r="D297">
        <v>-2.5</v>
      </c>
      <c r="E297">
        <v>0.51757600000000004</v>
      </c>
      <c r="F297">
        <v>6.6025999999999998</v>
      </c>
      <c r="G297">
        <v>1.53396E-6</v>
      </c>
      <c r="H297">
        <v>203.50399999999999</v>
      </c>
      <c r="I297" s="8">
        <f>bank_data[[#This Row],[intresses]]-bank_data[[#This Row],[losses]]</f>
        <v>-203.50399846604</v>
      </c>
    </row>
    <row r="298" spans="1:9" x14ac:dyDescent="0.25">
      <c r="A298">
        <v>297</v>
      </c>
      <c r="B298">
        <v>-17971.400000000001</v>
      </c>
      <c r="C298">
        <v>12</v>
      </c>
      <c r="D298">
        <v>-2.5</v>
      </c>
      <c r="E298">
        <v>0.51757600000000004</v>
      </c>
      <c r="F298">
        <v>6.6025999999999998</v>
      </c>
      <c r="G298">
        <v>1.45726E-6</v>
      </c>
      <c r="H298">
        <v>176.702</v>
      </c>
      <c r="I298" s="8">
        <f>bank_data[[#This Row],[intresses]]-bank_data[[#This Row],[losses]]</f>
        <v>-176.70199854274</v>
      </c>
    </row>
    <row r="299" spans="1:9" x14ac:dyDescent="0.25">
      <c r="A299">
        <v>298</v>
      </c>
      <c r="B299">
        <v>-18187.3</v>
      </c>
      <c r="C299">
        <v>12</v>
      </c>
      <c r="D299">
        <v>-2.5</v>
      </c>
      <c r="E299">
        <v>0.51757600000000004</v>
      </c>
      <c r="F299">
        <v>6.6025999999999998</v>
      </c>
      <c r="G299">
        <v>1.3844E-6</v>
      </c>
      <c r="H299">
        <v>215.90700000000001</v>
      </c>
      <c r="I299" s="8">
        <f>bank_data[[#This Row],[intresses]]-bank_data[[#This Row],[losses]]</f>
        <v>-215.9069986156</v>
      </c>
    </row>
    <row r="300" spans="1:9" x14ac:dyDescent="0.25">
      <c r="A300">
        <v>299</v>
      </c>
      <c r="B300">
        <v>-18454.3</v>
      </c>
      <c r="C300">
        <v>12</v>
      </c>
      <c r="D300">
        <v>-2.5</v>
      </c>
      <c r="E300">
        <v>0.51757600000000004</v>
      </c>
      <c r="F300">
        <v>6.6025999999999998</v>
      </c>
      <c r="G300">
        <v>1.31518E-6</v>
      </c>
      <c r="H300">
        <v>267.02100000000002</v>
      </c>
      <c r="I300" s="8">
        <f>bank_data[[#This Row],[intresses]]-bank_data[[#This Row],[losses]]</f>
        <v>-267.02099868482003</v>
      </c>
    </row>
    <row r="301" spans="1:9" x14ac:dyDescent="0.25">
      <c r="A301">
        <v>300</v>
      </c>
      <c r="B301">
        <v>-18679</v>
      </c>
      <c r="C301">
        <v>12</v>
      </c>
      <c r="D301">
        <v>-2.5</v>
      </c>
      <c r="E301">
        <v>0.51757600000000004</v>
      </c>
      <c r="F301">
        <v>6.6025999999999998</v>
      </c>
      <c r="G301">
        <v>1.24942E-6</v>
      </c>
      <c r="H301">
        <v>224.68100000000001</v>
      </c>
      <c r="I301" s="8">
        <f>bank_data[[#This Row],[intresses]]-bank_data[[#This Row],[losses]]</f>
        <v>-224.68099875058002</v>
      </c>
    </row>
    <row r="302" spans="1:9" x14ac:dyDescent="0.25">
      <c r="A302">
        <v>301</v>
      </c>
      <c r="B302">
        <v>-18888.900000000001</v>
      </c>
      <c r="C302">
        <v>12</v>
      </c>
      <c r="D302">
        <v>-2.5</v>
      </c>
      <c r="E302">
        <v>0.51757600000000004</v>
      </c>
      <c r="F302">
        <v>6.6025999999999998</v>
      </c>
      <c r="G302">
        <v>1.1869499999999999E-6</v>
      </c>
      <c r="H302">
        <v>209.89</v>
      </c>
      <c r="I302" s="8">
        <f>bank_data[[#This Row],[intresses]]-bank_data[[#This Row],[losses]]</f>
        <v>-209.88999881305</v>
      </c>
    </row>
    <row r="303" spans="1:9" x14ac:dyDescent="0.25">
      <c r="A303">
        <v>302</v>
      </c>
      <c r="B303">
        <v>-19160.599999999999</v>
      </c>
      <c r="C303">
        <v>12</v>
      </c>
      <c r="D303">
        <v>-2.5</v>
      </c>
      <c r="E303">
        <v>0.51757600000000004</v>
      </c>
      <c r="F303">
        <v>6.6025999999999998</v>
      </c>
      <c r="G303">
        <v>1.1276E-6</v>
      </c>
      <c r="H303">
        <v>271.70999999999998</v>
      </c>
      <c r="I303" s="8">
        <f>bank_data[[#This Row],[intresses]]-bank_data[[#This Row],[losses]]</f>
        <v>-271.70999887239998</v>
      </c>
    </row>
    <row r="304" spans="1:9" x14ac:dyDescent="0.25">
      <c r="A304">
        <v>303</v>
      </c>
      <c r="B304">
        <v>-19401.3</v>
      </c>
      <c r="C304">
        <v>12</v>
      </c>
      <c r="D304">
        <v>-2.5</v>
      </c>
      <c r="E304">
        <v>0.51757600000000004</v>
      </c>
      <c r="F304">
        <v>6.6025999999999998</v>
      </c>
      <c r="G304">
        <v>1.0712199999999999E-6</v>
      </c>
      <c r="H304">
        <v>240.715</v>
      </c>
      <c r="I304" s="8">
        <f>bank_data[[#This Row],[intresses]]-bank_data[[#This Row],[losses]]</f>
        <v>-240.71499892878001</v>
      </c>
    </row>
    <row r="305" spans="1:9" x14ac:dyDescent="0.25">
      <c r="A305">
        <v>304</v>
      </c>
      <c r="B305">
        <v>-19654.400000000001</v>
      </c>
      <c r="C305">
        <v>12</v>
      </c>
      <c r="D305">
        <v>-2.5</v>
      </c>
      <c r="E305">
        <v>0.51757600000000004</v>
      </c>
      <c r="F305">
        <v>6.6025999999999998</v>
      </c>
      <c r="G305">
        <v>1.01766E-6</v>
      </c>
      <c r="H305">
        <v>253.04499999999999</v>
      </c>
      <c r="I305" s="8">
        <f>bank_data[[#This Row],[intresses]]-bank_data[[#This Row],[losses]]</f>
        <v>-253.04499898233999</v>
      </c>
    </row>
    <row r="306" spans="1:9" x14ac:dyDescent="0.25">
      <c r="A306">
        <v>305</v>
      </c>
      <c r="B306">
        <v>-19876.3</v>
      </c>
      <c r="C306">
        <v>12</v>
      </c>
      <c r="D306">
        <v>-2.5</v>
      </c>
      <c r="E306">
        <v>0.51757600000000004</v>
      </c>
      <c r="F306">
        <v>6.6025999999999998</v>
      </c>
      <c r="G306">
        <v>9.6677499999999995E-7</v>
      </c>
      <c r="H306">
        <v>221.91900000000001</v>
      </c>
      <c r="I306" s="8">
        <f>bank_data[[#This Row],[intresses]]-bank_data[[#This Row],[losses]]</f>
        <v>-221.91899903322502</v>
      </c>
    </row>
    <row r="307" spans="1:9" x14ac:dyDescent="0.25">
      <c r="A307">
        <v>306</v>
      </c>
      <c r="B307">
        <v>-20107.599999999999</v>
      </c>
      <c r="C307">
        <v>12</v>
      </c>
      <c r="D307">
        <v>-2.5</v>
      </c>
      <c r="E307">
        <v>0.51757600000000004</v>
      </c>
      <c r="F307">
        <v>6.6025999999999998</v>
      </c>
      <c r="G307">
        <v>9.1843600000000001E-7</v>
      </c>
      <c r="H307">
        <v>231.33500000000001</v>
      </c>
      <c r="I307" s="8">
        <f>bank_data[[#This Row],[intresses]]-bank_data[[#This Row],[losses]]</f>
        <v>-231.33499908156401</v>
      </c>
    </row>
    <row r="308" spans="1:9" x14ac:dyDescent="0.25">
      <c r="A308">
        <v>307</v>
      </c>
      <c r="B308">
        <v>-20439.400000000001</v>
      </c>
      <c r="C308">
        <v>12</v>
      </c>
      <c r="D308">
        <v>-2.5</v>
      </c>
      <c r="E308">
        <v>0.51757600000000004</v>
      </c>
      <c r="F308">
        <v>6.6025999999999998</v>
      </c>
      <c r="G308">
        <v>8.7251399999999997E-7</v>
      </c>
      <c r="H308">
        <v>331.80500000000001</v>
      </c>
      <c r="I308" s="8">
        <f>bank_data[[#This Row],[intresses]]-bank_data[[#This Row],[losses]]</f>
        <v>-331.80499912748598</v>
      </c>
    </row>
    <row r="309" spans="1:9" x14ac:dyDescent="0.25">
      <c r="A309">
        <v>308</v>
      </c>
      <c r="B309">
        <v>-20632.599999999999</v>
      </c>
      <c r="C309">
        <v>12</v>
      </c>
      <c r="D309">
        <v>-2.5</v>
      </c>
      <c r="E309">
        <v>0.51757600000000004</v>
      </c>
      <c r="F309">
        <v>6.6025999999999998</v>
      </c>
      <c r="G309">
        <v>8.2888900000000003E-7</v>
      </c>
      <c r="H309">
        <v>193.18</v>
      </c>
      <c r="I309" s="8">
        <f>bank_data[[#This Row],[intresses]]-bank_data[[#This Row],[losses]]</f>
        <v>-193.17999917111101</v>
      </c>
    </row>
    <row r="310" spans="1:9" x14ac:dyDescent="0.25">
      <c r="A310">
        <v>309</v>
      </c>
      <c r="B310">
        <v>-20827.8</v>
      </c>
      <c r="C310">
        <v>12</v>
      </c>
      <c r="D310">
        <v>-2.5</v>
      </c>
      <c r="E310">
        <v>0.51757600000000004</v>
      </c>
      <c r="F310">
        <v>6.6025999999999998</v>
      </c>
      <c r="G310">
        <v>7.8744400000000002E-7</v>
      </c>
      <c r="H310">
        <v>195.17599999999999</v>
      </c>
      <c r="I310" s="8">
        <f>bank_data[[#This Row],[intresses]]-bank_data[[#This Row],[losses]]</f>
        <v>-195.17599921255598</v>
      </c>
    </row>
    <row r="311" spans="1:9" x14ac:dyDescent="0.25">
      <c r="A311">
        <v>310</v>
      </c>
      <c r="B311">
        <v>-21082.2</v>
      </c>
      <c r="C311">
        <v>12</v>
      </c>
      <c r="D311">
        <v>-2.5</v>
      </c>
      <c r="E311">
        <v>0.51757600000000004</v>
      </c>
      <c r="F311">
        <v>6.6025999999999998</v>
      </c>
      <c r="G311">
        <v>7.4807199999999995E-7</v>
      </c>
      <c r="H311">
        <v>254.38399999999999</v>
      </c>
      <c r="I311" s="8">
        <f>bank_data[[#This Row],[intresses]]-bank_data[[#This Row],[losses]]</f>
        <v>-254.38399925192797</v>
      </c>
    </row>
    <row r="312" spans="1:9" x14ac:dyDescent="0.25">
      <c r="A312">
        <v>311</v>
      </c>
      <c r="B312">
        <v>-21351.8</v>
      </c>
      <c r="C312">
        <v>12</v>
      </c>
      <c r="D312">
        <v>-2.5</v>
      </c>
      <c r="E312">
        <v>0.51757600000000004</v>
      </c>
      <c r="F312">
        <v>6.6025999999999998</v>
      </c>
      <c r="G312">
        <v>7.1066799999999999E-7</v>
      </c>
      <c r="H312">
        <v>269.59899999999999</v>
      </c>
      <c r="I312" s="8">
        <f>bank_data[[#This Row],[intresses]]-bank_data[[#This Row],[losses]]</f>
        <v>-269.59899928933197</v>
      </c>
    </row>
    <row r="313" spans="1:9" x14ac:dyDescent="0.25">
      <c r="A313">
        <v>312</v>
      </c>
      <c r="B313">
        <v>-21673.1</v>
      </c>
      <c r="C313">
        <v>12</v>
      </c>
      <c r="D313">
        <v>-2.5</v>
      </c>
      <c r="E313">
        <v>0.51757600000000004</v>
      </c>
      <c r="F313">
        <v>6.6025999999999998</v>
      </c>
      <c r="G313">
        <v>6.7513500000000002E-7</v>
      </c>
      <c r="H313">
        <v>321.29700000000003</v>
      </c>
      <c r="I313" s="8">
        <f>bank_data[[#This Row],[intresses]]-bank_data[[#This Row],[losses]]</f>
        <v>-321.296999324865</v>
      </c>
    </row>
    <row r="314" spans="1:9" x14ac:dyDescent="0.25">
      <c r="A314">
        <v>313</v>
      </c>
      <c r="B314">
        <v>-21887</v>
      </c>
      <c r="C314">
        <v>12</v>
      </c>
      <c r="D314">
        <v>-2.5</v>
      </c>
      <c r="E314">
        <v>0.51757600000000004</v>
      </c>
      <c r="F314">
        <v>6.6025999999999998</v>
      </c>
      <c r="G314">
        <v>6.4137800000000004E-7</v>
      </c>
      <c r="H314">
        <v>213.928</v>
      </c>
      <c r="I314" s="8">
        <f>bank_data[[#This Row],[intresses]]-bank_data[[#This Row],[losses]]</f>
        <v>-213.927999358622</v>
      </c>
    </row>
    <row r="315" spans="1:9" x14ac:dyDescent="0.25">
      <c r="A315">
        <v>314</v>
      </c>
      <c r="B315">
        <v>-22198.6</v>
      </c>
      <c r="C315">
        <v>12</v>
      </c>
      <c r="D315">
        <v>-2.5</v>
      </c>
      <c r="E315">
        <v>0.51757600000000004</v>
      </c>
      <c r="F315">
        <v>6.6025999999999998</v>
      </c>
      <c r="G315">
        <v>6.0930899999999997E-7</v>
      </c>
      <c r="H315">
        <v>311.58199999999999</v>
      </c>
      <c r="I315" s="8">
        <f>bank_data[[#This Row],[intresses]]-bank_data[[#This Row],[losses]]</f>
        <v>-311.58199939069101</v>
      </c>
    </row>
    <row r="316" spans="1:9" x14ac:dyDescent="0.25">
      <c r="A316">
        <v>315</v>
      </c>
      <c r="B316">
        <v>-22454.9</v>
      </c>
      <c r="C316">
        <v>12</v>
      </c>
      <c r="D316">
        <v>-2.5</v>
      </c>
      <c r="E316">
        <v>0.51757600000000004</v>
      </c>
      <c r="F316">
        <v>6.6025999999999998</v>
      </c>
      <c r="G316">
        <v>5.7884400000000002E-7</v>
      </c>
      <c r="H316">
        <v>256.346</v>
      </c>
      <c r="I316" s="8">
        <f>bank_data[[#This Row],[intresses]]-bank_data[[#This Row],[losses]]</f>
        <v>-256.34599942115602</v>
      </c>
    </row>
    <row r="317" spans="1:9" x14ac:dyDescent="0.25">
      <c r="A317">
        <v>316</v>
      </c>
      <c r="B317">
        <v>-22772.799999999999</v>
      </c>
      <c r="C317">
        <v>12</v>
      </c>
      <c r="D317">
        <v>-2.5</v>
      </c>
      <c r="E317">
        <v>0.51757600000000004</v>
      </c>
      <c r="F317">
        <v>6.6025999999999998</v>
      </c>
      <c r="G317">
        <v>5.4990199999999997E-7</v>
      </c>
      <c r="H317">
        <v>317.82600000000002</v>
      </c>
      <c r="I317" s="8">
        <f>bank_data[[#This Row],[intresses]]-bank_data[[#This Row],[losses]]</f>
        <v>-317.82599945009804</v>
      </c>
    </row>
    <row r="318" spans="1:9" x14ac:dyDescent="0.25">
      <c r="A318">
        <v>317</v>
      </c>
      <c r="B318">
        <v>-23017.3</v>
      </c>
      <c r="C318">
        <v>12</v>
      </c>
      <c r="D318">
        <v>-2.5</v>
      </c>
      <c r="E318">
        <v>0.51757600000000004</v>
      </c>
      <c r="F318">
        <v>6.6025999999999998</v>
      </c>
      <c r="G318">
        <v>5.2240699999999995E-7</v>
      </c>
      <c r="H318">
        <v>244.55699999999999</v>
      </c>
      <c r="I318" s="8">
        <f>bank_data[[#This Row],[intresses]]-bank_data[[#This Row],[losses]]</f>
        <v>-244.556999477593</v>
      </c>
    </row>
    <row r="319" spans="1:9" x14ac:dyDescent="0.25">
      <c r="A319">
        <v>318</v>
      </c>
      <c r="B319">
        <v>-23271.3</v>
      </c>
      <c r="C319">
        <v>12</v>
      </c>
      <c r="D319">
        <v>-2.5</v>
      </c>
      <c r="E319">
        <v>0.51757600000000004</v>
      </c>
      <c r="F319">
        <v>6.6025999999999998</v>
      </c>
      <c r="G319">
        <v>4.9628599999999995E-7</v>
      </c>
      <c r="H319">
        <v>253.96</v>
      </c>
      <c r="I319" s="8">
        <f>bank_data[[#This Row],[intresses]]-bank_data[[#This Row],[losses]]</f>
        <v>-253.95999950371402</v>
      </c>
    </row>
    <row r="320" spans="1:9" x14ac:dyDescent="0.25">
      <c r="A320">
        <v>319</v>
      </c>
      <c r="B320">
        <v>-23563.3</v>
      </c>
      <c r="C320">
        <v>12</v>
      </c>
      <c r="D320">
        <v>-2.5</v>
      </c>
      <c r="E320">
        <v>0.51757600000000004</v>
      </c>
      <c r="F320">
        <v>6.6025999999999998</v>
      </c>
      <c r="G320">
        <v>4.7147199999999997E-7</v>
      </c>
      <c r="H320">
        <v>292.05599999999998</v>
      </c>
      <c r="I320" s="8">
        <f>bank_data[[#This Row],[intresses]]-bank_data[[#This Row],[losses]]</f>
        <v>-292.05599952852799</v>
      </c>
    </row>
    <row r="321" spans="1:9" x14ac:dyDescent="0.25">
      <c r="A321">
        <v>320</v>
      </c>
      <c r="B321">
        <v>-23832.7</v>
      </c>
      <c r="C321">
        <v>12</v>
      </c>
      <c r="D321">
        <v>-2.5</v>
      </c>
      <c r="E321">
        <v>0.51757600000000004</v>
      </c>
      <c r="F321">
        <v>6.6025999999999998</v>
      </c>
      <c r="G321">
        <v>4.4789799999999998E-7</v>
      </c>
      <c r="H321">
        <v>269.39999999999998</v>
      </c>
      <c r="I321" s="8">
        <f>bank_data[[#This Row],[intresses]]-bank_data[[#This Row],[losses]]</f>
        <v>-269.39999955210197</v>
      </c>
    </row>
    <row r="322" spans="1:9" x14ac:dyDescent="0.25">
      <c r="A322">
        <v>321</v>
      </c>
      <c r="B322">
        <v>-24037.1</v>
      </c>
      <c r="C322">
        <v>12</v>
      </c>
      <c r="D322">
        <v>-2.5</v>
      </c>
      <c r="E322">
        <v>0.51757600000000004</v>
      </c>
      <c r="F322">
        <v>6.6025999999999998</v>
      </c>
      <c r="G322">
        <v>4.2550300000000002E-7</v>
      </c>
      <c r="H322">
        <v>204.40299999999999</v>
      </c>
      <c r="I322" s="8">
        <f>bank_data[[#This Row],[intresses]]-bank_data[[#This Row],[losses]]</f>
        <v>-204.40299957449699</v>
      </c>
    </row>
    <row r="323" spans="1:9" x14ac:dyDescent="0.25">
      <c r="A323">
        <v>322</v>
      </c>
      <c r="B323">
        <v>-24297.3</v>
      </c>
      <c r="C323">
        <v>12</v>
      </c>
      <c r="D323">
        <v>-2.5</v>
      </c>
      <c r="E323">
        <v>0.51757600000000004</v>
      </c>
      <c r="F323">
        <v>6.6025999999999998</v>
      </c>
      <c r="G323">
        <v>4.0422800000000001E-7</v>
      </c>
      <c r="H323">
        <v>260.173</v>
      </c>
      <c r="I323" s="8">
        <f>bank_data[[#This Row],[intresses]]-bank_data[[#This Row],[losses]]</f>
        <v>-260.17299959577201</v>
      </c>
    </row>
    <row r="324" spans="1:9" x14ac:dyDescent="0.25">
      <c r="A324">
        <v>323</v>
      </c>
      <c r="B324">
        <v>-24555.200000000001</v>
      </c>
      <c r="C324">
        <v>12</v>
      </c>
      <c r="D324">
        <v>-2.5</v>
      </c>
      <c r="E324">
        <v>0.51757600000000004</v>
      </c>
      <c r="F324">
        <v>6.6025999999999998</v>
      </c>
      <c r="G324">
        <v>3.8401699999999999E-7</v>
      </c>
      <c r="H324">
        <v>257.91000000000003</v>
      </c>
      <c r="I324" s="8">
        <f>bank_data[[#This Row],[intresses]]-bank_data[[#This Row],[losses]]</f>
        <v>-257.909999615983</v>
      </c>
    </row>
    <row r="325" spans="1:9" x14ac:dyDescent="0.25">
      <c r="A325">
        <v>324</v>
      </c>
      <c r="B325">
        <v>-24835.599999999999</v>
      </c>
      <c r="C325">
        <v>12</v>
      </c>
      <c r="D325">
        <v>-2.5</v>
      </c>
      <c r="E325">
        <v>0.51757600000000004</v>
      </c>
      <c r="F325">
        <v>6.6025999999999998</v>
      </c>
      <c r="G325">
        <v>3.64816E-7</v>
      </c>
      <c r="H325">
        <v>280.34899999999999</v>
      </c>
      <c r="I325" s="8">
        <f>bank_data[[#This Row],[intresses]]-bank_data[[#This Row],[losses]]</f>
        <v>-280.34899963518399</v>
      </c>
    </row>
    <row r="326" spans="1:9" x14ac:dyDescent="0.25">
      <c r="A326">
        <v>325</v>
      </c>
      <c r="B326">
        <v>-25094.2</v>
      </c>
      <c r="C326">
        <v>12</v>
      </c>
      <c r="D326">
        <v>-2.5</v>
      </c>
      <c r="E326">
        <v>0.51757600000000004</v>
      </c>
      <c r="F326">
        <v>6.6025999999999998</v>
      </c>
      <c r="G326">
        <v>3.4657499999999999E-7</v>
      </c>
      <c r="H326">
        <v>258.67200000000003</v>
      </c>
      <c r="I326" s="8">
        <f>bank_data[[#This Row],[intresses]]-bank_data[[#This Row],[losses]]</f>
        <v>-258.67199965342502</v>
      </c>
    </row>
    <row r="327" spans="1:9" x14ac:dyDescent="0.25">
      <c r="A327">
        <v>326</v>
      </c>
      <c r="B327">
        <v>-25374.400000000001</v>
      </c>
      <c r="C327">
        <v>12</v>
      </c>
      <c r="D327">
        <v>-2.5</v>
      </c>
      <c r="E327">
        <v>0.51757600000000004</v>
      </c>
      <c r="F327">
        <v>6.6025999999999998</v>
      </c>
      <c r="G327">
        <v>3.2924600000000001E-7</v>
      </c>
      <c r="H327">
        <v>280.13600000000002</v>
      </c>
      <c r="I327" s="8">
        <f>bank_data[[#This Row],[intresses]]-bank_data[[#This Row],[losses]]</f>
        <v>-280.13599967075402</v>
      </c>
    </row>
    <row r="328" spans="1:9" x14ac:dyDescent="0.25">
      <c r="A328">
        <v>327</v>
      </c>
      <c r="B328">
        <v>-25643.4</v>
      </c>
      <c r="C328">
        <v>12</v>
      </c>
      <c r="D328">
        <v>-2.5</v>
      </c>
      <c r="E328">
        <v>0.51757600000000004</v>
      </c>
      <c r="F328">
        <v>6.6025999999999998</v>
      </c>
      <c r="G328">
        <v>3.1278399999999998E-7</v>
      </c>
      <c r="H328">
        <v>269.02800000000002</v>
      </c>
      <c r="I328" s="8">
        <f>bank_data[[#This Row],[intresses]]-bank_data[[#This Row],[losses]]</f>
        <v>-269.02799968721604</v>
      </c>
    </row>
    <row r="329" spans="1:9" x14ac:dyDescent="0.25">
      <c r="A329">
        <v>328</v>
      </c>
      <c r="B329">
        <v>-25917.9</v>
      </c>
      <c r="C329">
        <v>12</v>
      </c>
      <c r="D329">
        <v>-2.5</v>
      </c>
      <c r="E329">
        <v>0.51757600000000004</v>
      </c>
      <c r="F329">
        <v>6.6025999999999998</v>
      </c>
      <c r="G329">
        <v>2.97145E-7</v>
      </c>
      <c r="H329">
        <v>274.53899999999999</v>
      </c>
      <c r="I329" s="8">
        <f>bank_data[[#This Row],[intresses]]-bank_data[[#This Row],[losses]]</f>
        <v>-274.53899970285499</v>
      </c>
    </row>
    <row r="330" spans="1:9" x14ac:dyDescent="0.25">
      <c r="A330">
        <v>329</v>
      </c>
      <c r="B330">
        <v>-26183.7</v>
      </c>
      <c r="C330">
        <v>12</v>
      </c>
      <c r="D330">
        <v>-2.5</v>
      </c>
      <c r="E330">
        <v>0.51757600000000004</v>
      </c>
      <c r="F330">
        <v>6.6025999999999998</v>
      </c>
      <c r="G330">
        <v>2.8228800000000002E-7</v>
      </c>
      <c r="H330">
        <v>265.714</v>
      </c>
      <c r="I330" s="8">
        <f>bank_data[[#This Row],[intresses]]-bank_data[[#This Row],[losses]]</f>
        <v>-265.713999717712</v>
      </c>
    </row>
    <row r="331" spans="1:9" x14ac:dyDescent="0.25">
      <c r="A331">
        <v>330</v>
      </c>
      <c r="B331">
        <v>-26397.1</v>
      </c>
      <c r="C331">
        <v>12</v>
      </c>
      <c r="D331">
        <v>-2.5</v>
      </c>
      <c r="E331">
        <v>0.51757600000000004</v>
      </c>
      <c r="F331">
        <v>6.6025999999999998</v>
      </c>
      <c r="G331">
        <v>2.6817299999999998E-7</v>
      </c>
      <c r="H331">
        <v>213.45599999999999</v>
      </c>
      <c r="I331" s="8">
        <f>bank_data[[#This Row],[intresses]]-bank_data[[#This Row],[losses]]</f>
        <v>-213.45599973182698</v>
      </c>
    </row>
    <row r="332" spans="1:9" x14ac:dyDescent="0.25">
      <c r="A332">
        <v>331</v>
      </c>
      <c r="B332">
        <v>-26658.6</v>
      </c>
      <c r="C332">
        <v>12</v>
      </c>
      <c r="D332">
        <v>-2.5</v>
      </c>
      <c r="E332">
        <v>0.51757600000000004</v>
      </c>
      <c r="F332">
        <v>6.6025999999999998</v>
      </c>
      <c r="G332">
        <v>2.5476500000000002E-7</v>
      </c>
      <c r="H332">
        <v>261.45400000000001</v>
      </c>
      <c r="I332" s="8">
        <f>bank_data[[#This Row],[intresses]]-bank_data[[#This Row],[losses]]</f>
        <v>-261.45399974523502</v>
      </c>
    </row>
    <row r="333" spans="1:9" x14ac:dyDescent="0.25">
      <c r="A333">
        <v>332</v>
      </c>
      <c r="B333">
        <v>-26995.5</v>
      </c>
      <c r="C333">
        <v>12</v>
      </c>
      <c r="D333">
        <v>-2.5</v>
      </c>
      <c r="E333">
        <v>0.51757600000000004</v>
      </c>
      <c r="F333">
        <v>6.6025999999999998</v>
      </c>
      <c r="G333">
        <v>2.42026E-7</v>
      </c>
      <c r="H333">
        <v>336.96100000000001</v>
      </c>
      <c r="I333" s="8">
        <f>bank_data[[#This Row],[intresses]]-bank_data[[#This Row],[losses]]</f>
        <v>-336.96099975797404</v>
      </c>
    </row>
    <row r="334" spans="1:9" x14ac:dyDescent="0.25">
      <c r="A334">
        <v>333</v>
      </c>
      <c r="B334">
        <v>-27303.8</v>
      </c>
      <c r="C334">
        <v>12</v>
      </c>
      <c r="D334">
        <v>-2.5</v>
      </c>
      <c r="E334">
        <v>0.51757600000000004</v>
      </c>
      <c r="F334">
        <v>6.6025999999999998</v>
      </c>
      <c r="G334">
        <v>2.2992499999999999E-7</v>
      </c>
      <c r="H334">
        <v>308.23399999999998</v>
      </c>
      <c r="I334" s="8">
        <f>bank_data[[#This Row],[intresses]]-bank_data[[#This Row],[losses]]</f>
        <v>-308.233999770075</v>
      </c>
    </row>
    <row r="335" spans="1:9" x14ac:dyDescent="0.25">
      <c r="A335">
        <v>334</v>
      </c>
      <c r="B335">
        <v>-27579.4</v>
      </c>
      <c r="C335">
        <v>12</v>
      </c>
      <c r="D335">
        <v>-2.5</v>
      </c>
      <c r="E335">
        <v>0.51757600000000004</v>
      </c>
      <c r="F335">
        <v>6.6025999999999998</v>
      </c>
      <c r="G335">
        <v>2.18429E-7</v>
      </c>
      <c r="H335">
        <v>275.66699999999997</v>
      </c>
      <c r="I335" s="8">
        <f>bank_data[[#This Row],[intresses]]-bank_data[[#This Row],[losses]]</f>
        <v>-275.66699978157095</v>
      </c>
    </row>
    <row r="336" spans="1:9" x14ac:dyDescent="0.25">
      <c r="A336">
        <v>335</v>
      </c>
      <c r="B336">
        <v>-27847.200000000001</v>
      </c>
      <c r="C336">
        <v>12</v>
      </c>
      <c r="D336">
        <v>-2.5</v>
      </c>
      <c r="E336">
        <v>0.51757600000000004</v>
      </c>
      <c r="F336">
        <v>6.6025999999999998</v>
      </c>
      <c r="G336">
        <v>2.0750700000000001E-7</v>
      </c>
      <c r="H336">
        <v>267.73</v>
      </c>
      <c r="I336" s="8">
        <f>bank_data[[#This Row],[intresses]]-bank_data[[#This Row],[losses]]</f>
        <v>-267.729999792493</v>
      </c>
    </row>
    <row r="337" spans="1:9" x14ac:dyDescent="0.25">
      <c r="A337">
        <v>336</v>
      </c>
      <c r="B337">
        <v>-28131.200000000001</v>
      </c>
      <c r="C337">
        <v>12</v>
      </c>
      <c r="D337">
        <v>-2.5</v>
      </c>
      <c r="E337">
        <v>0.51757600000000004</v>
      </c>
      <c r="F337">
        <v>6.6025999999999998</v>
      </c>
      <c r="G337">
        <v>1.9713199999999999E-7</v>
      </c>
      <c r="H337">
        <v>284.07100000000003</v>
      </c>
      <c r="I337" s="8">
        <f>bank_data[[#This Row],[intresses]]-bank_data[[#This Row],[losses]]</f>
        <v>-284.07099980286802</v>
      </c>
    </row>
    <row r="338" spans="1:9" x14ac:dyDescent="0.25">
      <c r="A338">
        <v>337</v>
      </c>
      <c r="B338">
        <v>-28451.8</v>
      </c>
      <c r="C338">
        <v>12</v>
      </c>
      <c r="D338">
        <v>-2.5</v>
      </c>
      <c r="E338">
        <v>0.51757600000000004</v>
      </c>
      <c r="F338">
        <v>6.6025999999999998</v>
      </c>
      <c r="G338">
        <v>1.8727499999999999E-7</v>
      </c>
      <c r="H338">
        <v>320.53800000000001</v>
      </c>
      <c r="I338" s="8">
        <f>bank_data[[#This Row],[intresses]]-bank_data[[#This Row],[losses]]</f>
        <v>-320.53799981272499</v>
      </c>
    </row>
    <row r="339" spans="1:9" x14ac:dyDescent="0.25">
      <c r="A339">
        <v>338</v>
      </c>
      <c r="B339">
        <v>-28791.5</v>
      </c>
      <c r="C339">
        <v>12</v>
      </c>
      <c r="D339">
        <v>-2.5</v>
      </c>
      <c r="E339">
        <v>0.51757600000000004</v>
      </c>
      <c r="F339">
        <v>6.6025999999999998</v>
      </c>
      <c r="G339">
        <v>1.7791200000000001E-7</v>
      </c>
      <c r="H339">
        <v>339.76600000000002</v>
      </c>
      <c r="I339" s="8">
        <f>bank_data[[#This Row],[intresses]]-bank_data[[#This Row],[losses]]</f>
        <v>-339.76599982208802</v>
      </c>
    </row>
    <row r="340" spans="1:9" x14ac:dyDescent="0.25">
      <c r="A340">
        <v>339</v>
      </c>
      <c r="B340">
        <v>-29121.5</v>
      </c>
      <c r="C340">
        <v>12</v>
      </c>
      <c r="D340">
        <v>-2.5</v>
      </c>
      <c r="E340">
        <v>0.51757600000000004</v>
      </c>
      <c r="F340">
        <v>6.6025999999999998</v>
      </c>
      <c r="G340">
        <v>1.6901600000000001E-7</v>
      </c>
      <c r="H340">
        <v>329.99099999999999</v>
      </c>
      <c r="I340" s="8">
        <f>bank_data[[#This Row],[intresses]]-bank_data[[#This Row],[losses]]</f>
        <v>-329.99099983098398</v>
      </c>
    </row>
    <row r="341" spans="1:9" x14ac:dyDescent="0.25">
      <c r="A341">
        <v>340</v>
      </c>
      <c r="B341">
        <v>-29421.200000000001</v>
      </c>
      <c r="C341">
        <v>12</v>
      </c>
      <c r="D341">
        <v>-2.5</v>
      </c>
      <c r="E341">
        <v>0.51757600000000004</v>
      </c>
      <c r="F341">
        <v>6.6025999999999998</v>
      </c>
      <c r="G341">
        <v>1.6056500000000001E-7</v>
      </c>
      <c r="H341">
        <v>299.62299999999999</v>
      </c>
      <c r="I341" s="8">
        <f>bank_data[[#This Row],[intresses]]-bank_data[[#This Row],[losses]]</f>
        <v>-299.62299983943501</v>
      </c>
    </row>
    <row r="342" spans="1:9" x14ac:dyDescent="0.25">
      <c r="A342">
        <v>341</v>
      </c>
      <c r="B342">
        <v>-29688.799999999999</v>
      </c>
      <c r="C342">
        <v>12</v>
      </c>
      <c r="D342">
        <v>-2.5</v>
      </c>
      <c r="E342">
        <v>0.51757600000000004</v>
      </c>
      <c r="F342">
        <v>6.6025999999999998</v>
      </c>
      <c r="G342">
        <v>1.5253700000000001E-7</v>
      </c>
      <c r="H342">
        <v>267.60700000000003</v>
      </c>
      <c r="I342" s="8">
        <f>bank_data[[#This Row],[intresses]]-bank_data[[#This Row],[losses]]</f>
        <v>-267.60699984746304</v>
      </c>
    </row>
    <row r="343" spans="1:9" x14ac:dyDescent="0.25">
      <c r="A343">
        <v>342</v>
      </c>
      <c r="B343">
        <v>-29982.3</v>
      </c>
      <c r="C343">
        <v>12</v>
      </c>
      <c r="D343">
        <v>-2.5</v>
      </c>
      <c r="E343">
        <v>0.51757600000000004</v>
      </c>
      <c r="F343">
        <v>6.6025999999999998</v>
      </c>
      <c r="G343">
        <v>1.4490999999999999E-7</v>
      </c>
      <c r="H343">
        <v>293.577</v>
      </c>
      <c r="I343" s="8">
        <f>bank_data[[#This Row],[intresses]]-bank_data[[#This Row],[losses]]</f>
        <v>-293.57699985508998</v>
      </c>
    </row>
    <row r="344" spans="1:9" x14ac:dyDescent="0.25">
      <c r="A344">
        <v>343</v>
      </c>
      <c r="B344">
        <v>-30345.599999999999</v>
      </c>
      <c r="C344">
        <v>12</v>
      </c>
      <c r="D344">
        <v>-2.5</v>
      </c>
      <c r="E344">
        <v>0.51757600000000004</v>
      </c>
      <c r="F344">
        <v>6.6025999999999998</v>
      </c>
      <c r="G344">
        <v>1.3766500000000001E-7</v>
      </c>
      <c r="H344">
        <v>363.30900000000003</v>
      </c>
      <c r="I344" s="8">
        <f>bank_data[[#This Row],[intresses]]-bank_data[[#This Row],[losses]]</f>
        <v>-363.30899986233504</v>
      </c>
    </row>
    <row r="345" spans="1:9" x14ac:dyDescent="0.25">
      <c r="A345">
        <v>344</v>
      </c>
      <c r="B345">
        <v>-30579.200000000001</v>
      </c>
      <c r="C345">
        <v>12</v>
      </c>
      <c r="D345">
        <v>-2.5</v>
      </c>
      <c r="E345">
        <v>0.51757600000000004</v>
      </c>
      <c r="F345">
        <v>6.6025999999999998</v>
      </c>
      <c r="G345">
        <v>1.3078100000000001E-7</v>
      </c>
      <c r="H345">
        <v>233.51599999999999</v>
      </c>
      <c r="I345" s="8">
        <f>bank_data[[#This Row],[intresses]]-bank_data[[#This Row],[losses]]</f>
        <v>-233.515999869219</v>
      </c>
    </row>
    <row r="346" spans="1:9" x14ac:dyDescent="0.25">
      <c r="A346">
        <v>345</v>
      </c>
      <c r="B346">
        <v>-30845.9</v>
      </c>
      <c r="C346">
        <v>12</v>
      </c>
      <c r="D346">
        <v>-2.5</v>
      </c>
      <c r="E346">
        <v>0.51757600000000004</v>
      </c>
      <c r="F346">
        <v>6.6025999999999998</v>
      </c>
      <c r="G346">
        <v>1.2424200000000001E-7</v>
      </c>
      <c r="H346">
        <v>266.702</v>
      </c>
      <c r="I346" s="8">
        <f>bank_data[[#This Row],[intresses]]-bank_data[[#This Row],[losses]]</f>
        <v>-266.70199987575802</v>
      </c>
    </row>
    <row r="347" spans="1:9" x14ac:dyDescent="0.25">
      <c r="A347">
        <v>346</v>
      </c>
      <c r="B347">
        <v>-31094.400000000001</v>
      </c>
      <c r="C347">
        <v>12</v>
      </c>
      <c r="D347">
        <v>-2.5</v>
      </c>
      <c r="E347">
        <v>0.51757600000000004</v>
      </c>
      <c r="F347">
        <v>6.6025999999999998</v>
      </c>
      <c r="G347">
        <v>1.1803000000000001E-7</v>
      </c>
      <c r="H347">
        <v>248.58799999999999</v>
      </c>
      <c r="I347" s="8">
        <f>bank_data[[#This Row],[intresses]]-bank_data[[#This Row],[losses]]</f>
        <v>-248.58799988197001</v>
      </c>
    </row>
    <row r="348" spans="1:9" x14ac:dyDescent="0.25">
      <c r="A348">
        <v>347</v>
      </c>
      <c r="B348">
        <v>-31405.200000000001</v>
      </c>
      <c r="C348">
        <v>12</v>
      </c>
      <c r="D348">
        <v>-2.5</v>
      </c>
      <c r="E348">
        <v>0.51757600000000004</v>
      </c>
      <c r="F348">
        <v>6.6025999999999998</v>
      </c>
      <c r="G348">
        <v>1.12129E-7</v>
      </c>
      <c r="H348">
        <v>310.73</v>
      </c>
      <c r="I348" s="8">
        <f>bank_data[[#This Row],[intresses]]-bank_data[[#This Row],[losses]]</f>
        <v>-310.72999988787103</v>
      </c>
    </row>
    <row r="349" spans="1:9" x14ac:dyDescent="0.25">
      <c r="A349">
        <v>348</v>
      </c>
      <c r="B349">
        <v>-31733.200000000001</v>
      </c>
      <c r="C349">
        <v>12</v>
      </c>
      <c r="D349">
        <v>-2.5</v>
      </c>
      <c r="E349">
        <v>0.51757600000000004</v>
      </c>
      <c r="F349">
        <v>6.6025999999999998</v>
      </c>
      <c r="G349">
        <v>1.0652200000000001E-7</v>
      </c>
      <c r="H349">
        <v>328.01400000000001</v>
      </c>
      <c r="I349" s="8">
        <f>bank_data[[#This Row],[intresses]]-bank_data[[#This Row],[losses]]</f>
        <v>-328.013999893478</v>
      </c>
    </row>
    <row r="350" spans="1:9" x14ac:dyDescent="0.25">
      <c r="A350">
        <v>349</v>
      </c>
      <c r="B350">
        <v>-32133.9</v>
      </c>
      <c r="C350">
        <v>12</v>
      </c>
      <c r="D350">
        <v>-2.5</v>
      </c>
      <c r="E350">
        <v>0.51757600000000004</v>
      </c>
      <c r="F350">
        <v>6.6025999999999998</v>
      </c>
      <c r="G350">
        <v>1.01196E-7</v>
      </c>
      <c r="H350">
        <v>400.75400000000002</v>
      </c>
      <c r="I350" s="8">
        <f>bank_data[[#This Row],[intresses]]-bank_data[[#This Row],[losses]]</f>
        <v>-400.75399989880401</v>
      </c>
    </row>
    <row r="351" spans="1:9" x14ac:dyDescent="0.25">
      <c r="A351">
        <v>350</v>
      </c>
      <c r="B351">
        <v>-32442.799999999999</v>
      </c>
      <c r="C351">
        <v>12</v>
      </c>
      <c r="D351">
        <v>-2.5</v>
      </c>
      <c r="E351">
        <v>0.51757600000000004</v>
      </c>
      <c r="F351">
        <v>6.6025999999999998</v>
      </c>
      <c r="G351">
        <v>9.6136400000000003E-8</v>
      </c>
      <c r="H351">
        <v>308.84399999999999</v>
      </c>
      <c r="I351" s="8">
        <f>bank_data[[#This Row],[intresses]]-bank_data[[#This Row],[losses]]</f>
        <v>-308.84399990386362</v>
      </c>
    </row>
    <row r="352" spans="1:9" x14ac:dyDescent="0.25">
      <c r="A352">
        <v>351</v>
      </c>
      <c r="B352">
        <v>-32748.400000000001</v>
      </c>
      <c r="C352">
        <v>12</v>
      </c>
      <c r="D352">
        <v>-2.5</v>
      </c>
      <c r="E352">
        <v>0.51757600000000004</v>
      </c>
      <c r="F352">
        <v>6.6025999999999998</v>
      </c>
      <c r="G352">
        <v>9.1329499999999997E-8</v>
      </c>
      <c r="H352">
        <v>305.56700000000001</v>
      </c>
      <c r="I352" s="8">
        <f>bank_data[[#This Row],[intresses]]-bank_data[[#This Row],[losses]]</f>
        <v>-305.56699990867048</v>
      </c>
    </row>
    <row r="353" spans="1:9" x14ac:dyDescent="0.25">
      <c r="A353">
        <v>352</v>
      </c>
      <c r="B353">
        <v>-33110.1</v>
      </c>
      <c r="C353">
        <v>12</v>
      </c>
      <c r="D353">
        <v>-2.5</v>
      </c>
      <c r="E353">
        <v>0.51757600000000004</v>
      </c>
      <c r="F353">
        <v>6.6025999999999998</v>
      </c>
      <c r="G353">
        <v>8.67631E-8</v>
      </c>
      <c r="H353">
        <v>361.77300000000002</v>
      </c>
      <c r="I353" s="8">
        <f>bank_data[[#This Row],[intresses]]-bank_data[[#This Row],[losses]]</f>
        <v>-361.7729999132369</v>
      </c>
    </row>
    <row r="354" spans="1:9" x14ac:dyDescent="0.25">
      <c r="A354">
        <v>353</v>
      </c>
      <c r="B354">
        <v>-33445.199999999997</v>
      </c>
      <c r="C354">
        <v>12</v>
      </c>
      <c r="D354">
        <v>-2.5</v>
      </c>
      <c r="E354">
        <v>0.51757600000000004</v>
      </c>
      <c r="F354">
        <v>6.6025999999999998</v>
      </c>
      <c r="G354">
        <v>8.2424900000000006E-8</v>
      </c>
      <c r="H354">
        <v>335.08800000000002</v>
      </c>
      <c r="I354" s="8">
        <f>bank_data[[#This Row],[intresses]]-bank_data[[#This Row],[losses]]</f>
        <v>-335.08799991757513</v>
      </c>
    </row>
    <row r="355" spans="1:9" x14ac:dyDescent="0.25">
      <c r="A355">
        <v>354</v>
      </c>
      <c r="B355">
        <v>-33774.9</v>
      </c>
      <c r="C355">
        <v>12</v>
      </c>
      <c r="D355">
        <v>-2.5</v>
      </c>
      <c r="E355">
        <v>0.51757600000000004</v>
      </c>
      <c r="F355">
        <v>6.6025999999999998</v>
      </c>
      <c r="G355">
        <v>7.8303699999999995E-8</v>
      </c>
      <c r="H355">
        <v>329.733</v>
      </c>
      <c r="I355" s="8">
        <f>bank_data[[#This Row],[intresses]]-bank_data[[#This Row],[losses]]</f>
        <v>-329.73299992169632</v>
      </c>
    </row>
    <row r="356" spans="1:9" x14ac:dyDescent="0.25">
      <c r="A356">
        <v>355</v>
      </c>
      <c r="B356">
        <v>-34106.9</v>
      </c>
      <c r="C356">
        <v>12</v>
      </c>
      <c r="D356">
        <v>-2.5</v>
      </c>
      <c r="E356">
        <v>0.51757600000000004</v>
      </c>
      <c r="F356">
        <v>6.6025999999999998</v>
      </c>
      <c r="G356">
        <v>7.4388500000000005E-8</v>
      </c>
      <c r="H356">
        <v>331.983</v>
      </c>
      <c r="I356" s="8">
        <f>bank_data[[#This Row],[intresses]]-bank_data[[#This Row],[losses]]</f>
        <v>-331.98299992561152</v>
      </c>
    </row>
    <row r="357" spans="1:9" x14ac:dyDescent="0.25">
      <c r="A357">
        <v>356</v>
      </c>
      <c r="B357">
        <v>-34394.800000000003</v>
      </c>
      <c r="C357">
        <v>12</v>
      </c>
      <c r="D357">
        <v>-2.5</v>
      </c>
      <c r="E357">
        <v>0.51757600000000004</v>
      </c>
      <c r="F357">
        <v>6.6025999999999998</v>
      </c>
      <c r="G357">
        <v>7.0669100000000001E-8</v>
      </c>
      <c r="H357">
        <v>287.83800000000002</v>
      </c>
      <c r="I357" s="8">
        <f>bank_data[[#This Row],[intresses]]-bank_data[[#This Row],[losses]]</f>
        <v>-287.83799992933092</v>
      </c>
    </row>
    <row r="358" spans="1:9" x14ac:dyDescent="0.25">
      <c r="A358">
        <v>357</v>
      </c>
      <c r="B358">
        <v>-34782.5</v>
      </c>
      <c r="C358">
        <v>12</v>
      </c>
      <c r="D358">
        <v>-2.5</v>
      </c>
      <c r="E358">
        <v>0.51757600000000004</v>
      </c>
      <c r="F358">
        <v>6.6025999999999998</v>
      </c>
      <c r="G358">
        <v>6.7135600000000005E-8</v>
      </c>
      <c r="H358">
        <v>387.7</v>
      </c>
      <c r="I358" s="8">
        <f>bank_data[[#This Row],[intresses]]-bank_data[[#This Row],[losses]]</f>
        <v>-387.69999993286439</v>
      </c>
    </row>
    <row r="359" spans="1:9" x14ac:dyDescent="0.25">
      <c r="A359">
        <v>358</v>
      </c>
      <c r="B359">
        <v>-35131</v>
      </c>
      <c r="C359">
        <v>12</v>
      </c>
      <c r="D359">
        <v>-2.5</v>
      </c>
      <c r="E359">
        <v>0.51757600000000004</v>
      </c>
      <c r="F359">
        <v>6.6025999999999998</v>
      </c>
      <c r="G359">
        <v>6.3778799999999994E-8</v>
      </c>
      <c r="H359">
        <v>348.57499999999999</v>
      </c>
      <c r="I359" s="8">
        <f>bank_data[[#This Row],[intresses]]-bank_data[[#This Row],[losses]]</f>
        <v>-348.57499993622116</v>
      </c>
    </row>
    <row r="360" spans="1:9" x14ac:dyDescent="0.25">
      <c r="A360">
        <v>359</v>
      </c>
      <c r="B360">
        <v>-35513.800000000003</v>
      </c>
      <c r="C360">
        <v>12</v>
      </c>
      <c r="D360">
        <v>-2.5</v>
      </c>
      <c r="E360">
        <v>0.51757600000000004</v>
      </c>
      <c r="F360">
        <v>6.6025999999999998</v>
      </c>
      <c r="G360">
        <v>6.0589899999999996E-8</v>
      </c>
      <c r="H360">
        <v>382.70699999999999</v>
      </c>
      <c r="I360" s="8">
        <f>bank_data[[#This Row],[intresses]]-bank_data[[#This Row],[losses]]</f>
        <v>-382.70699993941008</v>
      </c>
    </row>
    <row r="361" spans="1:9" x14ac:dyDescent="0.25">
      <c r="A361">
        <v>360</v>
      </c>
      <c r="B361">
        <v>-35856.699999999997</v>
      </c>
      <c r="C361">
        <v>12</v>
      </c>
      <c r="D361">
        <v>-2.5</v>
      </c>
      <c r="E361">
        <v>0.51757600000000004</v>
      </c>
      <c r="F361">
        <v>6.6025999999999998</v>
      </c>
      <c r="G361">
        <v>5.7560400000000002E-8</v>
      </c>
      <c r="H361">
        <v>342.964</v>
      </c>
      <c r="I361" s="8">
        <f>bank_data[[#This Row],[intresses]]-bank_data[[#This Row],[losses]]</f>
        <v>-342.96399994243961</v>
      </c>
    </row>
    <row r="362" spans="1:9" x14ac:dyDescent="0.25">
      <c r="A362">
        <v>361</v>
      </c>
      <c r="B362">
        <v>-36227.599999999999</v>
      </c>
      <c r="C362">
        <v>12</v>
      </c>
      <c r="D362">
        <v>-2.5</v>
      </c>
      <c r="E362">
        <v>0.51757600000000004</v>
      </c>
      <c r="F362">
        <v>6.6025999999999998</v>
      </c>
      <c r="G362">
        <v>5.4682400000000001E-8</v>
      </c>
      <c r="H362">
        <v>370.911</v>
      </c>
      <c r="I362" s="8">
        <f>bank_data[[#This Row],[intresses]]-bank_data[[#This Row],[losses]]</f>
        <v>-370.9109999453176</v>
      </c>
    </row>
    <row r="363" spans="1:9" x14ac:dyDescent="0.25">
      <c r="A363">
        <v>362</v>
      </c>
      <c r="B363">
        <v>-36600.699999999997</v>
      </c>
      <c r="C363">
        <v>12</v>
      </c>
      <c r="D363">
        <v>-2.5</v>
      </c>
      <c r="E363">
        <v>0.51757600000000004</v>
      </c>
      <c r="F363">
        <v>6.6025999999999998</v>
      </c>
      <c r="G363">
        <v>5.1948299999999999E-8</v>
      </c>
      <c r="H363">
        <v>373.02699999999999</v>
      </c>
      <c r="I363" s="8">
        <f>bank_data[[#This Row],[intresses]]-bank_data[[#This Row],[losses]]</f>
        <v>-373.0269999480517</v>
      </c>
    </row>
    <row r="364" spans="1:9" x14ac:dyDescent="0.25">
      <c r="A364">
        <v>363</v>
      </c>
      <c r="B364">
        <v>-37000.5</v>
      </c>
      <c r="C364">
        <v>12</v>
      </c>
      <c r="D364">
        <v>-2.5</v>
      </c>
      <c r="E364">
        <v>0.51757600000000004</v>
      </c>
      <c r="F364">
        <v>6.6025999999999998</v>
      </c>
      <c r="G364">
        <v>4.9350799999999999E-8</v>
      </c>
      <c r="H364">
        <v>399.86200000000002</v>
      </c>
      <c r="I364" s="8">
        <f>bank_data[[#This Row],[intresses]]-bank_data[[#This Row],[losses]]</f>
        <v>-399.86199995064925</v>
      </c>
    </row>
    <row r="365" spans="1:9" x14ac:dyDescent="0.25">
      <c r="A365">
        <v>364</v>
      </c>
      <c r="B365">
        <v>-37419.800000000003</v>
      </c>
      <c r="C365">
        <v>12</v>
      </c>
      <c r="D365">
        <v>-2.5</v>
      </c>
      <c r="E365">
        <v>0.51757600000000004</v>
      </c>
      <c r="F365">
        <v>6.6025999999999998</v>
      </c>
      <c r="G365">
        <v>4.68833E-8</v>
      </c>
      <c r="H365">
        <v>419.30700000000002</v>
      </c>
      <c r="I365" s="8">
        <f>bank_data[[#This Row],[intresses]]-bank_data[[#This Row],[losses]]</f>
        <v>-419.3069999531167</v>
      </c>
    </row>
    <row r="366" spans="1:9" x14ac:dyDescent="0.25">
      <c r="A366">
        <v>365</v>
      </c>
      <c r="B366">
        <v>-37842.5</v>
      </c>
      <c r="C366">
        <v>12</v>
      </c>
      <c r="D366">
        <v>-2.5</v>
      </c>
      <c r="E366">
        <v>0.51757600000000004</v>
      </c>
      <c r="F366">
        <v>6.6025999999999998</v>
      </c>
      <c r="G366">
        <v>4.4539099999999998E-8</v>
      </c>
      <c r="H366">
        <v>422.67500000000001</v>
      </c>
      <c r="I366" s="8">
        <f>bank_data[[#This Row],[intresses]]-bank_data[[#This Row],[losses]]</f>
        <v>-422.67499995546092</v>
      </c>
    </row>
    <row r="367" spans="1:9" x14ac:dyDescent="0.25">
      <c r="A367">
        <v>366</v>
      </c>
      <c r="B367">
        <v>-38259.5</v>
      </c>
      <c r="C367">
        <v>12</v>
      </c>
      <c r="D367">
        <v>-2.5</v>
      </c>
      <c r="E367">
        <v>0.51757600000000004</v>
      </c>
      <c r="F367">
        <v>6.6025999999999998</v>
      </c>
      <c r="G367">
        <v>4.23122E-8</v>
      </c>
      <c r="H367">
        <v>417.02600000000001</v>
      </c>
      <c r="I367" s="8">
        <f>bank_data[[#This Row],[intresses]]-bank_data[[#This Row],[losses]]</f>
        <v>-417.02599995768782</v>
      </c>
    </row>
    <row r="368" spans="1:9" x14ac:dyDescent="0.25">
      <c r="A368">
        <v>367</v>
      </c>
      <c r="B368">
        <v>-38651.1</v>
      </c>
      <c r="C368">
        <v>12</v>
      </c>
      <c r="D368">
        <v>-2.5</v>
      </c>
      <c r="E368">
        <v>0.51757600000000004</v>
      </c>
      <c r="F368">
        <v>6.6025999999999998</v>
      </c>
      <c r="G368">
        <v>4.0196599999999997E-8</v>
      </c>
      <c r="H368">
        <v>391.61399999999998</v>
      </c>
      <c r="I368" s="8">
        <f>bank_data[[#This Row],[intresses]]-bank_data[[#This Row],[losses]]</f>
        <v>-391.61399995980338</v>
      </c>
    </row>
    <row r="369" spans="1:9" x14ac:dyDescent="0.25">
      <c r="A369">
        <v>368</v>
      </c>
      <c r="B369">
        <v>-39015.699999999997</v>
      </c>
      <c r="C369">
        <v>12</v>
      </c>
      <c r="D369">
        <v>-2.5</v>
      </c>
      <c r="E369">
        <v>0.51757600000000004</v>
      </c>
      <c r="F369">
        <v>6.6025999999999998</v>
      </c>
      <c r="G369">
        <v>3.81867E-8</v>
      </c>
      <c r="H369">
        <v>364.58699999999999</v>
      </c>
      <c r="I369" s="8">
        <f>bank_data[[#This Row],[intresses]]-bank_data[[#This Row],[losses]]</f>
        <v>-364.58699996181326</v>
      </c>
    </row>
    <row r="370" spans="1:9" x14ac:dyDescent="0.25">
      <c r="A370">
        <v>369</v>
      </c>
      <c r="B370">
        <v>-39480</v>
      </c>
      <c r="C370">
        <v>12</v>
      </c>
      <c r="D370">
        <v>-2.5</v>
      </c>
      <c r="E370">
        <v>0.51757600000000004</v>
      </c>
      <c r="F370">
        <v>6.6025999999999998</v>
      </c>
      <c r="G370">
        <v>3.6277400000000003E-8</v>
      </c>
      <c r="H370">
        <v>464.29899999999998</v>
      </c>
      <c r="I370" s="8">
        <f>bank_data[[#This Row],[intresses]]-bank_data[[#This Row],[losses]]</f>
        <v>-464.29899996372257</v>
      </c>
    </row>
    <row r="371" spans="1:9" x14ac:dyDescent="0.25">
      <c r="A371">
        <v>370</v>
      </c>
      <c r="B371">
        <v>-39812.199999999997</v>
      </c>
      <c r="C371">
        <v>12</v>
      </c>
      <c r="D371">
        <v>-2.5</v>
      </c>
      <c r="E371">
        <v>0.51757600000000004</v>
      </c>
      <c r="F371">
        <v>6.6025999999999998</v>
      </c>
      <c r="G371">
        <v>3.4463500000000003E-8</v>
      </c>
      <c r="H371">
        <v>332.21100000000001</v>
      </c>
      <c r="I371" s="8">
        <f>bank_data[[#This Row],[intresses]]-bank_data[[#This Row],[losses]]</f>
        <v>-332.21099996553653</v>
      </c>
    </row>
    <row r="372" spans="1:9" x14ac:dyDescent="0.25">
      <c r="A372">
        <v>371</v>
      </c>
      <c r="B372">
        <v>-40148</v>
      </c>
      <c r="C372">
        <v>12</v>
      </c>
      <c r="D372">
        <v>-2.5</v>
      </c>
      <c r="E372">
        <v>0.51757600000000004</v>
      </c>
      <c r="F372">
        <v>6.6025999999999998</v>
      </c>
      <c r="G372">
        <v>3.2740400000000002E-8</v>
      </c>
      <c r="H372">
        <v>335.75200000000001</v>
      </c>
      <c r="I372" s="8">
        <f>bank_data[[#This Row],[intresses]]-bank_data[[#This Row],[losses]]</f>
        <v>-335.75199996725962</v>
      </c>
    </row>
    <row r="373" spans="1:9" x14ac:dyDescent="0.25">
      <c r="A373">
        <v>372</v>
      </c>
      <c r="B373">
        <v>-40570.800000000003</v>
      </c>
      <c r="C373">
        <v>12</v>
      </c>
      <c r="D373">
        <v>-2.5</v>
      </c>
      <c r="E373">
        <v>0.51757600000000004</v>
      </c>
      <c r="F373">
        <v>6.6025999999999998</v>
      </c>
      <c r="G373">
        <v>3.11033E-8</v>
      </c>
      <c r="H373">
        <v>422.779</v>
      </c>
      <c r="I373" s="8">
        <f>bank_data[[#This Row],[intresses]]-bank_data[[#This Row],[losses]]</f>
        <v>-422.7789999688967</v>
      </c>
    </row>
    <row r="374" spans="1:9" x14ac:dyDescent="0.25">
      <c r="A374">
        <v>373</v>
      </c>
      <c r="B374">
        <v>-40938.6</v>
      </c>
      <c r="C374">
        <v>12</v>
      </c>
      <c r="D374">
        <v>-2.5</v>
      </c>
      <c r="E374">
        <v>0.51757600000000004</v>
      </c>
      <c r="F374">
        <v>6.6025999999999998</v>
      </c>
      <c r="G374">
        <v>2.9548199999999999E-8</v>
      </c>
      <c r="H374">
        <v>367.86</v>
      </c>
      <c r="I374" s="8">
        <f>bank_data[[#This Row],[intresses]]-bank_data[[#This Row],[losses]]</f>
        <v>-367.85999997045184</v>
      </c>
    </row>
    <row r="375" spans="1:9" x14ac:dyDescent="0.25">
      <c r="A375">
        <v>374</v>
      </c>
      <c r="B375">
        <v>-41309.300000000003</v>
      </c>
      <c r="C375">
        <v>12</v>
      </c>
      <c r="D375">
        <v>-2.5</v>
      </c>
      <c r="E375">
        <v>0.51757600000000004</v>
      </c>
      <c r="F375">
        <v>6.6025999999999998</v>
      </c>
      <c r="G375">
        <v>2.8070799999999999E-8</v>
      </c>
      <c r="H375">
        <v>370.66899999999998</v>
      </c>
      <c r="I375" s="8">
        <f>bank_data[[#This Row],[intresses]]-bank_data[[#This Row],[losses]]</f>
        <v>-370.66899997192917</v>
      </c>
    </row>
    <row r="376" spans="1:9" x14ac:dyDescent="0.25">
      <c r="A376">
        <v>375</v>
      </c>
      <c r="B376">
        <v>-41716.300000000003</v>
      </c>
      <c r="C376">
        <v>12</v>
      </c>
      <c r="D376">
        <v>-2.5</v>
      </c>
      <c r="E376">
        <v>0.51757600000000004</v>
      </c>
      <c r="F376">
        <v>6.6025999999999998</v>
      </c>
      <c r="G376">
        <v>2.6667200000000001E-8</v>
      </c>
      <c r="H376">
        <v>406.95499999999998</v>
      </c>
      <c r="I376" s="8">
        <f>bank_data[[#This Row],[intresses]]-bank_data[[#This Row],[losses]]</f>
        <v>-406.9549999733328</v>
      </c>
    </row>
    <row r="377" spans="1:9" x14ac:dyDescent="0.25">
      <c r="A377">
        <v>376</v>
      </c>
      <c r="B377">
        <v>-42098.3</v>
      </c>
      <c r="C377">
        <v>12</v>
      </c>
      <c r="D377">
        <v>-2.5</v>
      </c>
      <c r="E377">
        <v>0.51757600000000004</v>
      </c>
      <c r="F377">
        <v>6.6025999999999998</v>
      </c>
      <c r="G377">
        <v>2.5333900000000002E-8</v>
      </c>
      <c r="H377">
        <v>382.07400000000001</v>
      </c>
      <c r="I377" s="8">
        <f>bank_data[[#This Row],[intresses]]-bank_data[[#This Row],[losses]]</f>
        <v>-382.07399997466609</v>
      </c>
    </row>
    <row r="378" spans="1:9" x14ac:dyDescent="0.25">
      <c r="A378">
        <v>377</v>
      </c>
      <c r="B378">
        <v>-42438.6</v>
      </c>
      <c r="C378">
        <v>12</v>
      </c>
      <c r="D378">
        <v>-2.5</v>
      </c>
      <c r="E378">
        <v>0.51757600000000004</v>
      </c>
      <c r="F378">
        <v>6.6025999999999998</v>
      </c>
      <c r="G378">
        <v>2.4067200000000001E-8</v>
      </c>
      <c r="H378">
        <v>340.262</v>
      </c>
      <c r="I378" s="8">
        <f>bank_data[[#This Row],[intresses]]-bank_data[[#This Row],[losses]]</f>
        <v>-340.26199997593278</v>
      </c>
    </row>
    <row r="379" spans="1:9" x14ac:dyDescent="0.25">
      <c r="A379">
        <v>378</v>
      </c>
      <c r="B379">
        <v>-42918.6</v>
      </c>
      <c r="C379">
        <v>12</v>
      </c>
      <c r="D379">
        <v>-2.5</v>
      </c>
      <c r="E379">
        <v>0.51757600000000004</v>
      </c>
      <c r="F379">
        <v>6.6025999999999998</v>
      </c>
      <c r="G379">
        <v>2.2863800000000001E-8</v>
      </c>
      <c r="H379">
        <v>479.96699999999998</v>
      </c>
      <c r="I379" s="8">
        <f>bank_data[[#This Row],[intresses]]-bank_data[[#This Row],[losses]]</f>
        <v>-479.9669999771362</v>
      </c>
    </row>
    <row r="380" spans="1:9" x14ac:dyDescent="0.25">
      <c r="A380">
        <v>379</v>
      </c>
      <c r="B380">
        <v>-43270.400000000001</v>
      </c>
      <c r="C380">
        <v>12</v>
      </c>
      <c r="D380">
        <v>-2.5</v>
      </c>
      <c r="E380">
        <v>0.51757600000000004</v>
      </c>
      <c r="F380">
        <v>6.6025999999999998</v>
      </c>
      <c r="G380">
        <v>2.1720600000000001E-8</v>
      </c>
      <c r="H380">
        <v>351.79599999999999</v>
      </c>
      <c r="I380" s="8">
        <f>bank_data[[#This Row],[intresses]]-bank_data[[#This Row],[losses]]</f>
        <v>-351.79599997827938</v>
      </c>
    </row>
    <row r="381" spans="1:9" x14ac:dyDescent="0.25">
      <c r="A381">
        <v>380</v>
      </c>
      <c r="B381">
        <v>-43707.5</v>
      </c>
      <c r="C381">
        <v>12</v>
      </c>
      <c r="D381">
        <v>-2.5</v>
      </c>
      <c r="E381">
        <v>0.51757600000000004</v>
      </c>
      <c r="F381">
        <v>6.6025999999999998</v>
      </c>
      <c r="G381">
        <v>2.0634600000000001E-8</v>
      </c>
      <c r="H381">
        <v>437.14299999999997</v>
      </c>
      <c r="I381" s="8">
        <f>bank_data[[#This Row],[intresses]]-bank_data[[#This Row],[losses]]</f>
        <v>-437.14299997936536</v>
      </c>
    </row>
    <row r="382" spans="1:9" x14ac:dyDescent="0.25">
      <c r="A382">
        <v>381</v>
      </c>
      <c r="B382">
        <v>-44187.4</v>
      </c>
      <c r="C382">
        <v>12</v>
      </c>
      <c r="D382">
        <v>-2.5</v>
      </c>
      <c r="E382">
        <v>0.51757600000000004</v>
      </c>
      <c r="F382">
        <v>6.6025999999999998</v>
      </c>
      <c r="G382">
        <v>1.9602900000000001E-8</v>
      </c>
      <c r="H382">
        <v>479.94</v>
      </c>
      <c r="I382" s="8">
        <f>bank_data[[#This Row],[intresses]]-bank_data[[#This Row],[losses]]</f>
        <v>-479.93999998039709</v>
      </c>
    </row>
    <row r="383" spans="1:9" x14ac:dyDescent="0.25">
      <c r="A383">
        <v>382</v>
      </c>
      <c r="B383">
        <v>-44680.1</v>
      </c>
      <c r="C383">
        <v>12</v>
      </c>
      <c r="D383">
        <v>-2.5</v>
      </c>
      <c r="E383">
        <v>0.51757600000000004</v>
      </c>
      <c r="F383">
        <v>6.6025999999999998</v>
      </c>
      <c r="G383">
        <v>1.8622700000000001E-8</v>
      </c>
      <c r="H383">
        <v>492.63400000000001</v>
      </c>
      <c r="I383" s="8">
        <f>bank_data[[#This Row],[intresses]]-bank_data[[#This Row],[losses]]</f>
        <v>-492.63399998137731</v>
      </c>
    </row>
    <row r="384" spans="1:9" x14ac:dyDescent="0.25">
      <c r="A384">
        <v>383</v>
      </c>
      <c r="B384">
        <v>-45040.9</v>
      </c>
      <c r="C384">
        <v>12</v>
      </c>
      <c r="D384">
        <v>-2.5</v>
      </c>
      <c r="E384">
        <v>0.51757600000000004</v>
      </c>
      <c r="F384">
        <v>6.6025999999999998</v>
      </c>
      <c r="G384">
        <v>1.7691599999999999E-8</v>
      </c>
      <c r="H384">
        <v>360.79199999999997</v>
      </c>
      <c r="I384" s="8">
        <f>bank_data[[#This Row],[intresses]]-bank_data[[#This Row],[losses]]</f>
        <v>-360.79199998230837</v>
      </c>
    </row>
    <row r="385" spans="1:9" x14ac:dyDescent="0.25">
      <c r="A385">
        <v>384</v>
      </c>
      <c r="B385">
        <v>-45514.6</v>
      </c>
      <c r="C385">
        <v>12</v>
      </c>
      <c r="D385">
        <v>-2.5</v>
      </c>
      <c r="E385">
        <v>0.51757600000000004</v>
      </c>
      <c r="F385">
        <v>6.6025999999999998</v>
      </c>
      <c r="G385">
        <v>1.6807E-8</v>
      </c>
      <c r="H385">
        <v>473.774</v>
      </c>
      <c r="I385" s="8">
        <f>bank_data[[#This Row],[intresses]]-bank_data[[#This Row],[losses]]</f>
        <v>-473.77399998319299</v>
      </c>
    </row>
    <row r="386" spans="1:9" x14ac:dyDescent="0.25">
      <c r="A386">
        <v>385</v>
      </c>
      <c r="B386">
        <v>-46010.1</v>
      </c>
      <c r="C386">
        <v>12</v>
      </c>
      <c r="D386">
        <v>-2.5</v>
      </c>
      <c r="E386">
        <v>0.51757600000000004</v>
      </c>
      <c r="F386">
        <v>6.6025999999999998</v>
      </c>
      <c r="G386">
        <v>1.59667E-8</v>
      </c>
      <c r="H386">
        <v>495.495</v>
      </c>
      <c r="I386" s="8">
        <f>bank_data[[#This Row],[intresses]]-bank_data[[#This Row],[losses]]</f>
        <v>-495.49499998403331</v>
      </c>
    </row>
    <row r="387" spans="1:9" x14ac:dyDescent="0.25">
      <c r="A387">
        <v>386</v>
      </c>
      <c r="B387">
        <v>-46409.1</v>
      </c>
      <c r="C387">
        <v>12</v>
      </c>
      <c r="D387">
        <v>-2.5</v>
      </c>
      <c r="E387">
        <v>0.51757600000000004</v>
      </c>
      <c r="F387">
        <v>6.6025999999999998</v>
      </c>
      <c r="G387">
        <v>1.51683E-8</v>
      </c>
      <c r="H387">
        <v>399.00599999999997</v>
      </c>
      <c r="I387" s="8">
        <f>bank_data[[#This Row],[intresses]]-bank_data[[#This Row],[losses]]</f>
        <v>-399.00599998483165</v>
      </c>
    </row>
    <row r="388" spans="1:9" x14ac:dyDescent="0.25">
      <c r="A388">
        <v>387</v>
      </c>
      <c r="B388">
        <v>-46846.8</v>
      </c>
      <c r="C388">
        <v>12</v>
      </c>
      <c r="D388">
        <v>-2.5</v>
      </c>
      <c r="E388">
        <v>0.51757600000000004</v>
      </c>
      <c r="F388">
        <v>6.6025999999999998</v>
      </c>
      <c r="G388">
        <v>1.4409899999999999E-8</v>
      </c>
      <c r="H388">
        <v>437.65800000000002</v>
      </c>
      <c r="I388" s="8">
        <f>bank_data[[#This Row],[intresses]]-bank_data[[#This Row],[losses]]</f>
        <v>-437.6579999855901</v>
      </c>
    </row>
    <row r="389" spans="1:9" x14ac:dyDescent="0.25">
      <c r="A389">
        <v>388</v>
      </c>
      <c r="B389">
        <v>-47241.5</v>
      </c>
      <c r="C389">
        <v>12</v>
      </c>
      <c r="D389">
        <v>-2.5</v>
      </c>
      <c r="E389">
        <v>0.51757600000000004</v>
      </c>
      <c r="F389">
        <v>6.6025999999999998</v>
      </c>
      <c r="G389">
        <v>1.3689399999999999E-8</v>
      </c>
      <c r="H389">
        <v>394.72199999999998</v>
      </c>
      <c r="I389" s="8">
        <f>bank_data[[#This Row],[intresses]]-bank_data[[#This Row],[losses]]</f>
        <v>-394.72199998631061</v>
      </c>
    </row>
    <row r="390" spans="1:9" x14ac:dyDescent="0.25">
      <c r="A390">
        <v>389</v>
      </c>
      <c r="B390">
        <v>-47682.7</v>
      </c>
      <c r="C390">
        <v>12</v>
      </c>
      <c r="D390">
        <v>-2.5</v>
      </c>
      <c r="E390">
        <v>0.51757600000000004</v>
      </c>
      <c r="F390">
        <v>6.6025999999999998</v>
      </c>
      <c r="G390">
        <v>1.3004899999999999E-8</v>
      </c>
      <c r="H390">
        <v>441.22399999999999</v>
      </c>
      <c r="I390" s="8">
        <f>bank_data[[#This Row],[intresses]]-bank_data[[#This Row],[losses]]</f>
        <v>-441.22399998699507</v>
      </c>
    </row>
    <row r="391" spans="1:9" x14ac:dyDescent="0.25">
      <c r="A391">
        <v>390</v>
      </c>
      <c r="B391">
        <v>-48092.3</v>
      </c>
      <c r="C391">
        <v>12</v>
      </c>
      <c r="D391">
        <v>-2.5</v>
      </c>
      <c r="E391">
        <v>0.51757600000000004</v>
      </c>
      <c r="F391">
        <v>6.6025999999999998</v>
      </c>
      <c r="G391">
        <v>1.2354700000000001E-8</v>
      </c>
      <c r="H391">
        <v>409.51499999999999</v>
      </c>
      <c r="I391" s="8">
        <f>bank_data[[#This Row],[intresses]]-bank_data[[#This Row],[losses]]</f>
        <v>-409.5149999876453</v>
      </c>
    </row>
    <row r="392" spans="1:9" x14ac:dyDescent="0.25">
      <c r="A392">
        <v>391</v>
      </c>
      <c r="B392">
        <v>-48527.6</v>
      </c>
      <c r="C392">
        <v>12</v>
      </c>
      <c r="D392">
        <v>-2.5</v>
      </c>
      <c r="E392">
        <v>0.51757600000000004</v>
      </c>
      <c r="F392">
        <v>6.6025999999999998</v>
      </c>
      <c r="G392">
        <v>1.1736999999999999E-8</v>
      </c>
      <c r="H392">
        <v>435.31700000000001</v>
      </c>
      <c r="I392" s="8">
        <f>bank_data[[#This Row],[intresses]]-bank_data[[#This Row],[losses]]</f>
        <v>-435.31699998826303</v>
      </c>
    </row>
    <row r="393" spans="1:9" x14ac:dyDescent="0.25">
      <c r="A393">
        <v>392</v>
      </c>
      <c r="B393">
        <v>-49029.5</v>
      </c>
      <c r="C393">
        <v>12</v>
      </c>
      <c r="D393">
        <v>-2.5</v>
      </c>
      <c r="E393">
        <v>0.51757600000000004</v>
      </c>
      <c r="F393">
        <v>6.6025999999999998</v>
      </c>
      <c r="G393">
        <v>1.1150099999999999E-8</v>
      </c>
      <c r="H393">
        <v>501.947</v>
      </c>
      <c r="I393" s="8">
        <f>bank_data[[#This Row],[intresses]]-bank_data[[#This Row],[losses]]</f>
        <v>-501.94699998884988</v>
      </c>
    </row>
    <row r="394" spans="1:9" x14ac:dyDescent="0.25">
      <c r="A394">
        <v>393</v>
      </c>
      <c r="B394">
        <v>-49497.5</v>
      </c>
      <c r="C394">
        <v>12</v>
      </c>
      <c r="D394">
        <v>-2.5</v>
      </c>
      <c r="E394">
        <v>0.51757600000000004</v>
      </c>
      <c r="F394">
        <v>6.6025999999999998</v>
      </c>
      <c r="G394">
        <v>1.0592599999999999E-8</v>
      </c>
      <c r="H394">
        <v>467.93700000000001</v>
      </c>
      <c r="I394" s="8">
        <f>bank_data[[#This Row],[intresses]]-bank_data[[#This Row],[losses]]</f>
        <v>-467.93699998940741</v>
      </c>
    </row>
    <row r="395" spans="1:9" x14ac:dyDescent="0.25">
      <c r="A395">
        <v>394</v>
      </c>
      <c r="B395">
        <v>-50047.199999999997</v>
      </c>
      <c r="C395">
        <v>12</v>
      </c>
      <c r="D395">
        <v>-2.5</v>
      </c>
      <c r="E395">
        <v>0.51757600000000004</v>
      </c>
      <c r="F395">
        <v>6.6025999999999998</v>
      </c>
      <c r="G395">
        <v>1.0063000000000001E-8</v>
      </c>
      <c r="H395">
        <v>549.76400000000001</v>
      </c>
      <c r="I395" s="8">
        <f>bank_data[[#This Row],[intresses]]-bank_data[[#This Row],[losses]]</f>
        <v>-549.76399998993702</v>
      </c>
    </row>
    <row r="396" spans="1:9" x14ac:dyDescent="0.25">
      <c r="A396">
        <v>395</v>
      </c>
      <c r="B396">
        <v>-50501.8</v>
      </c>
      <c r="C396">
        <v>12</v>
      </c>
      <c r="D396">
        <v>-2.5</v>
      </c>
      <c r="E396">
        <v>0.51757600000000004</v>
      </c>
      <c r="F396">
        <v>6.6025999999999998</v>
      </c>
      <c r="G396">
        <v>9.5598199999999998E-9</v>
      </c>
      <c r="H396">
        <v>454.57100000000003</v>
      </c>
      <c r="I396" s="8">
        <f>bank_data[[#This Row],[intresses]]-bank_data[[#This Row],[losses]]</f>
        <v>-454.57099999044021</v>
      </c>
    </row>
    <row r="397" spans="1:9" x14ac:dyDescent="0.25">
      <c r="A397">
        <v>396</v>
      </c>
      <c r="B397">
        <v>-50995.199999999997</v>
      </c>
      <c r="C397">
        <v>12</v>
      </c>
      <c r="D397">
        <v>-2.5</v>
      </c>
      <c r="E397">
        <v>0.51757600000000004</v>
      </c>
      <c r="F397">
        <v>6.6025999999999998</v>
      </c>
      <c r="G397">
        <v>9.0818300000000003E-9</v>
      </c>
      <c r="H397">
        <v>493.42</v>
      </c>
      <c r="I397" s="8">
        <f>bank_data[[#This Row],[intresses]]-bank_data[[#This Row],[losses]]</f>
        <v>-493.4199999909182</v>
      </c>
    </row>
    <row r="398" spans="1:9" x14ac:dyDescent="0.25">
      <c r="A398">
        <v>397</v>
      </c>
      <c r="B398">
        <v>-51471</v>
      </c>
      <c r="C398">
        <v>12</v>
      </c>
      <c r="D398">
        <v>-2.5</v>
      </c>
      <c r="E398">
        <v>0.51757600000000004</v>
      </c>
      <c r="F398">
        <v>6.6025999999999998</v>
      </c>
      <c r="G398">
        <v>8.6277399999999994E-9</v>
      </c>
      <c r="H398">
        <v>475.8</v>
      </c>
      <c r="I398" s="8">
        <f>bank_data[[#This Row],[intresses]]-bank_data[[#This Row],[losses]]</f>
        <v>-475.79999999137226</v>
      </c>
    </row>
    <row r="399" spans="1:9" x14ac:dyDescent="0.25">
      <c r="A399">
        <v>398</v>
      </c>
      <c r="B399">
        <v>-52076.3</v>
      </c>
      <c r="C399">
        <v>12</v>
      </c>
      <c r="D399">
        <v>-2.5</v>
      </c>
      <c r="E399">
        <v>0.51757600000000004</v>
      </c>
      <c r="F399">
        <v>6.6025999999999998</v>
      </c>
      <c r="G399">
        <v>8.1963500000000001E-9</v>
      </c>
      <c r="H399">
        <v>605.31200000000001</v>
      </c>
      <c r="I399" s="8">
        <f>bank_data[[#This Row],[intresses]]-bank_data[[#This Row],[losses]]</f>
        <v>-605.31199999180365</v>
      </c>
    </row>
    <row r="400" spans="1:9" x14ac:dyDescent="0.25">
      <c r="A400">
        <v>399</v>
      </c>
      <c r="B400">
        <v>-52497.8</v>
      </c>
      <c r="C400">
        <v>12</v>
      </c>
      <c r="D400">
        <v>-2.5</v>
      </c>
      <c r="E400">
        <v>0.51757600000000004</v>
      </c>
      <c r="F400">
        <v>6.6025999999999998</v>
      </c>
      <c r="G400">
        <v>7.7865399999999995E-9</v>
      </c>
      <c r="H400">
        <v>421.48</v>
      </c>
      <c r="I400" s="8">
        <f>bank_data[[#This Row],[intresses]]-bank_data[[#This Row],[losses]]</f>
        <v>-421.47999999221349</v>
      </c>
    </row>
    <row r="401" spans="1:9" x14ac:dyDescent="0.25">
      <c r="A401">
        <v>400</v>
      </c>
      <c r="B401">
        <v>-53142.3</v>
      </c>
      <c r="C401">
        <v>12</v>
      </c>
      <c r="D401">
        <v>-2.5</v>
      </c>
      <c r="E401">
        <v>0.51757600000000004</v>
      </c>
      <c r="F401">
        <v>6.6025999999999998</v>
      </c>
      <c r="G401">
        <v>7.3972099999999999E-9</v>
      </c>
      <c r="H401">
        <v>644.53800000000001</v>
      </c>
      <c r="I401" s="8">
        <f>bank_data[[#This Row],[intresses]]-bank_data[[#This Row],[losses]]</f>
        <v>-644.53799999260275</v>
      </c>
    </row>
    <row r="402" spans="1:9" x14ac:dyDescent="0.25">
      <c r="A402">
        <v>401</v>
      </c>
      <c r="B402">
        <v>-53552.3</v>
      </c>
      <c r="C402">
        <v>12</v>
      </c>
      <c r="D402">
        <v>-2.5</v>
      </c>
      <c r="E402">
        <v>0.51757600000000004</v>
      </c>
      <c r="F402">
        <v>6.6025999999999998</v>
      </c>
      <c r="G402">
        <v>7.0273499999999997E-9</v>
      </c>
      <c r="H402">
        <v>409.98500000000001</v>
      </c>
      <c r="I402" s="8">
        <f>bank_data[[#This Row],[intresses]]-bank_data[[#This Row],[losses]]</f>
        <v>-409.98499999297269</v>
      </c>
    </row>
    <row r="403" spans="1:9" x14ac:dyDescent="0.25">
      <c r="A403">
        <v>402</v>
      </c>
      <c r="B403">
        <v>-54183.3</v>
      </c>
      <c r="C403">
        <v>12</v>
      </c>
      <c r="D403">
        <v>-2.5</v>
      </c>
      <c r="E403">
        <v>0.51757600000000004</v>
      </c>
      <c r="F403">
        <v>6.6025999999999998</v>
      </c>
      <c r="G403">
        <v>6.6759799999999999E-9</v>
      </c>
      <c r="H403">
        <v>630.94899999999996</v>
      </c>
      <c r="I403" s="8">
        <f>bank_data[[#This Row],[intresses]]-bank_data[[#This Row],[losses]]</f>
        <v>-630.94899999332392</v>
      </c>
    </row>
    <row r="404" spans="1:9" x14ac:dyDescent="0.25">
      <c r="A404">
        <v>403</v>
      </c>
      <c r="B404">
        <v>-54627.4</v>
      </c>
      <c r="C404">
        <v>12</v>
      </c>
      <c r="D404">
        <v>-2.5</v>
      </c>
      <c r="E404">
        <v>0.51757600000000004</v>
      </c>
      <c r="F404">
        <v>6.6025999999999998</v>
      </c>
      <c r="G404">
        <v>6.3421800000000001E-9</v>
      </c>
      <c r="H404">
        <v>444.14</v>
      </c>
      <c r="I404" s="8">
        <f>bank_data[[#This Row],[intresses]]-bank_data[[#This Row],[losses]]</f>
        <v>-444.1399999936578</v>
      </c>
    </row>
    <row r="405" spans="1:9" x14ac:dyDescent="0.25">
      <c r="A405">
        <v>404</v>
      </c>
      <c r="B405">
        <v>-54968.5</v>
      </c>
      <c r="C405">
        <v>12</v>
      </c>
      <c r="D405">
        <v>-2.5</v>
      </c>
      <c r="E405">
        <v>0.51757600000000004</v>
      </c>
      <c r="F405">
        <v>6.6025999999999998</v>
      </c>
      <c r="G405">
        <v>6.0250700000000002E-9</v>
      </c>
      <c r="H405">
        <v>341.04700000000003</v>
      </c>
      <c r="I405" s="8">
        <f>bank_data[[#This Row],[intresses]]-bank_data[[#This Row],[losses]]</f>
        <v>-341.04699999397496</v>
      </c>
    </row>
    <row r="406" spans="1:9" x14ac:dyDescent="0.25">
      <c r="A406">
        <v>405</v>
      </c>
      <c r="B406">
        <v>-55496.3</v>
      </c>
      <c r="C406">
        <v>12</v>
      </c>
      <c r="D406">
        <v>-2.5</v>
      </c>
      <c r="E406">
        <v>0.51757600000000004</v>
      </c>
      <c r="F406">
        <v>6.6025999999999998</v>
      </c>
      <c r="G406">
        <v>5.7238200000000002E-9</v>
      </c>
      <c r="H406">
        <v>527.86</v>
      </c>
      <c r="I406" s="8">
        <f>bank_data[[#This Row],[intresses]]-bank_data[[#This Row],[losses]]</f>
        <v>-527.85999999427622</v>
      </c>
    </row>
    <row r="407" spans="1:9" x14ac:dyDescent="0.25">
      <c r="A407">
        <v>406</v>
      </c>
      <c r="B407">
        <v>-55935.8</v>
      </c>
      <c r="C407">
        <v>12</v>
      </c>
      <c r="D407">
        <v>-2.5</v>
      </c>
      <c r="E407">
        <v>0.51757600000000004</v>
      </c>
      <c r="F407">
        <v>6.6025999999999998</v>
      </c>
      <c r="G407">
        <v>5.43763E-9</v>
      </c>
      <c r="H407">
        <v>439.45600000000002</v>
      </c>
      <c r="I407" s="8">
        <f>bank_data[[#This Row],[intresses]]-bank_data[[#This Row],[losses]]</f>
        <v>-439.45599999456238</v>
      </c>
    </row>
    <row r="408" spans="1:9" x14ac:dyDescent="0.25">
      <c r="A408">
        <v>407</v>
      </c>
      <c r="B408">
        <v>-56441.9</v>
      </c>
      <c r="C408">
        <v>12</v>
      </c>
      <c r="D408">
        <v>-2.5</v>
      </c>
      <c r="E408">
        <v>0.51757600000000004</v>
      </c>
      <c r="F408">
        <v>6.6025999999999998</v>
      </c>
      <c r="G408">
        <v>5.1657500000000003E-9</v>
      </c>
      <c r="H408">
        <v>506.09800000000001</v>
      </c>
      <c r="I408" s="8">
        <f>bank_data[[#This Row],[intresses]]-bank_data[[#This Row],[losses]]</f>
        <v>-506.09799999483425</v>
      </c>
    </row>
    <row r="409" spans="1:9" x14ac:dyDescent="0.25">
      <c r="A409">
        <v>408</v>
      </c>
      <c r="B409">
        <v>-56993.1</v>
      </c>
      <c r="C409">
        <v>12</v>
      </c>
      <c r="D409">
        <v>-2.5</v>
      </c>
      <c r="E409">
        <v>0.51757600000000004</v>
      </c>
      <c r="F409">
        <v>6.6025999999999998</v>
      </c>
      <c r="G409">
        <v>4.9074599999999999E-9</v>
      </c>
      <c r="H409">
        <v>551.20699999999999</v>
      </c>
      <c r="I409" s="8">
        <f>bank_data[[#This Row],[intresses]]-bank_data[[#This Row],[losses]]</f>
        <v>-551.20699999509259</v>
      </c>
    </row>
    <row r="410" spans="1:9" x14ac:dyDescent="0.25">
      <c r="A410">
        <v>409</v>
      </c>
      <c r="B410">
        <v>-57403.6</v>
      </c>
      <c r="C410">
        <v>12</v>
      </c>
      <c r="D410">
        <v>-2.5</v>
      </c>
      <c r="E410">
        <v>0.51757600000000004</v>
      </c>
      <c r="F410">
        <v>6.6025999999999998</v>
      </c>
      <c r="G410">
        <v>4.6620900000000004E-9</v>
      </c>
      <c r="H410">
        <v>410.553</v>
      </c>
      <c r="I410" s="8">
        <f>bank_data[[#This Row],[intresses]]-bank_data[[#This Row],[losses]]</f>
        <v>-410.55299999533793</v>
      </c>
    </row>
    <row r="411" spans="1:9" x14ac:dyDescent="0.25">
      <c r="A411">
        <v>410</v>
      </c>
      <c r="B411">
        <v>-57792.800000000003</v>
      </c>
      <c r="C411">
        <v>12</v>
      </c>
      <c r="D411">
        <v>-2.5</v>
      </c>
      <c r="E411">
        <v>0.51757600000000004</v>
      </c>
      <c r="F411">
        <v>6.6025999999999998</v>
      </c>
      <c r="G411">
        <v>4.4289799999999997E-9</v>
      </c>
      <c r="H411">
        <v>389.17700000000002</v>
      </c>
      <c r="I411" s="8">
        <f>bank_data[[#This Row],[intresses]]-bank_data[[#This Row],[losses]]</f>
        <v>-389.17699999557107</v>
      </c>
    </row>
    <row r="412" spans="1:9" x14ac:dyDescent="0.25">
      <c r="A412">
        <v>411</v>
      </c>
      <c r="B412">
        <v>-58309.1</v>
      </c>
      <c r="C412">
        <v>12</v>
      </c>
      <c r="D412">
        <v>-2.5</v>
      </c>
      <c r="E412">
        <v>0.51757600000000004</v>
      </c>
      <c r="F412">
        <v>6.6025999999999998</v>
      </c>
      <c r="G412">
        <v>4.2075300000000003E-9</v>
      </c>
      <c r="H412">
        <v>516.26599999999996</v>
      </c>
      <c r="I412" s="8">
        <f>bank_data[[#This Row],[intresses]]-bank_data[[#This Row],[losses]]</f>
        <v>-516.26599999579241</v>
      </c>
    </row>
    <row r="413" spans="1:9" x14ac:dyDescent="0.25">
      <c r="A413">
        <v>412</v>
      </c>
      <c r="B413">
        <v>-58687.5</v>
      </c>
      <c r="C413">
        <v>12</v>
      </c>
      <c r="D413">
        <v>-2.5</v>
      </c>
      <c r="E413">
        <v>0.51757600000000004</v>
      </c>
      <c r="F413">
        <v>6.6025999999999998</v>
      </c>
      <c r="G413">
        <v>3.9971599999999999E-9</v>
      </c>
      <c r="H413">
        <v>378.45</v>
      </c>
      <c r="I413" s="8">
        <f>bank_data[[#This Row],[intresses]]-bank_data[[#This Row],[losses]]</f>
        <v>-378.44999999600282</v>
      </c>
    </row>
    <row r="414" spans="1:9" x14ac:dyDescent="0.25">
      <c r="A414">
        <v>413</v>
      </c>
      <c r="B414">
        <v>-59035.199999999997</v>
      </c>
      <c r="C414">
        <v>12</v>
      </c>
      <c r="D414">
        <v>-2.5</v>
      </c>
      <c r="E414">
        <v>0.51757600000000004</v>
      </c>
      <c r="F414">
        <v>6.6025999999999998</v>
      </c>
      <c r="G414">
        <v>3.7972999999999997E-9</v>
      </c>
      <c r="H414">
        <v>347.69400000000002</v>
      </c>
      <c r="I414" s="8">
        <f>bank_data[[#This Row],[intresses]]-bank_data[[#This Row],[losses]]</f>
        <v>-347.69399999620271</v>
      </c>
    </row>
    <row r="415" spans="1:9" x14ac:dyDescent="0.25">
      <c r="A415">
        <v>414</v>
      </c>
      <c r="B415">
        <v>-59602.9</v>
      </c>
      <c r="C415">
        <v>12</v>
      </c>
      <c r="D415">
        <v>-2.5</v>
      </c>
      <c r="E415">
        <v>0.51757600000000004</v>
      </c>
      <c r="F415">
        <v>6.6025999999999998</v>
      </c>
      <c r="G415">
        <v>3.6074299999999998E-9</v>
      </c>
      <c r="H415">
        <v>567.68499999999995</v>
      </c>
      <c r="I415" s="8">
        <f>bank_data[[#This Row],[intresses]]-bank_data[[#This Row],[losses]]</f>
        <v>-567.68499999639255</v>
      </c>
    </row>
    <row r="416" spans="1:9" x14ac:dyDescent="0.25">
      <c r="A416">
        <v>415</v>
      </c>
      <c r="B416">
        <v>-60092.2</v>
      </c>
      <c r="C416">
        <v>12</v>
      </c>
      <c r="D416">
        <v>-2.5</v>
      </c>
      <c r="E416">
        <v>0.51757600000000004</v>
      </c>
      <c r="F416">
        <v>6.6025999999999998</v>
      </c>
      <c r="G416">
        <v>3.42706E-9</v>
      </c>
      <c r="H416">
        <v>489.27800000000002</v>
      </c>
      <c r="I416" s="8">
        <f>bank_data[[#This Row],[intresses]]-bank_data[[#This Row],[losses]]</f>
        <v>-489.27799999657299</v>
      </c>
    </row>
    <row r="417" spans="1:9" x14ac:dyDescent="0.25">
      <c r="A417">
        <v>416</v>
      </c>
      <c r="B417">
        <v>-60812.800000000003</v>
      </c>
      <c r="C417">
        <v>12</v>
      </c>
      <c r="D417">
        <v>-2.5</v>
      </c>
      <c r="E417">
        <v>0.51757600000000004</v>
      </c>
      <c r="F417">
        <v>6.6025999999999998</v>
      </c>
      <c r="G417">
        <v>3.2557100000000001E-9</v>
      </c>
      <c r="H417">
        <v>720.56600000000003</v>
      </c>
      <c r="I417" s="8">
        <f>bank_data[[#This Row],[intresses]]-bank_data[[#This Row],[losses]]</f>
        <v>-720.56599999674427</v>
      </c>
    </row>
    <row r="418" spans="1:9" x14ac:dyDescent="0.25">
      <c r="A418">
        <v>417</v>
      </c>
      <c r="B418">
        <v>-61347.6</v>
      </c>
      <c r="C418">
        <v>12</v>
      </c>
      <c r="D418">
        <v>-2.5</v>
      </c>
      <c r="E418">
        <v>0.51757600000000004</v>
      </c>
      <c r="F418">
        <v>6.6025999999999998</v>
      </c>
      <c r="G418">
        <v>3.0929200000000001E-9</v>
      </c>
      <c r="H418">
        <v>534.89099999999996</v>
      </c>
      <c r="I418" s="8">
        <f>bank_data[[#This Row],[intresses]]-bank_data[[#This Row],[losses]]</f>
        <v>-534.890999996907</v>
      </c>
    </row>
    <row r="419" spans="1:9" x14ac:dyDescent="0.25">
      <c r="A419">
        <v>418</v>
      </c>
      <c r="B419">
        <v>-61949.5</v>
      </c>
      <c r="C419">
        <v>12</v>
      </c>
      <c r="D419">
        <v>-2.5</v>
      </c>
      <c r="E419">
        <v>0.51757600000000004</v>
      </c>
      <c r="F419">
        <v>6.6025999999999998</v>
      </c>
      <c r="G419">
        <v>2.9382799999999999E-9</v>
      </c>
      <c r="H419">
        <v>601.85</v>
      </c>
      <c r="I419" s="8">
        <f>bank_data[[#This Row],[intresses]]-bank_data[[#This Row],[losses]]</f>
        <v>-601.84999999706179</v>
      </c>
    </row>
    <row r="420" spans="1:9" x14ac:dyDescent="0.25">
      <c r="A420">
        <v>419</v>
      </c>
      <c r="B420">
        <v>-62504</v>
      </c>
      <c r="C420">
        <v>12</v>
      </c>
      <c r="D420">
        <v>-2.5</v>
      </c>
      <c r="E420">
        <v>0.51757600000000004</v>
      </c>
      <c r="F420">
        <v>6.6025999999999998</v>
      </c>
      <c r="G420">
        <v>2.7913600000000002E-9</v>
      </c>
      <c r="H420">
        <v>554.50699999999995</v>
      </c>
      <c r="I420" s="8">
        <f>bank_data[[#This Row],[intresses]]-bank_data[[#This Row],[losses]]</f>
        <v>-554.5069999972086</v>
      </c>
    </row>
    <row r="421" spans="1:9" x14ac:dyDescent="0.25">
      <c r="A421">
        <v>420</v>
      </c>
      <c r="B421">
        <v>-63202.6</v>
      </c>
      <c r="C421">
        <v>12</v>
      </c>
      <c r="D421">
        <v>-2.5</v>
      </c>
      <c r="E421">
        <v>0.51757600000000004</v>
      </c>
      <c r="F421">
        <v>6.6025999999999998</v>
      </c>
      <c r="G421">
        <v>2.6517999999999999E-9</v>
      </c>
      <c r="H421">
        <v>698.59400000000005</v>
      </c>
      <c r="I421" s="8">
        <f>bank_data[[#This Row],[intresses]]-bank_data[[#This Row],[losses]]</f>
        <v>-698.59399999734831</v>
      </c>
    </row>
    <row r="422" spans="1:9" x14ac:dyDescent="0.25">
      <c r="A422">
        <v>421</v>
      </c>
      <c r="B422">
        <v>-63662</v>
      </c>
      <c r="C422">
        <v>12</v>
      </c>
      <c r="D422">
        <v>-2.5</v>
      </c>
      <c r="E422">
        <v>0.51757600000000004</v>
      </c>
      <c r="F422">
        <v>6.6025999999999998</v>
      </c>
      <c r="G422">
        <v>2.51921E-9</v>
      </c>
      <c r="H422">
        <v>459.392</v>
      </c>
      <c r="I422" s="8">
        <f>bank_data[[#This Row],[intresses]]-bank_data[[#This Row],[losses]]</f>
        <v>-459.39199999748081</v>
      </c>
    </row>
    <row r="423" spans="1:9" x14ac:dyDescent="0.25">
      <c r="A423">
        <v>422</v>
      </c>
      <c r="B423">
        <v>-64282.9</v>
      </c>
      <c r="C423">
        <v>12</v>
      </c>
      <c r="D423">
        <v>-2.5</v>
      </c>
      <c r="E423">
        <v>0.51757600000000004</v>
      </c>
      <c r="F423">
        <v>6.6025999999999998</v>
      </c>
      <c r="G423">
        <v>2.3932500000000002E-9</v>
      </c>
      <c r="H423">
        <v>620.928</v>
      </c>
      <c r="I423" s="8">
        <f>bank_data[[#This Row],[intresses]]-bank_data[[#This Row],[losses]]</f>
        <v>-620.92799999760678</v>
      </c>
    </row>
    <row r="424" spans="1:9" x14ac:dyDescent="0.25">
      <c r="A424">
        <v>423</v>
      </c>
      <c r="B424">
        <v>-64806.6</v>
      </c>
      <c r="C424">
        <v>12</v>
      </c>
      <c r="D424">
        <v>-2.5</v>
      </c>
      <c r="E424">
        <v>0.51757600000000004</v>
      </c>
      <c r="F424">
        <v>6.6025999999999998</v>
      </c>
      <c r="G424">
        <v>2.2735799999999999E-9</v>
      </c>
      <c r="H424">
        <v>523.71500000000003</v>
      </c>
      <c r="I424" s="8">
        <f>bank_data[[#This Row],[intresses]]-bank_data[[#This Row],[losses]]</f>
        <v>-523.71499999772641</v>
      </c>
    </row>
    <row r="425" spans="1:9" x14ac:dyDescent="0.25">
      <c r="A425">
        <v>424</v>
      </c>
      <c r="B425">
        <v>-65336.4</v>
      </c>
      <c r="C425">
        <v>12</v>
      </c>
      <c r="D425">
        <v>-2.5</v>
      </c>
      <c r="E425">
        <v>0.51757600000000004</v>
      </c>
      <c r="F425">
        <v>6.6025999999999998</v>
      </c>
      <c r="G425">
        <v>2.1599E-9</v>
      </c>
      <c r="H425">
        <v>529.79</v>
      </c>
      <c r="I425" s="8">
        <f>bank_data[[#This Row],[intresses]]-bank_data[[#This Row],[losses]]</f>
        <v>-529.78999999784003</v>
      </c>
    </row>
    <row r="426" spans="1:9" x14ac:dyDescent="0.25">
      <c r="A426">
        <v>425</v>
      </c>
      <c r="B426">
        <v>-65782.8</v>
      </c>
      <c r="C426">
        <v>12</v>
      </c>
      <c r="D426">
        <v>-2.5</v>
      </c>
      <c r="E426">
        <v>0.51757600000000004</v>
      </c>
      <c r="F426">
        <v>6.6025999999999998</v>
      </c>
      <c r="G426">
        <v>2.0519100000000002E-9</v>
      </c>
      <c r="H426">
        <v>446.35599999999999</v>
      </c>
      <c r="I426" s="8">
        <f>bank_data[[#This Row],[intresses]]-bank_data[[#This Row],[losses]]</f>
        <v>-446.35599999794806</v>
      </c>
    </row>
    <row r="427" spans="1:9" x14ac:dyDescent="0.25">
      <c r="A427">
        <v>426</v>
      </c>
      <c r="B427">
        <v>-66358.7</v>
      </c>
      <c r="C427">
        <v>12</v>
      </c>
      <c r="D427">
        <v>-2.5</v>
      </c>
      <c r="E427">
        <v>0.51757600000000004</v>
      </c>
      <c r="F427">
        <v>6.6025999999999998</v>
      </c>
      <c r="G427">
        <v>1.9493100000000002E-9</v>
      </c>
      <c r="H427">
        <v>575.90800000000002</v>
      </c>
      <c r="I427" s="8">
        <f>bank_data[[#This Row],[intresses]]-bank_data[[#This Row],[losses]]</f>
        <v>-575.90799999805074</v>
      </c>
    </row>
    <row r="428" spans="1:9" x14ac:dyDescent="0.25">
      <c r="A428">
        <v>427</v>
      </c>
      <c r="B428">
        <v>-66921.100000000006</v>
      </c>
      <c r="C428">
        <v>12</v>
      </c>
      <c r="D428">
        <v>-2.5</v>
      </c>
      <c r="E428">
        <v>0.51757600000000004</v>
      </c>
      <c r="F428">
        <v>6.6025999999999998</v>
      </c>
      <c r="G428">
        <v>1.85185E-9</v>
      </c>
      <c r="H428">
        <v>562.46600000000001</v>
      </c>
      <c r="I428" s="8">
        <f>bank_data[[#This Row],[intresses]]-bank_data[[#This Row],[losses]]</f>
        <v>-562.46599999814816</v>
      </c>
    </row>
    <row r="429" spans="1:9" x14ac:dyDescent="0.25">
      <c r="A429">
        <v>428</v>
      </c>
      <c r="B429">
        <v>-67448.7</v>
      </c>
      <c r="C429">
        <v>12</v>
      </c>
      <c r="D429">
        <v>-2.5</v>
      </c>
      <c r="E429">
        <v>0.51757600000000004</v>
      </c>
      <c r="F429">
        <v>6.6025999999999998</v>
      </c>
      <c r="G429">
        <v>1.75926E-9</v>
      </c>
      <c r="H429">
        <v>527.54700000000003</v>
      </c>
      <c r="I429" s="8">
        <f>bank_data[[#This Row],[intresses]]-bank_data[[#This Row],[losses]]</f>
        <v>-527.54699999824072</v>
      </c>
    </row>
    <row r="430" spans="1:9" x14ac:dyDescent="0.25">
      <c r="A430">
        <v>429</v>
      </c>
      <c r="B430">
        <v>-68082.5</v>
      </c>
      <c r="C430">
        <v>12</v>
      </c>
      <c r="D430">
        <v>-2.5</v>
      </c>
      <c r="E430">
        <v>0.51757600000000004</v>
      </c>
      <c r="F430">
        <v>6.6025999999999998</v>
      </c>
      <c r="G430">
        <v>1.6712899999999999E-9</v>
      </c>
      <c r="H430">
        <v>633.84100000000001</v>
      </c>
      <c r="I430" s="8">
        <f>bank_data[[#This Row],[intresses]]-bank_data[[#This Row],[losses]]</f>
        <v>-633.8409999983287</v>
      </c>
    </row>
    <row r="431" spans="1:9" x14ac:dyDescent="0.25">
      <c r="A431">
        <v>430</v>
      </c>
      <c r="B431">
        <v>-68663.100000000006</v>
      </c>
      <c r="C431">
        <v>12</v>
      </c>
      <c r="D431">
        <v>-2.5</v>
      </c>
      <c r="E431">
        <v>0.51757600000000004</v>
      </c>
      <c r="F431">
        <v>6.6025999999999998</v>
      </c>
      <c r="G431">
        <v>1.5877300000000001E-9</v>
      </c>
      <c r="H431">
        <v>580.55200000000002</v>
      </c>
      <c r="I431" s="8">
        <f>bank_data[[#This Row],[intresses]]-bank_data[[#This Row],[losses]]</f>
        <v>-580.55199999841227</v>
      </c>
    </row>
    <row r="432" spans="1:9" x14ac:dyDescent="0.25">
      <c r="A432">
        <v>431</v>
      </c>
      <c r="B432">
        <v>-69334.399999999994</v>
      </c>
      <c r="C432">
        <v>12</v>
      </c>
      <c r="D432">
        <v>-2.5</v>
      </c>
      <c r="E432">
        <v>0.51757600000000004</v>
      </c>
      <c r="F432">
        <v>6.6025999999999998</v>
      </c>
      <c r="G432">
        <v>1.50834E-9</v>
      </c>
      <c r="H432">
        <v>671.29</v>
      </c>
      <c r="I432" s="8">
        <f>bank_data[[#This Row],[intresses]]-bank_data[[#This Row],[losses]]</f>
        <v>-671.28999999849168</v>
      </c>
    </row>
    <row r="433" spans="1:9" x14ac:dyDescent="0.25">
      <c r="A433">
        <v>432</v>
      </c>
      <c r="B433">
        <v>-69982.7</v>
      </c>
      <c r="C433">
        <v>12</v>
      </c>
      <c r="D433">
        <v>-2.5</v>
      </c>
      <c r="E433">
        <v>0.51757600000000004</v>
      </c>
      <c r="F433">
        <v>6.6025999999999998</v>
      </c>
      <c r="G433">
        <v>1.4329200000000001E-9</v>
      </c>
      <c r="H433">
        <v>648.35799999999995</v>
      </c>
      <c r="I433" s="8">
        <f>bank_data[[#This Row],[intresses]]-bank_data[[#This Row],[losses]]</f>
        <v>-648.35799999856704</v>
      </c>
    </row>
    <row r="434" spans="1:9" x14ac:dyDescent="0.25">
      <c r="A434">
        <v>433</v>
      </c>
      <c r="B434">
        <v>-70589.399999999994</v>
      </c>
      <c r="C434">
        <v>12</v>
      </c>
      <c r="D434">
        <v>-2.5</v>
      </c>
      <c r="E434">
        <v>0.51757600000000004</v>
      </c>
      <c r="F434">
        <v>6.6025999999999998</v>
      </c>
      <c r="G434">
        <v>1.3612800000000001E-9</v>
      </c>
      <c r="H434">
        <v>606.65700000000004</v>
      </c>
      <c r="I434" s="8">
        <f>bank_data[[#This Row],[intresses]]-bank_data[[#This Row],[losses]]</f>
        <v>-606.65699999863875</v>
      </c>
    </row>
    <row r="435" spans="1:9" x14ac:dyDescent="0.25">
      <c r="A435">
        <v>434</v>
      </c>
      <c r="B435">
        <v>-71155.899999999994</v>
      </c>
      <c r="C435">
        <v>12</v>
      </c>
      <c r="D435">
        <v>-2.5</v>
      </c>
      <c r="E435">
        <v>0.51757600000000004</v>
      </c>
      <c r="F435">
        <v>6.6025999999999998</v>
      </c>
      <c r="G435">
        <v>1.2932099999999999E-9</v>
      </c>
      <c r="H435">
        <v>566.49099999999999</v>
      </c>
      <c r="I435" s="8">
        <f>bank_data[[#This Row],[intresses]]-bank_data[[#This Row],[losses]]</f>
        <v>-566.4909999987068</v>
      </c>
    </row>
    <row r="436" spans="1:9" x14ac:dyDescent="0.25">
      <c r="A436">
        <v>435</v>
      </c>
      <c r="B436">
        <v>-71781.3</v>
      </c>
      <c r="C436">
        <v>12</v>
      </c>
      <c r="D436">
        <v>-2.5</v>
      </c>
      <c r="E436">
        <v>0.51757600000000004</v>
      </c>
      <c r="F436">
        <v>6.6025999999999998</v>
      </c>
      <c r="G436">
        <v>1.2285500000000001E-9</v>
      </c>
      <c r="H436">
        <v>625.37900000000002</v>
      </c>
      <c r="I436" s="8">
        <f>bank_data[[#This Row],[intresses]]-bank_data[[#This Row],[losses]]</f>
        <v>-625.37899999877152</v>
      </c>
    </row>
    <row r="437" spans="1:9" x14ac:dyDescent="0.25">
      <c r="A437">
        <v>436</v>
      </c>
      <c r="B437">
        <v>-72582.8</v>
      </c>
      <c r="C437">
        <v>12</v>
      </c>
      <c r="D437">
        <v>-2.5</v>
      </c>
      <c r="E437">
        <v>0.51757600000000004</v>
      </c>
      <c r="F437">
        <v>6.6025999999999998</v>
      </c>
      <c r="G437">
        <v>1.1671300000000001E-9</v>
      </c>
      <c r="H437">
        <v>801.55600000000004</v>
      </c>
      <c r="I437" s="8">
        <f>bank_data[[#This Row],[intresses]]-bank_data[[#This Row],[losses]]</f>
        <v>-801.55599999883293</v>
      </c>
    </row>
    <row r="438" spans="1:9" x14ac:dyDescent="0.25">
      <c r="A438">
        <v>437</v>
      </c>
      <c r="B438">
        <v>-73118</v>
      </c>
      <c r="C438">
        <v>12</v>
      </c>
      <c r="D438">
        <v>-2.5</v>
      </c>
      <c r="E438">
        <v>0.51757600000000004</v>
      </c>
      <c r="F438">
        <v>6.6025999999999998</v>
      </c>
      <c r="G438">
        <v>1.1087700000000001E-9</v>
      </c>
      <c r="H438">
        <v>535.13099999999997</v>
      </c>
      <c r="I438" s="8">
        <f>bank_data[[#This Row],[intresses]]-bank_data[[#This Row],[losses]]</f>
        <v>-535.13099999889118</v>
      </c>
    </row>
    <row r="439" spans="1:9" x14ac:dyDescent="0.25">
      <c r="A439">
        <v>438</v>
      </c>
      <c r="B439">
        <v>-73888.100000000006</v>
      </c>
      <c r="C439">
        <v>12</v>
      </c>
      <c r="D439">
        <v>-2.5</v>
      </c>
      <c r="E439">
        <v>0.51757600000000004</v>
      </c>
      <c r="F439">
        <v>6.6025999999999998</v>
      </c>
      <c r="G439">
        <v>1.0533299999999999E-9</v>
      </c>
      <c r="H439">
        <v>770.149</v>
      </c>
      <c r="I439" s="8">
        <f>bank_data[[#This Row],[intresses]]-bank_data[[#This Row],[losses]]</f>
        <v>-770.14899999894669</v>
      </c>
    </row>
    <row r="440" spans="1:9" x14ac:dyDescent="0.25">
      <c r="A440">
        <v>439</v>
      </c>
      <c r="B440">
        <v>-74596.600000000006</v>
      </c>
      <c r="C440">
        <v>12</v>
      </c>
      <c r="D440">
        <v>-2.5</v>
      </c>
      <c r="E440">
        <v>0.51757600000000004</v>
      </c>
      <c r="F440">
        <v>6.6025999999999998</v>
      </c>
      <c r="G440">
        <v>1.0006599999999999E-9</v>
      </c>
      <c r="H440">
        <v>708.49699999999996</v>
      </c>
      <c r="I440" s="8">
        <f>bank_data[[#This Row],[intresses]]-bank_data[[#This Row],[losses]]</f>
        <v>-708.49699999899929</v>
      </c>
    </row>
    <row r="441" spans="1:9" x14ac:dyDescent="0.25">
      <c r="A441">
        <v>440</v>
      </c>
      <c r="B441">
        <v>-75224.800000000003</v>
      </c>
      <c r="C441">
        <v>12</v>
      </c>
      <c r="D441">
        <v>-2.5</v>
      </c>
      <c r="E441">
        <v>0.51757600000000004</v>
      </c>
      <c r="F441">
        <v>6.6025999999999998</v>
      </c>
      <c r="G441">
        <v>9.5063099999999996E-10</v>
      </c>
      <c r="H441">
        <v>628.16499999999996</v>
      </c>
      <c r="I441" s="8">
        <f>bank_data[[#This Row],[intresses]]-bank_data[[#This Row],[losses]]</f>
        <v>-628.16499999904931</v>
      </c>
    </row>
    <row r="442" spans="1:9" x14ac:dyDescent="0.25">
      <c r="A442">
        <v>441</v>
      </c>
      <c r="B442">
        <v>-75789.399999999994</v>
      </c>
      <c r="C442">
        <v>12</v>
      </c>
      <c r="D442">
        <v>-2.5</v>
      </c>
      <c r="E442">
        <v>0.51757600000000004</v>
      </c>
      <c r="F442">
        <v>6.6025999999999998</v>
      </c>
      <c r="G442">
        <v>9.0310000000000001E-10</v>
      </c>
      <c r="H442">
        <v>564.67700000000002</v>
      </c>
      <c r="I442" s="8">
        <f>bank_data[[#This Row],[intresses]]-bank_data[[#This Row],[losses]]</f>
        <v>-564.67699999909689</v>
      </c>
    </row>
    <row r="443" spans="1:9" x14ac:dyDescent="0.25">
      <c r="A443">
        <v>442</v>
      </c>
      <c r="B443">
        <v>-76439.3</v>
      </c>
      <c r="C443">
        <v>12</v>
      </c>
      <c r="D443">
        <v>-2.5</v>
      </c>
      <c r="E443">
        <v>0.51757600000000004</v>
      </c>
      <c r="F443">
        <v>6.6025999999999998</v>
      </c>
      <c r="G443">
        <v>8.5794499999999998E-10</v>
      </c>
      <c r="H443">
        <v>649.90099999999995</v>
      </c>
      <c r="I443" s="8">
        <f>bank_data[[#This Row],[intresses]]-bank_data[[#This Row],[losses]]</f>
        <v>-649.90099999914196</v>
      </c>
    </row>
    <row r="444" spans="1:9" x14ac:dyDescent="0.25">
      <c r="A444">
        <v>443</v>
      </c>
      <c r="B444">
        <v>-76983.600000000006</v>
      </c>
      <c r="C444">
        <v>12</v>
      </c>
      <c r="D444">
        <v>-2.5</v>
      </c>
      <c r="E444">
        <v>0.51757600000000004</v>
      </c>
      <c r="F444">
        <v>6.6025999999999998</v>
      </c>
      <c r="G444">
        <v>8.1504799999999998E-10</v>
      </c>
      <c r="H444">
        <v>544.29899999999998</v>
      </c>
      <c r="I444" s="8">
        <f>bank_data[[#This Row],[intresses]]-bank_data[[#This Row],[losses]]</f>
        <v>-544.29899999918496</v>
      </c>
    </row>
    <row r="445" spans="1:9" x14ac:dyDescent="0.25">
      <c r="A445">
        <v>444</v>
      </c>
      <c r="B445">
        <v>-77897.2</v>
      </c>
      <c r="C445">
        <v>12</v>
      </c>
      <c r="D445">
        <v>-2.5</v>
      </c>
      <c r="E445">
        <v>0.51757600000000004</v>
      </c>
      <c r="F445">
        <v>6.6025999999999998</v>
      </c>
      <c r="G445">
        <v>7.7429499999999996E-10</v>
      </c>
      <c r="H445">
        <v>913.54499999999996</v>
      </c>
      <c r="I445" s="8">
        <f>bank_data[[#This Row],[intresses]]-bank_data[[#This Row],[losses]]</f>
        <v>-913.54499999922564</v>
      </c>
    </row>
    <row r="446" spans="1:9" x14ac:dyDescent="0.25">
      <c r="A446">
        <v>445</v>
      </c>
      <c r="B446">
        <v>-78620.2</v>
      </c>
      <c r="C446">
        <v>12</v>
      </c>
      <c r="D446">
        <v>-2.5</v>
      </c>
      <c r="E446">
        <v>0.51757600000000004</v>
      </c>
      <c r="F446">
        <v>6.6025999999999998</v>
      </c>
      <c r="G446">
        <v>7.3557999999999996E-10</v>
      </c>
      <c r="H446">
        <v>723.024</v>
      </c>
      <c r="I446" s="8">
        <f>bank_data[[#This Row],[intresses]]-bank_data[[#This Row],[losses]]</f>
        <v>-723.02399999926445</v>
      </c>
    </row>
    <row r="447" spans="1:9" x14ac:dyDescent="0.25">
      <c r="A447">
        <v>446</v>
      </c>
      <c r="B447">
        <v>-79201.600000000006</v>
      </c>
      <c r="C447">
        <v>12</v>
      </c>
      <c r="D447">
        <v>-2.5</v>
      </c>
      <c r="E447">
        <v>0.51757600000000004</v>
      </c>
      <c r="F447">
        <v>6.6025999999999998</v>
      </c>
      <c r="G447">
        <v>6.9880100000000001E-10</v>
      </c>
      <c r="H447">
        <v>581.34900000000005</v>
      </c>
      <c r="I447" s="8">
        <f>bank_data[[#This Row],[intresses]]-bank_data[[#This Row],[losses]]</f>
        <v>-581.34899999930121</v>
      </c>
    </row>
    <row r="448" spans="1:9" x14ac:dyDescent="0.25">
      <c r="A448">
        <v>447</v>
      </c>
      <c r="B448">
        <v>-79864.800000000003</v>
      </c>
      <c r="C448">
        <v>12</v>
      </c>
      <c r="D448">
        <v>-2.5</v>
      </c>
      <c r="E448">
        <v>0.51757600000000004</v>
      </c>
      <c r="F448">
        <v>6.6025999999999998</v>
      </c>
      <c r="G448">
        <v>6.6386100000000003E-10</v>
      </c>
      <c r="H448">
        <v>663.23800000000006</v>
      </c>
      <c r="I448" s="8">
        <f>bank_data[[#This Row],[intresses]]-bank_data[[#This Row],[losses]]</f>
        <v>-663.23799999933624</v>
      </c>
    </row>
    <row r="449" spans="1:9" x14ac:dyDescent="0.25">
      <c r="A449">
        <v>448</v>
      </c>
      <c r="B449">
        <v>-80540.800000000003</v>
      </c>
      <c r="C449">
        <v>12</v>
      </c>
      <c r="D449">
        <v>-2.5</v>
      </c>
      <c r="E449">
        <v>0.51757600000000004</v>
      </c>
      <c r="F449">
        <v>6.6025999999999998</v>
      </c>
      <c r="G449">
        <v>6.3066800000000004E-10</v>
      </c>
      <c r="H449">
        <v>675.99300000000005</v>
      </c>
      <c r="I449" s="8">
        <f>bank_data[[#This Row],[intresses]]-bank_data[[#This Row],[losses]]</f>
        <v>-675.99299999936943</v>
      </c>
    </row>
    <row r="450" spans="1:9" x14ac:dyDescent="0.25">
      <c r="A450">
        <v>449</v>
      </c>
      <c r="B450">
        <v>-81274</v>
      </c>
      <c r="C450">
        <v>12</v>
      </c>
      <c r="D450">
        <v>-2.5</v>
      </c>
      <c r="E450">
        <v>0.51757600000000004</v>
      </c>
      <c r="F450">
        <v>6.6025999999999998</v>
      </c>
      <c r="G450">
        <v>5.9913500000000002E-10</v>
      </c>
      <c r="H450">
        <v>733.20500000000004</v>
      </c>
      <c r="I450" s="8">
        <f>bank_data[[#This Row],[intresses]]-bank_data[[#This Row],[losses]]</f>
        <v>-733.20499999940091</v>
      </c>
    </row>
    <row r="451" spans="1:9" x14ac:dyDescent="0.25">
      <c r="A451">
        <v>450</v>
      </c>
      <c r="B451">
        <v>-81846.3</v>
      </c>
      <c r="C451">
        <v>12</v>
      </c>
      <c r="D451">
        <v>-2.5</v>
      </c>
      <c r="E451">
        <v>0.51757600000000004</v>
      </c>
      <c r="F451">
        <v>6.6025999999999998</v>
      </c>
      <c r="G451">
        <v>5.6917799999999998E-10</v>
      </c>
      <c r="H451">
        <v>572.32100000000003</v>
      </c>
      <c r="I451" s="8">
        <f>bank_data[[#This Row],[intresses]]-bank_data[[#This Row],[losses]]</f>
        <v>-572.3209999994308</v>
      </c>
    </row>
    <row r="452" spans="1:9" x14ac:dyDescent="0.25">
      <c r="A452">
        <v>451</v>
      </c>
      <c r="B452">
        <v>-82400.899999999994</v>
      </c>
      <c r="C452">
        <v>12</v>
      </c>
      <c r="D452">
        <v>-2.5</v>
      </c>
      <c r="E452">
        <v>0.51757600000000004</v>
      </c>
      <c r="F452">
        <v>6.6025999999999998</v>
      </c>
      <c r="G452">
        <v>5.4071899999999996E-10</v>
      </c>
      <c r="H452">
        <v>554.63</v>
      </c>
      <c r="I452" s="8">
        <f>bank_data[[#This Row],[intresses]]-bank_data[[#This Row],[losses]]</f>
        <v>-554.6299999994593</v>
      </c>
    </row>
    <row r="453" spans="1:9" x14ac:dyDescent="0.25">
      <c r="A453">
        <v>452</v>
      </c>
      <c r="B453">
        <v>-83294.600000000006</v>
      </c>
      <c r="C453">
        <v>12</v>
      </c>
      <c r="D453">
        <v>-2.5</v>
      </c>
      <c r="E453">
        <v>0.51757600000000004</v>
      </c>
      <c r="F453">
        <v>6.6025999999999998</v>
      </c>
      <c r="G453">
        <v>5.1368299999999995E-10</v>
      </c>
      <c r="H453">
        <v>893.61099999999999</v>
      </c>
      <c r="I453" s="8">
        <f>bank_data[[#This Row],[intresses]]-bank_data[[#This Row],[losses]]</f>
        <v>-893.61099999948635</v>
      </c>
    </row>
    <row r="454" spans="1:9" x14ac:dyDescent="0.25">
      <c r="A454">
        <v>453</v>
      </c>
      <c r="B454">
        <v>-83945.2</v>
      </c>
      <c r="C454">
        <v>12</v>
      </c>
      <c r="D454">
        <v>-2.5</v>
      </c>
      <c r="E454">
        <v>0.51757600000000004</v>
      </c>
      <c r="F454">
        <v>6.6025999999999998</v>
      </c>
      <c r="G454">
        <v>4.8799899999999996E-10</v>
      </c>
      <c r="H454">
        <v>650.66700000000003</v>
      </c>
      <c r="I454" s="8">
        <f>bank_data[[#This Row],[intresses]]-bank_data[[#This Row],[losses]]</f>
        <v>-650.66699999951209</v>
      </c>
    </row>
    <row r="455" spans="1:9" x14ac:dyDescent="0.25">
      <c r="A455">
        <v>454</v>
      </c>
      <c r="B455">
        <v>-84751.8</v>
      </c>
      <c r="C455">
        <v>12</v>
      </c>
      <c r="D455">
        <v>-2.5</v>
      </c>
      <c r="E455">
        <v>0.51757600000000004</v>
      </c>
      <c r="F455">
        <v>6.6025999999999998</v>
      </c>
      <c r="G455">
        <v>4.6359900000000002E-10</v>
      </c>
      <c r="H455">
        <v>806.596</v>
      </c>
      <c r="I455" s="8">
        <f>bank_data[[#This Row],[intresses]]-bank_data[[#This Row],[losses]]</f>
        <v>-806.59599999953639</v>
      </c>
    </row>
    <row r="456" spans="1:9" x14ac:dyDescent="0.25">
      <c r="A456">
        <v>455</v>
      </c>
      <c r="B456">
        <v>-85575.9</v>
      </c>
      <c r="C456">
        <v>12</v>
      </c>
      <c r="D456">
        <v>-2.5</v>
      </c>
      <c r="E456">
        <v>0.51757600000000004</v>
      </c>
      <c r="F456">
        <v>6.6025999999999998</v>
      </c>
      <c r="G456">
        <v>4.4041900000000001E-10</v>
      </c>
      <c r="H456">
        <v>824.03700000000003</v>
      </c>
      <c r="I456" s="8">
        <f>bank_data[[#This Row],[intresses]]-bank_data[[#This Row],[losses]]</f>
        <v>-824.03699999955961</v>
      </c>
    </row>
    <row r="457" spans="1:9" x14ac:dyDescent="0.25">
      <c r="A457">
        <v>456</v>
      </c>
      <c r="B457">
        <v>-86202.9</v>
      </c>
      <c r="C457">
        <v>12</v>
      </c>
      <c r="D457">
        <v>-2.5</v>
      </c>
      <c r="E457">
        <v>0.51757600000000004</v>
      </c>
      <c r="F457">
        <v>6.6025999999999998</v>
      </c>
      <c r="G457">
        <v>4.1839800000000001E-10</v>
      </c>
      <c r="H457">
        <v>627.08399999999995</v>
      </c>
      <c r="I457" s="8">
        <f>bank_data[[#This Row],[intresses]]-bank_data[[#This Row],[losses]]</f>
        <v>-627.08399999958158</v>
      </c>
    </row>
    <row r="458" spans="1:9" x14ac:dyDescent="0.25">
      <c r="A458">
        <v>457</v>
      </c>
      <c r="B458">
        <v>-86981.6</v>
      </c>
      <c r="C458">
        <v>12</v>
      </c>
      <c r="D458">
        <v>-2.5</v>
      </c>
      <c r="E458">
        <v>0.51757600000000004</v>
      </c>
      <c r="F458">
        <v>6.6025999999999998</v>
      </c>
      <c r="G458">
        <v>3.9747799999999999E-10</v>
      </c>
      <c r="H458">
        <v>778.697</v>
      </c>
      <c r="I458" s="8">
        <f>bank_data[[#This Row],[intresses]]-bank_data[[#This Row],[losses]]</f>
        <v>-778.69699999960255</v>
      </c>
    </row>
    <row r="459" spans="1:9" x14ac:dyDescent="0.25">
      <c r="A459">
        <v>458</v>
      </c>
      <c r="B459">
        <v>-87630.1</v>
      </c>
      <c r="C459">
        <v>12</v>
      </c>
      <c r="D459">
        <v>-2.5</v>
      </c>
      <c r="E459">
        <v>0.51757600000000004</v>
      </c>
      <c r="F459">
        <v>6.6025999999999998</v>
      </c>
      <c r="G459">
        <v>3.77604E-10</v>
      </c>
      <c r="H459">
        <v>648.41600000000005</v>
      </c>
      <c r="I459" s="8">
        <f>bank_data[[#This Row],[intresses]]-bank_data[[#This Row],[losses]]</f>
        <v>-648.4159999996225</v>
      </c>
    </row>
    <row r="460" spans="1:9" x14ac:dyDescent="0.25">
      <c r="A460">
        <v>459</v>
      </c>
      <c r="B460">
        <v>-88350.9</v>
      </c>
      <c r="C460">
        <v>12</v>
      </c>
      <c r="D460">
        <v>-2.5</v>
      </c>
      <c r="E460">
        <v>0.51757600000000004</v>
      </c>
      <c r="F460">
        <v>6.6025999999999998</v>
      </c>
      <c r="G460">
        <v>3.5872400000000001E-10</v>
      </c>
      <c r="H460">
        <v>720.8</v>
      </c>
      <c r="I460" s="8">
        <f>bank_data[[#This Row],[intresses]]-bank_data[[#This Row],[losses]]</f>
        <v>-720.79999999964127</v>
      </c>
    </row>
    <row r="461" spans="1:9" x14ac:dyDescent="0.25">
      <c r="A461">
        <v>460</v>
      </c>
      <c r="B461">
        <v>-89151.1</v>
      </c>
      <c r="C461">
        <v>12</v>
      </c>
      <c r="D461">
        <v>-2.5</v>
      </c>
      <c r="E461">
        <v>0.51757600000000004</v>
      </c>
      <c r="F461">
        <v>6.6025999999999998</v>
      </c>
      <c r="G461">
        <v>3.40788E-10</v>
      </c>
      <c r="H461">
        <v>800.21100000000001</v>
      </c>
      <c r="I461" s="8">
        <f>bank_data[[#This Row],[intresses]]-bank_data[[#This Row],[losses]]</f>
        <v>-800.21099999965918</v>
      </c>
    </row>
    <row r="462" spans="1:9" x14ac:dyDescent="0.25">
      <c r="A462">
        <v>461</v>
      </c>
      <c r="B462">
        <v>-89952.7</v>
      </c>
      <c r="C462">
        <v>12</v>
      </c>
      <c r="D462">
        <v>-2.5</v>
      </c>
      <c r="E462">
        <v>0.51757600000000004</v>
      </c>
      <c r="F462">
        <v>6.6025999999999998</v>
      </c>
      <c r="G462">
        <v>3.2374899999999998E-10</v>
      </c>
      <c r="H462">
        <v>801.61800000000005</v>
      </c>
      <c r="I462" s="8">
        <f>bank_data[[#This Row],[intresses]]-bank_data[[#This Row],[losses]]</f>
        <v>-801.61799999967627</v>
      </c>
    </row>
    <row r="463" spans="1:9" x14ac:dyDescent="0.25">
      <c r="A463">
        <v>462</v>
      </c>
      <c r="B463">
        <v>-90537.1</v>
      </c>
      <c r="C463">
        <v>12</v>
      </c>
      <c r="D463">
        <v>-2.5</v>
      </c>
      <c r="E463">
        <v>0.51757600000000004</v>
      </c>
      <c r="F463">
        <v>6.6025999999999998</v>
      </c>
      <c r="G463">
        <v>3.0756099999999998E-10</v>
      </c>
      <c r="H463">
        <v>584.38599999999997</v>
      </c>
      <c r="I463" s="8">
        <f>bank_data[[#This Row],[intresses]]-bank_data[[#This Row],[losses]]</f>
        <v>-584.38599999969244</v>
      </c>
    </row>
    <row r="464" spans="1:9" x14ac:dyDescent="0.25">
      <c r="A464">
        <v>463</v>
      </c>
      <c r="B464">
        <v>-91271.8</v>
      </c>
      <c r="C464">
        <v>12</v>
      </c>
      <c r="D464">
        <v>-2.5</v>
      </c>
      <c r="E464">
        <v>0.51757600000000004</v>
      </c>
      <c r="F464">
        <v>6.6025999999999998</v>
      </c>
      <c r="G464">
        <v>2.9218299999999999E-10</v>
      </c>
      <c r="H464">
        <v>734.68499999999995</v>
      </c>
      <c r="I464" s="8">
        <f>bank_data[[#This Row],[intresses]]-bank_data[[#This Row],[losses]]</f>
        <v>-734.68499999970777</v>
      </c>
    </row>
    <row r="465" spans="1:9" x14ac:dyDescent="0.25">
      <c r="A465">
        <v>464</v>
      </c>
      <c r="B465">
        <v>-91978.3</v>
      </c>
      <c r="C465">
        <v>12</v>
      </c>
      <c r="D465">
        <v>-2.5</v>
      </c>
      <c r="E465">
        <v>0.51757600000000004</v>
      </c>
      <c r="F465">
        <v>6.6025999999999998</v>
      </c>
      <c r="G465">
        <v>2.7757399999999999E-10</v>
      </c>
      <c r="H465">
        <v>706.54399999999998</v>
      </c>
      <c r="I465" s="8">
        <f>bank_data[[#This Row],[intresses]]-bank_data[[#This Row],[losses]]</f>
        <v>-706.54399999972236</v>
      </c>
    </row>
    <row r="466" spans="1:9" x14ac:dyDescent="0.25">
      <c r="A466">
        <v>465</v>
      </c>
      <c r="B466">
        <v>-92970.2</v>
      </c>
      <c r="C466">
        <v>12</v>
      </c>
      <c r="D466">
        <v>-2.5</v>
      </c>
      <c r="E466">
        <v>0.51757600000000004</v>
      </c>
      <c r="F466">
        <v>6.6025999999999998</v>
      </c>
      <c r="G466">
        <v>2.6369499999999999E-10</v>
      </c>
      <c r="H466">
        <v>991.94600000000003</v>
      </c>
      <c r="I466" s="8">
        <f>bank_data[[#This Row],[intresses]]-bank_data[[#This Row],[losses]]</f>
        <v>-991.94599999973639</v>
      </c>
    </row>
    <row r="467" spans="1:9" x14ac:dyDescent="0.25">
      <c r="A467">
        <v>466</v>
      </c>
      <c r="B467">
        <v>-93935.9</v>
      </c>
      <c r="C467">
        <v>12</v>
      </c>
      <c r="D467">
        <v>-2.5</v>
      </c>
      <c r="E467">
        <v>0.51757600000000004</v>
      </c>
      <c r="F467">
        <v>6.6025999999999998</v>
      </c>
      <c r="G467">
        <v>2.5051E-10</v>
      </c>
      <c r="H467">
        <v>965.63400000000001</v>
      </c>
      <c r="I467" s="8">
        <f>bank_data[[#This Row],[intresses]]-bank_data[[#This Row],[losses]]</f>
        <v>-965.63399999974945</v>
      </c>
    </row>
    <row r="468" spans="1:9" x14ac:dyDescent="0.25">
      <c r="A468">
        <v>467</v>
      </c>
      <c r="B468">
        <v>-94833.2</v>
      </c>
      <c r="C468">
        <v>12</v>
      </c>
      <c r="D468">
        <v>-2.5</v>
      </c>
      <c r="E468">
        <v>0.51757600000000004</v>
      </c>
      <c r="F468">
        <v>6.6025999999999998</v>
      </c>
      <c r="G468">
        <v>2.3798499999999998E-10</v>
      </c>
      <c r="H468">
        <v>897.30799999999999</v>
      </c>
      <c r="I468" s="8">
        <f>bank_data[[#This Row],[intresses]]-bank_data[[#This Row],[losses]]</f>
        <v>-897.30799999976205</v>
      </c>
    </row>
    <row r="469" spans="1:9" x14ac:dyDescent="0.25">
      <c r="A469">
        <v>468</v>
      </c>
      <c r="B469">
        <v>-95837.7</v>
      </c>
      <c r="C469">
        <v>12</v>
      </c>
      <c r="D469">
        <v>-2.5</v>
      </c>
      <c r="E469">
        <v>0.51757600000000004</v>
      </c>
      <c r="F469">
        <v>6.6025999999999998</v>
      </c>
      <c r="G469">
        <v>2.2608600000000001E-10</v>
      </c>
      <c r="H469">
        <v>1004.53</v>
      </c>
      <c r="I469" s="8">
        <f>bank_data[[#This Row],[intresses]]-bank_data[[#This Row],[losses]]</f>
        <v>-1004.5299999997738</v>
      </c>
    </row>
    <row r="470" spans="1:9" x14ac:dyDescent="0.25">
      <c r="A470">
        <v>469</v>
      </c>
      <c r="B470">
        <v>-96717.1</v>
      </c>
      <c r="C470">
        <v>12</v>
      </c>
      <c r="D470">
        <v>-2.5</v>
      </c>
      <c r="E470">
        <v>0.51757600000000004</v>
      </c>
      <c r="F470">
        <v>6.6025999999999998</v>
      </c>
      <c r="G470">
        <v>2.1478099999999999E-10</v>
      </c>
      <c r="H470">
        <v>879.39099999999996</v>
      </c>
      <c r="I470" s="8">
        <f>bank_data[[#This Row],[intresses]]-bank_data[[#This Row],[losses]]</f>
        <v>-879.39099999978521</v>
      </c>
    </row>
    <row r="471" spans="1:9" x14ac:dyDescent="0.25">
      <c r="A471">
        <v>470</v>
      </c>
      <c r="B471">
        <v>-97774.5</v>
      </c>
      <c r="C471">
        <v>12</v>
      </c>
      <c r="D471">
        <v>-2.5</v>
      </c>
      <c r="E471">
        <v>0.51757600000000004</v>
      </c>
      <c r="F471">
        <v>6.6025999999999998</v>
      </c>
      <c r="G471">
        <v>2.0404199999999999E-10</v>
      </c>
      <c r="H471">
        <v>1057.4000000000001</v>
      </c>
      <c r="I471" s="8">
        <f>bank_data[[#This Row],[intresses]]-bank_data[[#This Row],[losses]]</f>
        <v>-1057.3999999997961</v>
      </c>
    </row>
    <row r="472" spans="1:9" x14ac:dyDescent="0.25">
      <c r="A472">
        <v>471</v>
      </c>
      <c r="B472">
        <v>-98399</v>
      </c>
      <c r="C472">
        <v>12</v>
      </c>
      <c r="D472">
        <v>-2.5</v>
      </c>
      <c r="E472">
        <v>0.51757600000000004</v>
      </c>
      <c r="F472">
        <v>6.6025999999999998</v>
      </c>
      <c r="G472">
        <v>1.9384E-10</v>
      </c>
      <c r="H472">
        <v>624.45500000000004</v>
      </c>
      <c r="I472" s="8">
        <f>bank_data[[#This Row],[intresses]]-bank_data[[#This Row],[losses]]</f>
        <v>-624.4549999998062</v>
      </c>
    </row>
    <row r="473" spans="1:9" x14ac:dyDescent="0.25">
      <c r="A473">
        <v>472</v>
      </c>
      <c r="B473">
        <v>-99560.7</v>
      </c>
      <c r="C473">
        <v>12</v>
      </c>
      <c r="D473">
        <v>-2.5</v>
      </c>
      <c r="E473">
        <v>0.51757600000000004</v>
      </c>
      <c r="F473">
        <v>6.6025999999999998</v>
      </c>
      <c r="G473">
        <v>1.8414799999999999E-10</v>
      </c>
      <c r="H473">
        <v>1161.77</v>
      </c>
      <c r="I473" s="8">
        <f>bank_data[[#This Row],[intresses]]-bank_data[[#This Row],[losses]]</f>
        <v>-1161.7699999998158</v>
      </c>
    </row>
    <row r="474" spans="1:9" x14ac:dyDescent="0.25">
      <c r="A474">
        <v>473</v>
      </c>
      <c r="B474">
        <v>-100283</v>
      </c>
      <c r="C474">
        <v>12</v>
      </c>
      <c r="D474">
        <v>-2.5</v>
      </c>
      <c r="E474">
        <v>0.51757600000000004</v>
      </c>
      <c r="F474">
        <v>6.6025999999999998</v>
      </c>
      <c r="G474">
        <v>1.74941E-10</v>
      </c>
      <c r="H474">
        <v>722.32399999999996</v>
      </c>
      <c r="I474" s="8">
        <f>bank_data[[#This Row],[intresses]]-bank_data[[#This Row],[losses]]</f>
        <v>-722.32399999982499</v>
      </c>
    </row>
    <row r="475" spans="1:9" x14ac:dyDescent="0.25">
      <c r="A475">
        <v>474</v>
      </c>
      <c r="B475">
        <v>-101296</v>
      </c>
      <c r="C475">
        <v>12</v>
      </c>
      <c r="D475">
        <v>-2.5</v>
      </c>
      <c r="E475">
        <v>0.51757600000000004</v>
      </c>
      <c r="F475">
        <v>6.6025999999999998</v>
      </c>
      <c r="G475">
        <v>1.6619400000000001E-10</v>
      </c>
      <c r="H475">
        <v>1012.83</v>
      </c>
      <c r="I475" s="8">
        <f>bank_data[[#This Row],[intresses]]-bank_data[[#This Row],[losses]]</f>
        <v>-1012.8299999998338</v>
      </c>
    </row>
    <row r="476" spans="1:9" x14ac:dyDescent="0.25">
      <c r="A476">
        <v>475</v>
      </c>
      <c r="B476">
        <v>-102101</v>
      </c>
      <c r="C476">
        <v>12</v>
      </c>
      <c r="D476">
        <v>-2.5</v>
      </c>
      <c r="E476">
        <v>0.51757600000000004</v>
      </c>
      <c r="F476">
        <v>6.6025999999999998</v>
      </c>
      <c r="G476">
        <v>1.5788400000000001E-10</v>
      </c>
      <c r="H476">
        <v>804.92700000000002</v>
      </c>
      <c r="I476" s="8">
        <f>bank_data[[#This Row],[intresses]]-bank_data[[#This Row],[losses]]</f>
        <v>-804.92699999984211</v>
      </c>
    </row>
    <row r="477" spans="1:9" x14ac:dyDescent="0.25">
      <c r="A477">
        <v>476</v>
      </c>
      <c r="B477">
        <v>-102839</v>
      </c>
      <c r="C477">
        <v>12</v>
      </c>
      <c r="D477">
        <v>-2.5</v>
      </c>
      <c r="E477">
        <v>0.51757600000000004</v>
      </c>
      <c r="F477">
        <v>6.6025999999999998</v>
      </c>
      <c r="G477">
        <v>1.4998999999999999E-10</v>
      </c>
      <c r="H477">
        <v>737.76800000000003</v>
      </c>
      <c r="I477" s="8">
        <f>bank_data[[#This Row],[intresses]]-bank_data[[#This Row],[losses]]</f>
        <v>-737.76799999985008</v>
      </c>
    </row>
    <row r="478" spans="1:9" x14ac:dyDescent="0.25">
      <c r="A478">
        <v>477</v>
      </c>
      <c r="B478">
        <v>-103716</v>
      </c>
      <c r="C478">
        <v>12</v>
      </c>
      <c r="D478">
        <v>-2.5</v>
      </c>
      <c r="E478">
        <v>0.51757600000000004</v>
      </c>
      <c r="F478">
        <v>6.6025999999999998</v>
      </c>
      <c r="G478">
        <v>1.4248999999999999E-10</v>
      </c>
      <c r="H478">
        <v>877.41099999999994</v>
      </c>
      <c r="I478" s="8">
        <f>bank_data[[#This Row],[intresses]]-bank_data[[#This Row],[losses]]</f>
        <v>-877.41099999985749</v>
      </c>
    </row>
    <row r="479" spans="1:9" x14ac:dyDescent="0.25">
      <c r="A479">
        <v>478</v>
      </c>
      <c r="B479">
        <v>-104874</v>
      </c>
      <c r="C479">
        <v>12</v>
      </c>
      <c r="D479">
        <v>-2.5</v>
      </c>
      <c r="E479">
        <v>0.51757600000000004</v>
      </c>
      <c r="F479">
        <v>6.6025999999999998</v>
      </c>
      <c r="G479">
        <v>1.3536600000000001E-10</v>
      </c>
      <c r="H479">
        <v>1157.56</v>
      </c>
      <c r="I479" s="8">
        <f>bank_data[[#This Row],[intresses]]-bank_data[[#This Row],[losses]]</f>
        <v>-1157.5599999998647</v>
      </c>
    </row>
    <row r="480" spans="1:9" x14ac:dyDescent="0.25">
      <c r="A480">
        <v>479</v>
      </c>
      <c r="B480">
        <v>-105702</v>
      </c>
      <c r="C480">
        <v>12</v>
      </c>
      <c r="D480">
        <v>-2.5</v>
      </c>
      <c r="E480">
        <v>0.51757600000000004</v>
      </c>
      <c r="F480">
        <v>6.6025999999999998</v>
      </c>
      <c r="G480">
        <v>1.2859800000000001E-10</v>
      </c>
      <c r="H480">
        <v>828.17399999999998</v>
      </c>
      <c r="I480" s="8">
        <f>bank_data[[#This Row],[intresses]]-bank_data[[#This Row],[losses]]</f>
        <v>-828.1739999998714</v>
      </c>
    </row>
    <row r="481" spans="1:9" x14ac:dyDescent="0.25">
      <c r="A481">
        <v>480</v>
      </c>
      <c r="B481">
        <v>-106745</v>
      </c>
      <c r="C481">
        <v>12</v>
      </c>
      <c r="D481">
        <v>-2.5</v>
      </c>
      <c r="E481">
        <v>0.51757600000000004</v>
      </c>
      <c r="F481">
        <v>6.6025999999999998</v>
      </c>
      <c r="G481">
        <v>1.2216800000000001E-10</v>
      </c>
      <c r="H481">
        <v>1043.4000000000001</v>
      </c>
      <c r="I481" s="8">
        <f>bank_data[[#This Row],[intresses]]-bank_data[[#This Row],[losses]]</f>
        <v>-1043.399999999878</v>
      </c>
    </row>
    <row r="482" spans="1:9" x14ac:dyDescent="0.25">
      <c r="A482">
        <v>481</v>
      </c>
      <c r="B482">
        <v>-107616</v>
      </c>
      <c r="C482">
        <v>12</v>
      </c>
      <c r="D482">
        <v>-2.5</v>
      </c>
      <c r="E482">
        <v>0.51757600000000004</v>
      </c>
      <c r="F482">
        <v>6.6025999999999998</v>
      </c>
      <c r="G482">
        <v>1.16059E-10</v>
      </c>
      <c r="H482">
        <v>870.572</v>
      </c>
      <c r="I482" s="8">
        <f>bank_data[[#This Row],[intresses]]-bank_data[[#This Row],[losses]]</f>
        <v>-870.57199999988393</v>
      </c>
    </row>
    <row r="483" spans="1:9" x14ac:dyDescent="0.25">
      <c r="A483">
        <v>482</v>
      </c>
      <c r="B483">
        <v>-108474</v>
      </c>
      <c r="C483">
        <v>12</v>
      </c>
      <c r="D483">
        <v>-2.5</v>
      </c>
      <c r="E483">
        <v>0.51757600000000004</v>
      </c>
      <c r="F483">
        <v>6.6025999999999998</v>
      </c>
      <c r="G483">
        <v>1.1025599999999999E-10</v>
      </c>
      <c r="H483">
        <v>858.06500000000005</v>
      </c>
      <c r="I483" s="8">
        <f>bank_data[[#This Row],[intresses]]-bank_data[[#This Row],[losses]]</f>
        <v>-858.06499999988978</v>
      </c>
    </row>
    <row r="484" spans="1:9" x14ac:dyDescent="0.25">
      <c r="A484">
        <v>483</v>
      </c>
      <c r="B484">
        <v>-109311</v>
      </c>
      <c r="C484">
        <v>12</v>
      </c>
      <c r="D484">
        <v>-2.5</v>
      </c>
      <c r="E484">
        <v>0.51757600000000004</v>
      </c>
      <c r="F484">
        <v>6.6025999999999998</v>
      </c>
      <c r="G484">
        <v>1.04744E-10</v>
      </c>
      <c r="H484">
        <v>836.97299999999996</v>
      </c>
      <c r="I484" s="8">
        <f>bank_data[[#This Row],[intresses]]-bank_data[[#This Row],[losses]]</f>
        <v>-836.97299999989525</v>
      </c>
    </row>
    <row r="485" spans="1:9" x14ac:dyDescent="0.25">
      <c r="A485">
        <v>484</v>
      </c>
      <c r="B485">
        <v>-110503</v>
      </c>
      <c r="C485">
        <v>12</v>
      </c>
      <c r="D485">
        <v>-2.5</v>
      </c>
      <c r="E485">
        <v>0.51757600000000004</v>
      </c>
      <c r="F485">
        <v>6.6025999999999998</v>
      </c>
      <c r="G485">
        <v>9.9506299999999997E-11</v>
      </c>
      <c r="H485">
        <v>1191.97</v>
      </c>
      <c r="I485" s="8">
        <f>bank_data[[#This Row],[intresses]]-bank_data[[#This Row],[losses]]</f>
        <v>-1191.9699999999004</v>
      </c>
    </row>
    <row r="486" spans="1:9" x14ac:dyDescent="0.25">
      <c r="A486">
        <v>485</v>
      </c>
      <c r="B486">
        <v>-111452</v>
      </c>
      <c r="C486">
        <v>12</v>
      </c>
      <c r="D486">
        <v>-2.5</v>
      </c>
      <c r="E486">
        <v>0.51757600000000004</v>
      </c>
      <c r="F486">
        <v>6.6025999999999998</v>
      </c>
      <c r="G486">
        <v>9.4531000000000004E-11</v>
      </c>
      <c r="H486">
        <v>949.59</v>
      </c>
      <c r="I486" s="8">
        <f>bank_data[[#This Row],[intresses]]-bank_data[[#This Row],[losses]]</f>
        <v>-949.58999999990544</v>
      </c>
    </row>
    <row r="487" spans="1:9" x14ac:dyDescent="0.25">
      <c r="A487">
        <v>486</v>
      </c>
      <c r="B487">
        <v>-112206</v>
      </c>
      <c r="C487">
        <v>12</v>
      </c>
      <c r="D487">
        <v>-2.5</v>
      </c>
      <c r="E487">
        <v>0.51757600000000004</v>
      </c>
      <c r="F487">
        <v>6.6025999999999998</v>
      </c>
      <c r="G487">
        <v>8.9804500000000003E-11</v>
      </c>
      <c r="H487">
        <v>753.48199999999997</v>
      </c>
      <c r="I487" s="8">
        <f>bank_data[[#This Row],[intresses]]-bank_data[[#This Row],[losses]]</f>
        <v>-753.48199999991016</v>
      </c>
    </row>
    <row r="488" spans="1:9" x14ac:dyDescent="0.25">
      <c r="A488">
        <v>487</v>
      </c>
      <c r="B488">
        <v>-113287</v>
      </c>
      <c r="C488">
        <v>12</v>
      </c>
      <c r="D488">
        <v>-2.5</v>
      </c>
      <c r="E488">
        <v>0.51757600000000004</v>
      </c>
      <c r="F488">
        <v>6.6025999999999998</v>
      </c>
      <c r="G488">
        <v>8.5314300000000001E-11</v>
      </c>
      <c r="H488">
        <v>1081.5</v>
      </c>
      <c r="I488" s="8">
        <f>bank_data[[#This Row],[intresses]]-bank_data[[#This Row],[losses]]</f>
        <v>-1081.4999999999147</v>
      </c>
    </row>
    <row r="489" spans="1:9" x14ac:dyDescent="0.25">
      <c r="A489">
        <v>488</v>
      </c>
      <c r="B489">
        <v>-114397</v>
      </c>
      <c r="C489">
        <v>12</v>
      </c>
      <c r="D489">
        <v>-2.5</v>
      </c>
      <c r="E489">
        <v>0.51757600000000004</v>
      </c>
      <c r="F489">
        <v>6.6025999999999998</v>
      </c>
      <c r="G489">
        <v>8.1048499999999994E-11</v>
      </c>
      <c r="H489">
        <v>1109.6500000000001</v>
      </c>
      <c r="I489" s="8">
        <f>bank_data[[#This Row],[intresses]]-bank_data[[#This Row],[losses]]</f>
        <v>-1109.6499999999191</v>
      </c>
    </row>
    <row r="490" spans="1:9" x14ac:dyDescent="0.25">
      <c r="A490">
        <v>489</v>
      </c>
      <c r="B490">
        <v>-115336</v>
      </c>
      <c r="C490">
        <v>12</v>
      </c>
      <c r="D490">
        <v>-2.5</v>
      </c>
      <c r="E490">
        <v>0.51757600000000004</v>
      </c>
      <c r="F490">
        <v>6.6025999999999998</v>
      </c>
      <c r="G490">
        <v>7.6996100000000003E-11</v>
      </c>
      <c r="H490">
        <v>939.14200000000005</v>
      </c>
      <c r="I490" s="8">
        <f>bank_data[[#This Row],[intresses]]-bank_data[[#This Row],[losses]]</f>
        <v>-939.14199999992309</v>
      </c>
    </row>
    <row r="491" spans="1:9" x14ac:dyDescent="0.25">
      <c r="A491">
        <v>490</v>
      </c>
      <c r="B491">
        <v>-116355</v>
      </c>
      <c r="C491">
        <v>12</v>
      </c>
      <c r="D491">
        <v>-2.5</v>
      </c>
      <c r="E491">
        <v>0.51757600000000004</v>
      </c>
      <c r="F491">
        <v>6.6025999999999998</v>
      </c>
      <c r="G491">
        <v>7.3146299999999997E-11</v>
      </c>
      <c r="H491">
        <v>1019.22</v>
      </c>
      <c r="I491" s="8">
        <f>bank_data[[#This Row],[intresses]]-bank_data[[#This Row],[losses]]</f>
        <v>-1019.2199999999269</v>
      </c>
    </row>
    <row r="492" spans="1:9" x14ac:dyDescent="0.25">
      <c r="A492">
        <v>491</v>
      </c>
      <c r="B492">
        <v>-117333</v>
      </c>
      <c r="C492">
        <v>12</v>
      </c>
      <c r="D492">
        <v>-2.5</v>
      </c>
      <c r="E492">
        <v>0.51757600000000004</v>
      </c>
      <c r="F492">
        <v>6.6025999999999998</v>
      </c>
      <c r="G492">
        <v>6.9489000000000002E-11</v>
      </c>
      <c r="H492">
        <v>977.75900000000001</v>
      </c>
      <c r="I492" s="8">
        <f>bank_data[[#This Row],[intresses]]-bank_data[[#This Row],[losses]]</f>
        <v>-977.75899999993055</v>
      </c>
    </row>
    <row r="493" spans="1:9" x14ac:dyDescent="0.25">
      <c r="A493">
        <v>492</v>
      </c>
      <c r="B493">
        <v>-118342</v>
      </c>
      <c r="C493">
        <v>12</v>
      </c>
      <c r="D493">
        <v>-2.5</v>
      </c>
      <c r="E493">
        <v>0.51757600000000004</v>
      </c>
      <c r="F493">
        <v>6.6025999999999998</v>
      </c>
      <c r="G493">
        <v>6.60145E-11</v>
      </c>
      <c r="H493">
        <v>1008.7</v>
      </c>
      <c r="I493" s="8">
        <f>bank_data[[#This Row],[intresses]]-bank_data[[#This Row],[losses]]</f>
        <v>-1008.699999999934</v>
      </c>
    </row>
    <row r="494" spans="1:9" x14ac:dyDescent="0.25">
      <c r="A494">
        <v>493</v>
      </c>
      <c r="B494">
        <v>-119312</v>
      </c>
      <c r="C494">
        <v>12</v>
      </c>
      <c r="D494">
        <v>-2.5</v>
      </c>
      <c r="E494">
        <v>0.51757600000000004</v>
      </c>
      <c r="F494">
        <v>6.6025999999999998</v>
      </c>
      <c r="G494">
        <v>6.2713800000000005E-11</v>
      </c>
      <c r="H494">
        <v>970.15599999999995</v>
      </c>
      <c r="I494" s="8">
        <f>bank_data[[#This Row],[intresses]]-bank_data[[#This Row],[losses]]</f>
        <v>-970.15599999993719</v>
      </c>
    </row>
    <row r="495" spans="1:9" x14ac:dyDescent="0.25">
      <c r="A495">
        <v>494</v>
      </c>
      <c r="B495">
        <v>-120249</v>
      </c>
      <c r="C495">
        <v>12</v>
      </c>
      <c r="D495">
        <v>-2.5</v>
      </c>
      <c r="E495">
        <v>0.51757600000000004</v>
      </c>
      <c r="F495">
        <v>6.6025999999999998</v>
      </c>
      <c r="G495">
        <v>5.9578100000000004E-11</v>
      </c>
      <c r="H495">
        <v>936.61699999999996</v>
      </c>
      <c r="I495" s="8">
        <f>bank_data[[#This Row],[intresses]]-bank_data[[#This Row],[losses]]</f>
        <v>-936.61699999994039</v>
      </c>
    </row>
    <row r="496" spans="1:9" x14ac:dyDescent="0.25">
      <c r="A496">
        <v>495</v>
      </c>
      <c r="B496">
        <v>-121257</v>
      </c>
      <c r="C496">
        <v>12</v>
      </c>
      <c r="D496">
        <v>-2.5</v>
      </c>
      <c r="E496">
        <v>0.51757600000000004</v>
      </c>
      <c r="F496">
        <v>6.6025999999999998</v>
      </c>
      <c r="G496">
        <v>5.6599200000000001E-11</v>
      </c>
      <c r="H496">
        <v>1008.49</v>
      </c>
      <c r="I496" s="8">
        <f>bank_data[[#This Row],[intresses]]-bank_data[[#This Row],[losses]]</f>
        <v>-1008.4899999999434</v>
      </c>
    </row>
    <row r="497" spans="1:9" x14ac:dyDescent="0.25">
      <c r="A497">
        <v>496</v>
      </c>
      <c r="B497">
        <v>-122220</v>
      </c>
      <c r="C497">
        <v>12</v>
      </c>
      <c r="D497">
        <v>-2.5</v>
      </c>
      <c r="E497">
        <v>0.51757600000000004</v>
      </c>
      <c r="F497">
        <v>6.6025999999999998</v>
      </c>
      <c r="G497">
        <v>5.3769300000000002E-11</v>
      </c>
      <c r="H497">
        <v>962.72500000000002</v>
      </c>
      <c r="I497" s="8">
        <f>bank_data[[#This Row],[intresses]]-bank_data[[#This Row],[losses]]</f>
        <v>-962.72499999994625</v>
      </c>
    </row>
    <row r="498" spans="1:9" x14ac:dyDescent="0.25">
      <c r="A498">
        <v>497</v>
      </c>
      <c r="B498">
        <v>-123136</v>
      </c>
      <c r="C498">
        <v>12</v>
      </c>
      <c r="D498">
        <v>-2.5</v>
      </c>
      <c r="E498">
        <v>0.51757600000000004</v>
      </c>
      <c r="F498">
        <v>6.6025999999999998</v>
      </c>
      <c r="G498">
        <v>5.1080800000000003E-11</v>
      </c>
      <c r="H498">
        <v>915.91499999999996</v>
      </c>
      <c r="I498" s="8">
        <f>bank_data[[#This Row],[intresses]]-bank_data[[#This Row],[losses]]</f>
        <v>-915.91499999994892</v>
      </c>
    </row>
    <row r="499" spans="1:9" x14ac:dyDescent="0.25">
      <c r="A499">
        <v>498</v>
      </c>
      <c r="B499">
        <v>-124146</v>
      </c>
      <c r="C499">
        <v>12</v>
      </c>
      <c r="D499">
        <v>-2.5</v>
      </c>
      <c r="E499">
        <v>0.51757600000000004</v>
      </c>
      <c r="F499">
        <v>6.6025999999999998</v>
      </c>
      <c r="G499">
        <v>4.85268E-11</v>
      </c>
      <c r="H499">
        <v>1010.3</v>
      </c>
      <c r="I499" s="8">
        <f>bank_data[[#This Row],[intresses]]-bank_data[[#This Row],[losses]]</f>
        <v>-1010.2999999999514</v>
      </c>
    </row>
    <row r="500" spans="1:9" x14ac:dyDescent="0.25">
      <c r="A500">
        <v>499</v>
      </c>
      <c r="B500">
        <v>-125182</v>
      </c>
      <c r="C500">
        <v>12</v>
      </c>
      <c r="D500">
        <v>-2.5</v>
      </c>
      <c r="E500">
        <v>0.51757600000000004</v>
      </c>
      <c r="F500">
        <v>6.6025999999999998</v>
      </c>
      <c r="G500">
        <v>4.6100399999999999E-11</v>
      </c>
      <c r="H500">
        <v>1035.58</v>
      </c>
      <c r="I500" s="8">
        <f>bank_data[[#This Row],[intresses]]-bank_data[[#This Row],[losses]]</f>
        <v>-1035.5799999999538</v>
      </c>
    </row>
    <row r="501" spans="1:9" x14ac:dyDescent="0.25">
      <c r="A501">
        <v>500</v>
      </c>
      <c r="B501">
        <v>-126188</v>
      </c>
      <c r="C501">
        <v>12</v>
      </c>
      <c r="D501">
        <v>-2.5</v>
      </c>
      <c r="E501">
        <v>0.51757600000000004</v>
      </c>
      <c r="F501">
        <v>6.6025999999999998</v>
      </c>
      <c r="G501">
        <v>4.3795400000000001E-11</v>
      </c>
      <c r="H501">
        <v>1006.56</v>
      </c>
      <c r="I501" s="8">
        <f>bank_data[[#This Row],[intresses]]-bank_data[[#This Row],[losses]]</f>
        <v>-1006.5599999999562</v>
      </c>
    </row>
    <row r="502" spans="1:9" x14ac:dyDescent="0.25">
      <c r="A502">
        <v>501</v>
      </c>
      <c r="B502">
        <v>-127033</v>
      </c>
      <c r="C502">
        <v>12</v>
      </c>
      <c r="D502">
        <v>-2.5</v>
      </c>
      <c r="E502">
        <v>0.51757600000000004</v>
      </c>
      <c r="F502">
        <v>6.6025999999999998</v>
      </c>
      <c r="G502">
        <v>4.1605599999999999E-11</v>
      </c>
      <c r="H502">
        <v>845.26900000000001</v>
      </c>
      <c r="I502" s="8">
        <f>bank_data[[#This Row],[intresses]]-bank_data[[#This Row],[losses]]</f>
        <v>-845.2689999999584</v>
      </c>
    </row>
    <row r="503" spans="1:9" x14ac:dyDescent="0.25">
      <c r="A503">
        <v>502</v>
      </c>
      <c r="B503">
        <v>-128066</v>
      </c>
      <c r="C503">
        <v>12</v>
      </c>
      <c r="D503">
        <v>-2.5</v>
      </c>
      <c r="E503">
        <v>0.51757600000000004</v>
      </c>
      <c r="F503">
        <v>6.6025999999999998</v>
      </c>
      <c r="G503">
        <v>3.9525299999999999E-11</v>
      </c>
      <c r="H503">
        <v>1033.06</v>
      </c>
      <c r="I503" s="8">
        <f>bank_data[[#This Row],[intresses]]-bank_data[[#This Row],[losses]]</f>
        <v>-1033.0599999999604</v>
      </c>
    </row>
    <row r="504" spans="1:9" x14ac:dyDescent="0.25">
      <c r="A504">
        <v>503</v>
      </c>
      <c r="B504">
        <v>-129174</v>
      </c>
      <c r="C504">
        <v>12</v>
      </c>
      <c r="D504">
        <v>-2.5</v>
      </c>
      <c r="E504">
        <v>0.51757600000000004</v>
      </c>
      <c r="F504">
        <v>6.6025999999999998</v>
      </c>
      <c r="G504">
        <v>3.75491E-11</v>
      </c>
      <c r="H504">
        <v>1107.17</v>
      </c>
      <c r="I504" s="8">
        <f>bank_data[[#This Row],[intresses]]-bank_data[[#This Row],[losses]]</f>
        <v>-1107.1699999999626</v>
      </c>
    </row>
    <row r="505" spans="1:9" x14ac:dyDescent="0.25">
      <c r="A505">
        <v>504</v>
      </c>
      <c r="B505">
        <v>-130144</v>
      </c>
      <c r="C505">
        <v>12</v>
      </c>
      <c r="D505">
        <v>-2.5</v>
      </c>
      <c r="E505">
        <v>0.51757600000000004</v>
      </c>
      <c r="F505">
        <v>6.6025999999999998</v>
      </c>
      <c r="G505">
        <v>3.5671599999999998E-11</v>
      </c>
      <c r="H505">
        <v>970.09299999999996</v>
      </c>
      <c r="I505" s="8">
        <f>bank_data[[#This Row],[intresses]]-bank_data[[#This Row],[losses]]</f>
        <v>-970.09299999996426</v>
      </c>
    </row>
    <row r="506" spans="1:9" x14ac:dyDescent="0.25">
      <c r="A506">
        <v>505</v>
      </c>
      <c r="B506">
        <v>-131101</v>
      </c>
      <c r="C506">
        <v>12</v>
      </c>
      <c r="D506">
        <v>-2.5</v>
      </c>
      <c r="E506">
        <v>0.51757600000000004</v>
      </c>
      <c r="F506">
        <v>6.6025999999999998</v>
      </c>
      <c r="G506">
        <v>3.3888000000000001E-11</v>
      </c>
      <c r="H506">
        <v>957.63400000000001</v>
      </c>
      <c r="I506" s="8">
        <f>bank_data[[#This Row],[intresses]]-bank_data[[#This Row],[losses]]</f>
        <v>-957.63399999996614</v>
      </c>
    </row>
    <row r="507" spans="1:9" x14ac:dyDescent="0.25">
      <c r="A507">
        <v>506</v>
      </c>
      <c r="B507">
        <v>-132099</v>
      </c>
      <c r="C507">
        <v>12</v>
      </c>
      <c r="D507">
        <v>-2.5</v>
      </c>
      <c r="E507">
        <v>0.51757600000000004</v>
      </c>
      <c r="F507">
        <v>6.6025999999999998</v>
      </c>
      <c r="G507">
        <v>3.2193599999999998E-11</v>
      </c>
      <c r="H507">
        <v>997.86599999999999</v>
      </c>
      <c r="I507" s="8">
        <f>bank_data[[#This Row],[intresses]]-bank_data[[#This Row],[losses]]</f>
        <v>-997.86599999996781</v>
      </c>
    </row>
    <row r="508" spans="1:9" x14ac:dyDescent="0.25">
      <c r="A508">
        <v>507</v>
      </c>
      <c r="B508">
        <v>-133025</v>
      </c>
      <c r="C508">
        <v>12</v>
      </c>
      <c r="D508">
        <v>-2.5</v>
      </c>
      <c r="E508">
        <v>0.51757600000000004</v>
      </c>
      <c r="F508">
        <v>6.6025999999999998</v>
      </c>
      <c r="G508">
        <v>3.0584000000000001E-11</v>
      </c>
      <c r="H508">
        <v>926.09799999999996</v>
      </c>
      <c r="I508" s="8">
        <f>bank_data[[#This Row],[intresses]]-bank_data[[#This Row],[losses]]</f>
        <v>-926.09799999996937</v>
      </c>
    </row>
    <row r="509" spans="1:9" x14ac:dyDescent="0.25">
      <c r="A509">
        <v>508</v>
      </c>
      <c r="B509">
        <v>-133820</v>
      </c>
      <c r="C509">
        <v>12</v>
      </c>
      <c r="D509">
        <v>-2.5</v>
      </c>
      <c r="E509">
        <v>0.51757600000000004</v>
      </c>
      <c r="F509">
        <v>6.6025999999999998</v>
      </c>
      <c r="G509">
        <v>2.9054800000000001E-11</v>
      </c>
      <c r="H509">
        <v>794.31500000000005</v>
      </c>
      <c r="I509" s="8">
        <f>bank_data[[#This Row],[intresses]]-bank_data[[#This Row],[losses]]</f>
        <v>-794.31499999997095</v>
      </c>
    </row>
    <row r="510" spans="1:9" x14ac:dyDescent="0.25">
      <c r="A510">
        <v>509</v>
      </c>
      <c r="B510">
        <v>-134342</v>
      </c>
      <c r="C510">
        <v>12</v>
      </c>
      <c r="D510">
        <v>-2.5</v>
      </c>
      <c r="E510">
        <v>0.51757600000000004</v>
      </c>
      <c r="F510">
        <v>6.6025999999999998</v>
      </c>
      <c r="G510">
        <v>2.7602000000000001E-11</v>
      </c>
      <c r="H510">
        <v>522.23900000000003</v>
      </c>
      <c r="I510" s="8">
        <f>bank_data[[#This Row],[intresses]]-bank_data[[#This Row],[losses]]</f>
        <v>-522.23899999997241</v>
      </c>
    </row>
    <row r="511" spans="1:9" x14ac:dyDescent="0.25">
      <c r="A511">
        <v>510</v>
      </c>
      <c r="B511">
        <v>-135444</v>
      </c>
      <c r="C511">
        <v>12</v>
      </c>
      <c r="D511">
        <v>-2.5</v>
      </c>
      <c r="E511">
        <v>0.51757600000000004</v>
      </c>
      <c r="F511">
        <v>6.6025999999999998</v>
      </c>
      <c r="G511">
        <v>2.6221899999999999E-11</v>
      </c>
      <c r="H511">
        <v>1102.57</v>
      </c>
      <c r="I511" s="8">
        <f>bank_data[[#This Row],[intresses]]-bank_data[[#This Row],[losses]]</f>
        <v>-1102.5699999999738</v>
      </c>
    </row>
    <row r="512" spans="1:9" x14ac:dyDescent="0.25">
      <c r="A512">
        <v>511</v>
      </c>
      <c r="B512">
        <v>-136231</v>
      </c>
      <c r="C512">
        <v>12</v>
      </c>
      <c r="D512">
        <v>-2.5</v>
      </c>
      <c r="E512">
        <v>0.51757600000000004</v>
      </c>
      <c r="F512">
        <v>6.6025999999999998</v>
      </c>
      <c r="G512">
        <v>2.4910800000000001E-11</v>
      </c>
      <c r="H512">
        <v>786.44600000000003</v>
      </c>
      <c r="I512" s="8">
        <f>bank_data[[#This Row],[intresses]]-bank_data[[#This Row],[losses]]</f>
        <v>-786.44599999997513</v>
      </c>
    </row>
    <row r="513" spans="1:9" x14ac:dyDescent="0.25">
      <c r="A513">
        <v>512</v>
      </c>
      <c r="B513">
        <v>-137211</v>
      </c>
      <c r="C513">
        <v>12</v>
      </c>
      <c r="D513">
        <v>-2.5</v>
      </c>
      <c r="E513">
        <v>0.51757600000000004</v>
      </c>
      <c r="F513">
        <v>6.6025999999999998</v>
      </c>
      <c r="G513">
        <v>2.3665299999999999E-11</v>
      </c>
      <c r="H513">
        <v>980.37400000000002</v>
      </c>
      <c r="I513" s="8">
        <f>bank_data[[#This Row],[intresses]]-bank_data[[#This Row],[losses]]</f>
        <v>-980.37399999997638</v>
      </c>
    </row>
    <row r="514" spans="1:9" x14ac:dyDescent="0.25">
      <c r="A514">
        <v>513</v>
      </c>
      <c r="B514">
        <v>-138283</v>
      </c>
      <c r="C514">
        <v>12</v>
      </c>
      <c r="D514">
        <v>-2.5</v>
      </c>
      <c r="E514">
        <v>0.51757600000000004</v>
      </c>
      <c r="F514">
        <v>6.6025999999999998</v>
      </c>
      <c r="G514">
        <v>2.2482000000000001E-11</v>
      </c>
      <c r="H514">
        <v>1071.3699999999999</v>
      </c>
      <c r="I514" s="8">
        <f>bank_data[[#This Row],[intresses]]-bank_data[[#This Row],[losses]]</f>
        <v>-1071.3699999999774</v>
      </c>
    </row>
    <row r="515" spans="1:9" x14ac:dyDescent="0.25">
      <c r="A515">
        <v>514</v>
      </c>
      <c r="B515">
        <v>-139673</v>
      </c>
      <c r="C515">
        <v>12</v>
      </c>
      <c r="D515">
        <v>-2.5</v>
      </c>
      <c r="E515">
        <v>0.51757600000000004</v>
      </c>
      <c r="F515">
        <v>6.6025999999999998</v>
      </c>
      <c r="G515">
        <v>2.1357900000000001E-11</v>
      </c>
      <c r="H515">
        <v>1389.97</v>
      </c>
      <c r="I515" s="8">
        <f>bank_data[[#This Row],[intresses]]-bank_data[[#This Row],[losses]]</f>
        <v>-1389.9699999999787</v>
      </c>
    </row>
    <row r="516" spans="1:9" x14ac:dyDescent="0.25">
      <c r="A516">
        <v>515</v>
      </c>
      <c r="B516">
        <v>-140936</v>
      </c>
      <c r="C516">
        <v>12</v>
      </c>
      <c r="D516">
        <v>-2.5</v>
      </c>
      <c r="E516">
        <v>0.51757600000000004</v>
      </c>
      <c r="F516">
        <v>6.6025999999999998</v>
      </c>
      <c r="G516">
        <v>2.0289999999999999E-11</v>
      </c>
      <c r="H516">
        <v>1263.5</v>
      </c>
      <c r="I516" s="8">
        <f>bank_data[[#This Row],[intresses]]-bank_data[[#This Row],[losses]]</f>
        <v>-1263.4999999999798</v>
      </c>
    </row>
    <row r="517" spans="1:9" x14ac:dyDescent="0.25">
      <c r="A517">
        <v>516</v>
      </c>
      <c r="B517">
        <v>-142361</v>
      </c>
      <c r="C517">
        <v>12</v>
      </c>
      <c r="D517">
        <v>-2.5</v>
      </c>
      <c r="E517">
        <v>0.51757600000000004</v>
      </c>
      <c r="F517">
        <v>6.6025999999999998</v>
      </c>
      <c r="G517">
        <v>1.92755E-11</v>
      </c>
      <c r="H517">
        <v>1424.98</v>
      </c>
      <c r="I517" s="8">
        <f>bank_data[[#This Row],[intresses]]-bank_data[[#This Row],[losses]]</f>
        <v>-1424.9799999999807</v>
      </c>
    </row>
    <row r="518" spans="1:9" x14ac:dyDescent="0.25">
      <c r="A518">
        <v>517</v>
      </c>
      <c r="B518">
        <v>-143650</v>
      </c>
      <c r="C518">
        <v>12</v>
      </c>
      <c r="D518">
        <v>-2.5</v>
      </c>
      <c r="E518">
        <v>0.51757600000000004</v>
      </c>
      <c r="F518">
        <v>6.6025999999999998</v>
      </c>
      <c r="G518">
        <v>1.8311699999999998E-11</v>
      </c>
      <c r="H518">
        <v>1288.79</v>
      </c>
      <c r="I518" s="8">
        <f>bank_data[[#This Row],[intresses]]-bank_data[[#This Row],[losses]]</f>
        <v>-1288.7899999999815</v>
      </c>
    </row>
    <row r="519" spans="1:9" x14ac:dyDescent="0.25">
      <c r="A519">
        <v>518</v>
      </c>
      <c r="B519">
        <v>-145304</v>
      </c>
      <c r="C519">
        <v>12</v>
      </c>
      <c r="D519">
        <v>-2.5</v>
      </c>
      <c r="E519">
        <v>0.51757600000000004</v>
      </c>
      <c r="F519">
        <v>6.6025999999999998</v>
      </c>
      <c r="G519">
        <v>1.73962E-11</v>
      </c>
      <c r="H519">
        <v>1654.2</v>
      </c>
      <c r="I519" s="8">
        <f>bank_data[[#This Row],[intresses]]-bank_data[[#This Row],[losses]]</f>
        <v>-1654.1999999999825</v>
      </c>
    </row>
    <row r="520" spans="1:9" x14ac:dyDescent="0.25">
      <c r="A520">
        <v>519</v>
      </c>
      <c r="B520">
        <v>-146833</v>
      </c>
      <c r="C520">
        <v>12</v>
      </c>
      <c r="D520">
        <v>-2.5</v>
      </c>
      <c r="E520">
        <v>0.51757600000000004</v>
      </c>
      <c r="F520">
        <v>6.6025999999999998</v>
      </c>
      <c r="G520">
        <v>1.65263E-11</v>
      </c>
      <c r="H520">
        <v>1529.17</v>
      </c>
      <c r="I520" s="8">
        <f>bank_data[[#This Row],[intresses]]-bank_data[[#This Row],[losses]]</f>
        <v>-1529.1699999999835</v>
      </c>
    </row>
    <row r="521" spans="1:9" x14ac:dyDescent="0.25">
      <c r="A521">
        <v>520</v>
      </c>
      <c r="B521">
        <v>-147942</v>
      </c>
      <c r="C521">
        <v>12</v>
      </c>
      <c r="D521">
        <v>-2.5</v>
      </c>
      <c r="E521">
        <v>0.51757600000000004</v>
      </c>
      <c r="F521">
        <v>6.6025999999999998</v>
      </c>
      <c r="G521">
        <v>1.5700000000000001E-11</v>
      </c>
      <c r="H521">
        <v>1108.53</v>
      </c>
      <c r="I521" s="8">
        <f>bank_data[[#This Row],[intresses]]-bank_data[[#This Row],[losses]]</f>
        <v>-1108.5299999999843</v>
      </c>
    </row>
    <row r="522" spans="1:9" x14ac:dyDescent="0.25">
      <c r="A522">
        <v>521</v>
      </c>
      <c r="B522">
        <v>-149195</v>
      </c>
      <c r="C522">
        <v>12</v>
      </c>
      <c r="D522">
        <v>-2.5</v>
      </c>
      <c r="E522">
        <v>0.51757600000000004</v>
      </c>
      <c r="F522">
        <v>6.6025999999999998</v>
      </c>
      <c r="G522">
        <v>1.4915000000000001E-11</v>
      </c>
      <c r="H522">
        <v>1253.3900000000001</v>
      </c>
      <c r="I522" s="8">
        <f>bank_data[[#This Row],[intresses]]-bank_data[[#This Row],[losses]]</f>
        <v>-1253.3899999999851</v>
      </c>
    </row>
    <row r="523" spans="1:9" x14ac:dyDescent="0.25">
      <c r="A523">
        <v>522</v>
      </c>
      <c r="B523">
        <v>-150718</v>
      </c>
      <c r="C523">
        <v>12</v>
      </c>
      <c r="D523">
        <v>-2.5</v>
      </c>
      <c r="E523">
        <v>0.51757600000000004</v>
      </c>
      <c r="F523">
        <v>6.6025999999999998</v>
      </c>
      <c r="G523">
        <v>1.4169299999999999E-11</v>
      </c>
      <c r="H523">
        <v>1522.55</v>
      </c>
      <c r="I523" s="8">
        <f>bank_data[[#This Row],[intresses]]-bank_data[[#This Row],[losses]]</f>
        <v>-1522.5499999999859</v>
      </c>
    </row>
    <row r="524" spans="1:9" x14ac:dyDescent="0.25">
      <c r="A524">
        <v>523</v>
      </c>
      <c r="B524">
        <v>-151940</v>
      </c>
      <c r="C524">
        <v>12</v>
      </c>
      <c r="D524">
        <v>-2.5</v>
      </c>
      <c r="E524">
        <v>0.51757600000000004</v>
      </c>
      <c r="F524">
        <v>6.6025999999999998</v>
      </c>
      <c r="G524">
        <v>1.3460799999999999E-11</v>
      </c>
      <c r="H524">
        <v>1221.93</v>
      </c>
      <c r="I524" s="8">
        <f>bank_data[[#This Row],[intresses]]-bank_data[[#This Row],[losses]]</f>
        <v>-1221.9299999999866</v>
      </c>
    </row>
    <row r="525" spans="1:9" x14ac:dyDescent="0.25">
      <c r="A525">
        <v>524</v>
      </c>
      <c r="B525">
        <v>-153121</v>
      </c>
      <c r="C525">
        <v>12</v>
      </c>
      <c r="D525">
        <v>-2.5</v>
      </c>
      <c r="E525">
        <v>0.51757600000000004</v>
      </c>
      <c r="F525">
        <v>6.6025999999999998</v>
      </c>
      <c r="G525">
        <v>1.27878E-11</v>
      </c>
      <c r="H525">
        <v>1181.17</v>
      </c>
      <c r="I525" s="8">
        <f>bank_data[[#This Row],[intresses]]-bank_data[[#This Row],[losses]]</f>
        <v>-1181.1699999999873</v>
      </c>
    </row>
    <row r="526" spans="1:9" x14ac:dyDescent="0.25">
      <c r="A526">
        <v>525</v>
      </c>
      <c r="B526">
        <v>-154158</v>
      </c>
      <c r="C526">
        <v>12</v>
      </c>
      <c r="D526">
        <v>-2.5</v>
      </c>
      <c r="E526">
        <v>0.51757600000000004</v>
      </c>
      <c r="F526">
        <v>6.6025999999999998</v>
      </c>
      <c r="G526">
        <v>1.21484E-11</v>
      </c>
      <c r="H526">
        <v>1036.8</v>
      </c>
      <c r="I526" s="8">
        <f>bank_data[[#This Row],[intresses]]-bank_data[[#This Row],[losses]]</f>
        <v>-1036.7999999999879</v>
      </c>
    </row>
    <row r="527" spans="1:9" x14ac:dyDescent="0.25">
      <c r="A527">
        <v>526</v>
      </c>
      <c r="B527">
        <v>-155215</v>
      </c>
      <c r="C527">
        <v>12</v>
      </c>
      <c r="D527">
        <v>-2.5</v>
      </c>
      <c r="E527">
        <v>0.51757600000000004</v>
      </c>
      <c r="F527">
        <v>6.6025999999999998</v>
      </c>
      <c r="G527">
        <v>1.1541E-11</v>
      </c>
      <c r="H527">
        <v>1056.99</v>
      </c>
      <c r="I527" s="8">
        <f>bank_data[[#This Row],[intresses]]-bank_data[[#This Row],[losses]]</f>
        <v>-1056.9899999999884</v>
      </c>
    </row>
    <row r="528" spans="1:9" x14ac:dyDescent="0.25">
      <c r="A528">
        <v>527</v>
      </c>
      <c r="B528">
        <v>-156209</v>
      </c>
      <c r="C528">
        <v>12</v>
      </c>
      <c r="D528">
        <v>-2.5</v>
      </c>
      <c r="E528">
        <v>0.51757600000000004</v>
      </c>
      <c r="F528">
        <v>6.6025999999999998</v>
      </c>
      <c r="G528">
        <v>1.0963899999999999E-11</v>
      </c>
      <c r="H528">
        <v>994.59500000000003</v>
      </c>
      <c r="I528" s="8">
        <f>bank_data[[#This Row],[intresses]]-bank_data[[#This Row],[losses]]</f>
        <v>-994.59499999998911</v>
      </c>
    </row>
    <row r="529" spans="1:9" x14ac:dyDescent="0.25">
      <c r="A529">
        <v>528</v>
      </c>
      <c r="B529">
        <v>-157270</v>
      </c>
      <c r="C529">
        <v>12</v>
      </c>
      <c r="D529">
        <v>-2.5</v>
      </c>
      <c r="E529">
        <v>0.51757600000000004</v>
      </c>
      <c r="F529">
        <v>6.6025999999999998</v>
      </c>
      <c r="G529">
        <v>1.0415700000000001E-11</v>
      </c>
      <c r="H529">
        <v>1060.8399999999999</v>
      </c>
      <c r="I529" s="8">
        <f>bank_data[[#This Row],[intresses]]-bank_data[[#This Row],[losses]]</f>
        <v>-1060.8399999999895</v>
      </c>
    </row>
    <row r="530" spans="1:9" x14ac:dyDescent="0.25">
      <c r="A530">
        <v>529</v>
      </c>
      <c r="B530">
        <v>-158565</v>
      </c>
      <c r="C530">
        <v>12</v>
      </c>
      <c r="D530">
        <v>-2.5</v>
      </c>
      <c r="E530">
        <v>0.51757600000000004</v>
      </c>
      <c r="F530">
        <v>6.6025999999999998</v>
      </c>
      <c r="G530">
        <v>9.8949399999999994E-12</v>
      </c>
      <c r="H530">
        <v>1294.92</v>
      </c>
      <c r="I530" s="8">
        <f>bank_data[[#This Row],[intresses]]-bank_data[[#This Row],[losses]]</f>
        <v>-1294.9199999999901</v>
      </c>
    </row>
    <row r="531" spans="1:9" x14ac:dyDescent="0.25">
      <c r="A531">
        <v>530</v>
      </c>
      <c r="B531">
        <v>-159573</v>
      </c>
      <c r="C531">
        <v>12</v>
      </c>
      <c r="D531">
        <v>-2.5</v>
      </c>
      <c r="E531">
        <v>0.51757600000000004</v>
      </c>
      <c r="F531">
        <v>6.6025999999999998</v>
      </c>
      <c r="G531">
        <v>9.4001899999999993E-12</v>
      </c>
      <c r="H531">
        <v>1007.66</v>
      </c>
      <c r="I531" s="8">
        <f>bank_data[[#This Row],[intresses]]-bank_data[[#This Row],[losses]]</f>
        <v>-1007.6599999999905</v>
      </c>
    </row>
    <row r="532" spans="1:9" x14ac:dyDescent="0.25">
      <c r="A532">
        <v>531</v>
      </c>
      <c r="B532">
        <v>-160718</v>
      </c>
      <c r="C532">
        <v>12</v>
      </c>
      <c r="D532">
        <v>-2.5</v>
      </c>
      <c r="E532">
        <v>0.51757600000000004</v>
      </c>
      <c r="F532">
        <v>6.6025999999999998</v>
      </c>
      <c r="G532">
        <v>8.9301800000000006E-12</v>
      </c>
      <c r="H532">
        <v>1145.8900000000001</v>
      </c>
      <c r="I532" s="8">
        <f>bank_data[[#This Row],[intresses]]-bank_data[[#This Row],[losses]]</f>
        <v>-1145.8899999999912</v>
      </c>
    </row>
    <row r="533" spans="1:9" x14ac:dyDescent="0.25">
      <c r="A533">
        <v>532</v>
      </c>
      <c r="B533">
        <v>-162019</v>
      </c>
      <c r="C533">
        <v>12</v>
      </c>
      <c r="D533">
        <v>-2.5</v>
      </c>
      <c r="E533">
        <v>0.51757600000000004</v>
      </c>
      <c r="F533">
        <v>6.6025999999999998</v>
      </c>
      <c r="G533">
        <v>8.4836699999999999E-12</v>
      </c>
      <c r="H533">
        <v>1300.8800000000001</v>
      </c>
      <c r="I533" s="8">
        <f>bank_data[[#This Row],[intresses]]-bank_data[[#This Row],[losses]]</f>
        <v>-1300.8799999999917</v>
      </c>
    </row>
    <row r="534" spans="1:9" x14ac:dyDescent="0.25">
      <c r="A534">
        <v>533</v>
      </c>
      <c r="B534">
        <v>-163699</v>
      </c>
      <c r="C534">
        <v>12</v>
      </c>
      <c r="D534">
        <v>-2.5</v>
      </c>
      <c r="E534">
        <v>0.51757600000000004</v>
      </c>
      <c r="F534">
        <v>6.6025999999999998</v>
      </c>
      <c r="G534">
        <v>8.0594900000000004E-12</v>
      </c>
      <c r="H534">
        <v>1679.74</v>
      </c>
      <c r="I534" s="8">
        <f>bank_data[[#This Row],[intresses]]-bank_data[[#This Row],[losses]]</f>
        <v>-1679.7399999999921</v>
      </c>
    </row>
    <row r="535" spans="1:9" x14ac:dyDescent="0.25">
      <c r="A535">
        <v>534</v>
      </c>
      <c r="B535">
        <v>-165021</v>
      </c>
      <c r="C535">
        <v>12</v>
      </c>
      <c r="D535">
        <v>-2.5</v>
      </c>
      <c r="E535">
        <v>0.51757600000000004</v>
      </c>
      <c r="F535">
        <v>6.6025999999999998</v>
      </c>
      <c r="G535">
        <v>7.6565099999999992E-12</v>
      </c>
      <c r="H535">
        <v>1321.99</v>
      </c>
      <c r="I535" s="8">
        <f>bank_data[[#This Row],[intresses]]-bank_data[[#This Row],[losses]]</f>
        <v>-1321.9899999999923</v>
      </c>
    </row>
    <row r="536" spans="1:9" x14ac:dyDescent="0.25">
      <c r="A536">
        <v>535</v>
      </c>
      <c r="B536">
        <v>-166258</v>
      </c>
      <c r="C536">
        <v>12</v>
      </c>
      <c r="D536">
        <v>-2.5</v>
      </c>
      <c r="E536">
        <v>0.51757600000000004</v>
      </c>
      <c r="F536">
        <v>6.6025999999999998</v>
      </c>
      <c r="G536">
        <v>7.2736900000000003E-12</v>
      </c>
      <c r="H536">
        <v>1236.76</v>
      </c>
      <c r="I536" s="8">
        <f>bank_data[[#This Row],[intresses]]-bank_data[[#This Row],[losses]]</f>
        <v>-1236.7599999999927</v>
      </c>
    </row>
    <row r="537" spans="1:9" x14ac:dyDescent="0.25">
      <c r="A537">
        <v>536</v>
      </c>
      <c r="B537">
        <v>-168299</v>
      </c>
      <c r="C537">
        <v>12</v>
      </c>
      <c r="D537">
        <v>-2.5</v>
      </c>
      <c r="E537">
        <v>0.51757600000000004</v>
      </c>
      <c r="F537">
        <v>6.6025999999999998</v>
      </c>
      <c r="G537">
        <v>6.9100000000000002E-12</v>
      </c>
      <c r="H537">
        <v>2040.8</v>
      </c>
      <c r="I537" s="8">
        <f>bank_data[[#This Row],[intresses]]-bank_data[[#This Row],[losses]]</f>
        <v>-2040.7999999999931</v>
      </c>
    </row>
    <row r="538" spans="1:9" x14ac:dyDescent="0.25">
      <c r="A538">
        <v>537</v>
      </c>
      <c r="B538">
        <v>-170008</v>
      </c>
      <c r="C538">
        <v>12</v>
      </c>
      <c r="D538">
        <v>-2.5</v>
      </c>
      <c r="E538">
        <v>0.51757600000000004</v>
      </c>
      <c r="F538">
        <v>6.6025999999999998</v>
      </c>
      <c r="G538">
        <v>6.5645000000000001E-12</v>
      </c>
      <c r="H538">
        <v>1709.3</v>
      </c>
      <c r="I538" s="8">
        <f>bank_data[[#This Row],[intresses]]-bank_data[[#This Row],[losses]]</f>
        <v>-1709.2999999999934</v>
      </c>
    </row>
    <row r="539" spans="1:9" x14ac:dyDescent="0.25">
      <c r="A539">
        <v>538</v>
      </c>
      <c r="B539">
        <v>-171783</v>
      </c>
      <c r="C539">
        <v>12</v>
      </c>
      <c r="D539">
        <v>-2.5</v>
      </c>
      <c r="E539">
        <v>0.51757600000000004</v>
      </c>
      <c r="F539">
        <v>6.6025999999999998</v>
      </c>
      <c r="G539">
        <v>6.2362799999999998E-12</v>
      </c>
      <c r="H539">
        <v>1775.29</v>
      </c>
      <c r="I539" s="8">
        <f>bank_data[[#This Row],[intresses]]-bank_data[[#This Row],[losses]]</f>
        <v>-1775.2899999999938</v>
      </c>
    </row>
    <row r="540" spans="1:9" x14ac:dyDescent="0.25">
      <c r="A540">
        <v>539</v>
      </c>
      <c r="B540">
        <v>-173304</v>
      </c>
      <c r="C540">
        <v>12</v>
      </c>
      <c r="D540">
        <v>-2.5</v>
      </c>
      <c r="E540">
        <v>0.51757600000000004</v>
      </c>
      <c r="F540">
        <v>6.6025999999999998</v>
      </c>
      <c r="G540">
        <v>5.92446E-12</v>
      </c>
      <c r="H540">
        <v>1520.4</v>
      </c>
      <c r="I540" s="8">
        <f>bank_data[[#This Row],[intresses]]-bank_data[[#This Row],[losses]]</f>
        <v>-1520.3999999999942</v>
      </c>
    </row>
    <row r="541" spans="1:9" x14ac:dyDescent="0.25">
      <c r="A541">
        <v>540</v>
      </c>
      <c r="B541">
        <v>-174917</v>
      </c>
      <c r="C541">
        <v>12</v>
      </c>
      <c r="D541">
        <v>-2.5</v>
      </c>
      <c r="E541">
        <v>0.51757600000000004</v>
      </c>
      <c r="F541">
        <v>6.6025999999999998</v>
      </c>
      <c r="G541">
        <v>5.6282400000000003E-12</v>
      </c>
      <c r="H541">
        <v>1613.85</v>
      </c>
      <c r="I541" s="8">
        <f>bank_data[[#This Row],[intresses]]-bank_data[[#This Row],[losses]]</f>
        <v>-1613.8499999999942</v>
      </c>
    </row>
    <row r="542" spans="1:9" x14ac:dyDescent="0.25">
      <c r="A542">
        <v>541</v>
      </c>
      <c r="B542">
        <v>-176743</v>
      </c>
      <c r="C542">
        <v>12</v>
      </c>
      <c r="D542">
        <v>-2.5</v>
      </c>
      <c r="E542">
        <v>0.51757600000000004</v>
      </c>
      <c r="F542">
        <v>6.6025999999999998</v>
      </c>
      <c r="G542">
        <v>5.3468300000000001E-12</v>
      </c>
      <c r="H542">
        <v>1825.94</v>
      </c>
      <c r="I542" s="8">
        <f>bank_data[[#This Row],[intresses]]-bank_data[[#This Row],[losses]]</f>
        <v>-1825.9399999999946</v>
      </c>
    </row>
    <row r="543" spans="1:9" x14ac:dyDescent="0.25">
      <c r="A543">
        <v>542</v>
      </c>
      <c r="B543">
        <v>-178491</v>
      </c>
      <c r="C543">
        <v>12</v>
      </c>
      <c r="D543">
        <v>-2.5</v>
      </c>
      <c r="E543">
        <v>0.51757600000000004</v>
      </c>
      <c r="F543">
        <v>6.6025999999999998</v>
      </c>
      <c r="G543">
        <v>5.0794899999999998E-12</v>
      </c>
      <c r="H543">
        <v>1747.32</v>
      </c>
      <c r="I543" s="8">
        <f>bank_data[[#This Row],[intresses]]-bank_data[[#This Row],[losses]]</f>
        <v>-1747.3199999999949</v>
      </c>
    </row>
    <row r="544" spans="1:9" x14ac:dyDescent="0.25">
      <c r="A544">
        <v>543</v>
      </c>
      <c r="B544">
        <v>-180118</v>
      </c>
      <c r="C544">
        <v>12</v>
      </c>
      <c r="D544">
        <v>-2.5</v>
      </c>
      <c r="E544">
        <v>0.51757600000000004</v>
      </c>
      <c r="F544">
        <v>6.6025999999999998</v>
      </c>
      <c r="G544">
        <v>4.8255099999999997E-12</v>
      </c>
      <c r="H544">
        <v>1627.41</v>
      </c>
      <c r="I544" s="8">
        <f>bank_data[[#This Row],[intresses]]-bank_data[[#This Row],[losses]]</f>
        <v>-1627.4099999999953</v>
      </c>
    </row>
    <row r="545" spans="1:9" x14ac:dyDescent="0.25">
      <c r="A545">
        <v>544</v>
      </c>
      <c r="B545">
        <v>-181795</v>
      </c>
      <c r="C545">
        <v>12</v>
      </c>
      <c r="D545">
        <v>-2.5</v>
      </c>
      <c r="E545">
        <v>0.51757600000000004</v>
      </c>
      <c r="F545">
        <v>6.6025999999999998</v>
      </c>
      <c r="G545">
        <v>4.5842400000000003E-12</v>
      </c>
      <c r="H545">
        <v>1676.85</v>
      </c>
      <c r="I545" s="8">
        <f>bank_data[[#This Row],[intresses]]-bank_data[[#This Row],[losses]]</f>
        <v>-1676.8499999999954</v>
      </c>
    </row>
    <row r="546" spans="1:9" x14ac:dyDescent="0.25">
      <c r="A546">
        <v>545</v>
      </c>
      <c r="B546">
        <v>-183394</v>
      </c>
      <c r="C546">
        <v>12</v>
      </c>
      <c r="D546">
        <v>-2.5</v>
      </c>
      <c r="E546">
        <v>0.51757600000000004</v>
      </c>
      <c r="F546">
        <v>6.6025999999999998</v>
      </c>
      <c r="G546">
        <v>4.3550300000000003E-12</v>
      </c>
      <c r="H546">
        <v>1599.05</v>
      </c>
      <c r="I546" s="8">
        <f>bank_data[[#This Row],[intresses]]-bank_data[[#This Row],[losses]]</f>
        <v>-1599.0499999999956</v>
      </c>
    </row>
    <row r="547" spans="1:9" x14ac:dyDescent="0.25">
      <c r="A547">
        <v>546</v>
      </c>
      <c r="B547">
        <v>-185267</v>
      </c>
      <c r="C547">
        <v>12</v>
      </c>
      <c r="D547">
        <v>-2.5</v>
      </c>
      <c r="E547">
        <v>0.51757600000000004</v>
      </c>
      <c r="F547">
        <v>6.6025999999999998</v>
      </c>
      <c r="G547">
        <v>4.1372699999999998E-12</v>
      </c>
      <c r="H547">
        <v>1872.89</v>
      </c>
      <c r="I547" s="8">
        <f>bank_data[[#This Row],[intresses]]-bank_data[[#This Row],[losses]]</f>
        <v>-1872.889999999996</v>
      </c>
    </row>
    <row r="548" spans="1:9" x14ac:dyDescent="0.25">
      <c r="A548">
        <v>547</v>
      </c>
      <c r="B548">
        <v>-187027</v>
      </c>
      <c r="C548">
        <v>12</v>
      </c>
      <c r="D548">
        <v>-2.5</v>
      </c>
      <c r="E548">
        <v>0.51757600000000004</v>
      </c>
      <c r="F548">
        <v>6.6025999999999998</v>
      </c>
      <c r="G548">
        <v>3.9304099999999996E-12</v>
      </c>
      <c r="H548">
        <v>1760.08</v>
      </c>
      <c r="I548" s="8">
        <f>bank_data[[#This Row],[intresses]]-bank_data[[#This Row],[losses]]</f>
        <v>-1760.0799999999961</v>
      </c>
    </row>
    <row r="549" spans="1:9" x14ac:dyDescent="0.25">
      <c r="A549">
        <v>548</v>
      </c>
      <c r="B549">
        <v>-188807</v>
      </c>
      <c r="C549">
        <v>12</v>
      </c>
      <c r="D549">
        <v>-2.5</v>
      </c>
      <c r="E549">
        <v>0.51757600000000004</v>
      </c>
      <c r="F549">
        <v>6.6025999999999998</v>
      </c>
      <c r="G549">
        <v>3.7338900000000004E-12</v>
      </c>
      <c r="H549">
        <v>1780.23</v>
      </c>
      <c r="I549" s="8">
        <f>bank_data[[#This Row],[intresses]]-bank_data[[#This Row],[losses]]</f>
        <v>-1780.2299999999964</v>
      </c>
    </row>
    <row r="550" spans="1:9" x14ac:dyDescent="0.25">
      <c r="A550">
        <v>549</v>
      </c>
      <c r="B550">
        <v>-190604</v>
      </c>
      <c r="C550">
        <v>12</v>
      </c>
      <c r="D550">
        <v>-2.5</v>
      </c>
      <c r="E550">
        <v>0.51757600000000004</v>
      </c>
      <c r="F550">
        <v>6.6025999999999998</v>
      </c>
      <c r="G550">
        <v>3.5472000000000001E-12</v>
      </c>
      <c r="H550">
        <v>1796.61</v>
      </c>
      <c r="I550" s="8">
        <f>bank_data[[#This Row],[intresses]]-bank_data[[#This Row],[losses]]</f>
        <v>-1796.6099999999963</v>
      </c>
    </row>
    <row r="551" spans="1:9" x14ac:dyDescent="0.25">
      <c r="A551">
        <v>550</v>
      </c>
      <c r="B551">
        <v>-191955</v>
      </c>
      <c r="C551">
        <v>12</v>
      </c>
      <c r="D551">
        <v>-2.5</v>
      </c>
      <c r="E551">
        <v>0.51757600000000004</v>
      </c>
      <c r="F551">
        <v>6.6025999999999998</v>
      </c>
      <c r="G551">
        <v>3.3698400000000001E-12</v>
      </c>
      <c r="H551">
        <v>1350.78</v>
      </c>
      <c r="I551" s="8">
        <f>bank_data[[#This Row],[intresses]]-bank_data[[#This Row],[losses]]</f>
        <v>-1350.7799999999966</v>
      </c>
    </row>
    <row r="552" spans="1:9" x14ac:dyDescent="0.25">
      <c r="A552">
        <v>551</v>
      </c>
      <c r="B552">
        <v>-193507</v>
      </c>
      <c r="C552">
        <v>12</v>
      </c>
      <c r="D552">
        <v>-2.5</v>
      </c>
      <c r="E552">
        <v>0.51757600000000004</v>
      </c>
      <c r="F552">
        <v>6.6025999999999998</v>
      </c>
      <c r="G552">
        <v>3.2013400000000002E-12</v>
      </c>
      <c r="H552">
        <v>1552.82</v>
      </c>
      <c r="I552" s="8">
        <f>bank_data[[#This Row],[intresses]]-bank_data[[#This Row],[losses]]</f>
        <v>-1552.8199999999968</v>
      </c>
    </row>
    <row r="553" spans="1:9" x14ac:dyDescent="0.25">
      <c r="A553">
        <v>552</v>
      </c>
      <c r="B553">
        <v>-194971</v>
      </c>
      <c r="C553">
        <v>12</v>
      </c>
      <c r="D553">
        <v>-2.5</v>
      </c>
      <c r="E553">
        <v>0.51757600000000004</v>
      </c>
      <c r="F553">
        <v>6.6025999999999998</v>
      </c>
      <c r="G553">
        <v>3.0412800000000001E-12</v>
      </c>
      <c r="H553">
        <v>1464.03</v>
      </c>
      <c r="I553" s="8">
        <f>bank_data[[#This Row],[intresses]]-bank_data[[#This Row],[losses]]</f>
        <v>-1464.029999999997</v>
      </c>
    </row>
    <row r="554" spans="1:9" x14ac:dyDescent="0.25">
      <c r="A554">
        <v>553</v>
      </c>
      <c r="B554">
        <v>-196188</v>
      </c>
      <c r="C554">
        <v>12</v>
      </c>
      <c r="D554">
        <v>-2.5</v>
      </c>
      <c r="E554">
        <v>0.51757600000000004</v>
      </c>
      <c r="F554">
        <v>6.6025999999999998</v>
      </c>
      <c r="G554">
        <v>2.88921E-12</v>
      </c>
      <c r="H554">
        <v>1216.06</v>
      </c>
      <c r="I554" s="8">
        <f>bank_data[[#This Row],[intresses]]-bank_data[[#This Row],[losses]]</f>
        <v>-1216.059999999997</v>
      </c>
    </row>
    <row r="555" spans="1:9" x14ac:dyDescent="0.25">
      <c r="A555">
        <v>554</v>
      </c>
      <c r="B555">
        <v>-197644</v>
      </c>
      <c r="C555">
        <v>12</v>
      </c>
      <c r="D555">
        <v>-2.5</v>
      </c>
      <c r="E555">
        <v>0.51757600000000004</v>
      </c>
      <c r="F555">
        <v>6.6025999999999998</v>
      </c>
      <c r="G555">
        <v>2.74475E-12</v>
      </c>
      <c r="H555">
        <v>1456.19</v>
      </c>
      <c r="I555" s="8">
        <f>bank_data[[#This Row],[intresses]]-bank_data[[#This Row],[losses]]</f>
        <v>-1456.1899999999973</v>
      </c>
    </row>
    <row r="556" spans="1:9" x14ac:dyDescent="0.25">
      <c r="A556">
        <v>555</v>
      </c>
      <c r="B556">
        <v>-198993</v>
      </c>
      <c r="C556">
        <v>12</v>
      </c>
      <c r="D556">
        <v>-2.5</v>
      </c>
      <c r="E556">
        <v>0.51757600000000004</v>
      </c>
      <c r="F556">
        <v>6.6025999999999998</v>
      </c>
      <c r="G556">
        <v>2.6075100000000001E-12</v>
      </c>
      <c r="H556">
        <v>1349.08</v>
      </c>
      <c r="I556" s="8">
        <f>bank_data[[#This Row],[intresses]]-bank_data[[#This Row],[losses]]</f>
        <v>-1349.0799999999974</v>
      </c>
    </row>
    <row r="557" spans="1:9" x14ac:dyDescent="0.25">
      <c r="A557">
        <v>556</v>
      </c>
      <c r="B557">
        <v>-200831</v>
      </c>
      <c r="C557">
        <v>12</v>
      </c>
      <c r="D557">
        <v>-2.5</v>
      </c>
      <c r="E557">
        <v>0.51757600000000004</v>
      </c>
      <c r="F557">
        <v>6.6025999999999998</v>
      </c>
      <c r="G557">
        <v>2.4771400000000001E-12</v>
      </c>
      <c r="H557">
        <v>1837.79</v>
      </c>
      <c r="I557" s="8">
        <f>bank_data[[#This Row],[intresses]]-bank_data[[#This Row],[losses]]</f>
        <v>-1837.7899999999975</v>
      </c>
    </row>
    <row r="558" spans="1:9" x14ac:dyDescent="0.25">
      <c r="A558">
        <v>557</v>
      </c>
      <c r="B558">
        <v>-202551</v>
      </c>
      <c r="C558">
        <v>12</v>
      </c>
      <c r="D558">
        <v>-2.5</v>
      </c>
      <c r="E558">
        <v>0.51757600000000004</v>
      </c>
      <c r="F558">
        <v>6.6025999999999998</v>
      </c>
      <c r="G558">
        <v>2.3532799999999998E-12</v>
      </c>
      <c r="H558">
        <v>1720.63</v>
      </c>
      <c r="I558" s="8">
        <f>bank_data[[#This Row],[intresses]]-bank_data[[#This Row],[losses]]</f>
        <v>-1720.6299999999978</v>
      </c>
    </row>
    <row r="559" spans="1:9" x14ac:dyDescent="0.25">
      <c r="A559">
        <v>558</v>
      </c>
      <c r="B559">
        <v>-204024</v>
      </c>
      <c r="C559">
        <v>12</v>
      </c>
      <c r="D559">
        <v>-2.5</v>
      </c>
      <c r="E559">
        <v>0.51757600000000004</v>
      </c>
      <c r="F559">
        <v>6.6025999999999998</v>
      </c>
      <c r="G559">
        <v>2.2356200000000001E-12</v>
      </c>
      <c r="H559">
        <v>1472.61</v>
      </c>
      <c r="I559" s="8">
        <f>bank_data[[#This Row],[intresses]]-bank_data[[#This Row],[losses]]</f>
        <v>-1472.6099999999976</v>
      </c>
    </row>
    <row r="560" spans="1:9" x14ac:dyDescent="0.25">
      <c r="A560">
        <v>559</v>
      </c>
      <c r="B560">
        <v>-205936</v>
      </c>
      <c r="C560">
        <v>12</v>
      </c>
      <c r="D560">
        <v>-2.5</v>
      </c>
      <c r="E560">
        <v>0.51757600000000004</v>
      </c>
      <c r="F560">
        <v>6.6025999999999998</v>
      </c>
      <c r="G560">
        <v>2.12384E-12</v>
      </c>
      <c r="H560">
        <v>1911.97</v>
      </c>
      <c r="I560" s="8">
        <f>bank_data[[#This Row],[intresses]]-bank_data[[#This Row],[losses]]</f>
        <v>-1911.969999999998</v>
      </c>
    </row>
    <row r="561" spans="1:9" x14ac:dyDescent="0.25">
      <c r="A561">
        <v>560</v>
      </c>
      <c r="B561">
        <v>-207652</v>
      </c>
      <c r="C561">
        <v>12</v>
      </c>
      <c r="D561">
        <v>-2.5</v>
      </c>
      <c r="E561">
        <v>0.51757600000000004</v>
      </c>
      <c r="F561">
        <v>6.6025999999999998</v>
      </c>
      <c r="G561">
        <v>2.01765E-12</v>
      </c>
      <c r="H561">
        <v>1715.83</v>
      </c>
      <c r="I561" s="8">
        <f>bank_data[[#This Row],[intresses]]-bank_data[[#This Row],[losses]]</f>
        <v>-1715.8299999999979</v>
      </c>
    </row>
    <row r="562" spans="1:9" x14ac:dyDescent="0.25">
      <c r="A562">
        <v>561</v>
      </c>
      <c r="B562">
        <v>-209312</v>
      </c>
      <c r="C562">
        <v>12</v>
      </c>
      <c r="D562">
        <v>-2.5</v>
      </c>
      <c r="E562">
        <v>0.51757600000000004</v>
      </c>
      <c r="F562">
        <v>6.6025999999999998</v>
      </c>
      <c r="G562">
        <v>1.91676E-12</v>
      </c>
      <c r="H562">
        <v>1660.32</v>
      </c>
      <c r="I562" s="8">
        <f>bank_data[[#This Row],[intresses]]-bank_data[[#This Row],[losses]]</f>
        <v>-1660.3199999999981</v>
      </c>
    </row>
    <row r="563" spans="1:9" x14ac:dyDescent="0.25">
      <c r="A563">
        <v>562</v>
      </c>
      <c r="B563">
        <v>-211079</v>
      </c>
      <c r="C563">
        <v>12</v>
      </c>
      <c r="D563">
        <v>-2.5</v>
      </c>
      <c r="E563">
        <v>0.51757600000000004</v>
      </c>
      <c r="F563">
        <v>6.6025999999999998</v>
      </c>
      <c r="G563">
        <v>1.8209199999999999E-12</v>
      </c>
      <c r="H563">
        <v>1767.42</v>
      </c>
      <c r="I563" s="8">
        <f>bank_data[[#This Row],[intresses]]-bank_data[[#This Row],[losses]]</f>
        <v>-1767.4199999999983</v>
      </c>
    </row>
    <row r="564" spans="1:9" x14ac:dyDescent="0.25">
      <c r="A564">
        <v>563</v>
      </c>
      <c r="B564">
        <v>-212517</v>
      </c>
      <c r="C564">
        <v>12</v>
      </c>
      <c r="D564">
        <v>-2.5</v>
      </c>
      <c r="E564">
        <v>0.51757600000000004</v>
      </c>
      <c r="F564">
        <v>6.6025999999999998</v>
      </c>
      <c r="G564">
        <v>1.7298800000000001E-12</v>
      </c>
      <c r="H564">
        <v>1437.74</v>
      </c>
      <c r="I564" s="8">
        <f>bank_data[[#This Row],[intresses]]-bank_data[[#This Row],[losses]]</f>
        <v>-1437.7399999999982</v>
      </c>
    </row>
    <row r="565" spans="1:9" x14ac:dyDescent="0.25">
      <c r="A565">
        <v>564</v>
      </c>
      <c r="B565">
        <v>-214592</v>
      </c>
      <c r="C565">
        <v>12</v>
      </c>
      <c r="D565">
        <v>-2.5</v>
      </c>
      <c r="E565">
        <v>0.51757600000000004</v>
      </c>
      <c r="F565">
        <v>6.6025999999999998</v>
      </c>
      <c r="G565">
        <v>1.64338E-12</v>
      </c>
      <c r="H565">
        <v>2075.23</v>
      </c>
      <c r="I565" s="8">
        <f>bank_data[[#This Row],[intresses]]-bank_data[[#This Row],[losses]]</f>
        <v>-2075.2299999999982</v>
      </c>
    </row>
    <row r="566" spans="1:9" x14ac:dyDescent="0.25">
      <c r="A566">
        <v>565</v>
      </c>
      <c r="B566">
        <v>-216599</v>
      </c>
      <c r="C566">
        <v>12</v>
      </c>
      <c r="D566">
        <v>-2.5</v>
      </c>
      <c r="E566">
        <v>0.51757600000000004</v>
      </c>
      <c r="F566">
        <v>6.6025999999999998</v>
      </c>
      <c r="G566">
        <v>1.5612200000000001E-12</v>
      </c>
      <c r="H566">
        <v>2006.94</v>
      </c>
      <c r="I566" s="8">
        <f>bank_data[[#This Row],[intresses]]-bank_data[[#This Row],[losses]]</f>
        <v>-2006.9399999999985</v>
      </c>
    </row>
    <row r="567" spans="1:9" x14ac:dyDescent="0.25">
      <c r="A567">
        <v>566</v>
      </c>
      <c r="B567">
        <v>-218501</v>
      </c>
      <c r="C567">
        <v>12</v>
      </c>
      <c r="D567">
        <v>-2.5</v>
      </c>
      <c r="E567">
        <v>0.51757600000000004</v>
      </c>
      <c r="F567">
        <v>6.6025999999999998</v>
      </c>
      <c r="G567">
        <v>1.48315E-12</v>
      </c>
      <c r="H567">
        <v>1901.29</v>
      </c>
      <c r="I567" s="8">
        <f>bank_data[[#This Row],[intresses]]-bank_data[[#This Row],[losses]]</f>
        <v>-1901.2899999999984</v>
      </c>
    </row>
    <row r="568" spans="1:9" x14ac:dyDescent="0.25">
      <c r="A568">
        <v>567</v>
      </c>
      <c r="B568">
        <v>-220388</v>
      </c>
      <c r="C568">
        <v>12</v>
      </c>
      <c r="D568">
        <v>-2.5</v>
      </c>
      <c r="E568">
        <v>0.51757600000000004</v>
      </c>
      <c r="F568">
        <v>6.6025999999999998</v>
      </c>
      <c r="G568">
        <v>1.409E-12</v>
      </c>
      <c r="H568">
        <v>1887.62</v>
      </c>
      <c r="I568" s="8">
        <f>bank_data[[#This Row],[intresses]]-bank_data[[#This Row],[losses]]</f>
        <v>-1887.6199999999985</v>
      </c>
    </row>
    <row r="569" spans="1:9" x14ac:dyDescent="0.25">
      <c r="A569">
        <v>568</v>
      </c>
      <c r="B569">
        <v>-222344</v>
      </c>
      <c r="C569">
        <v>12</v>
      </c>
      <c r="D569">
        <v>-2.5</v>
      </c>
      <c r="E569">
        <v>0.51757600000000004</v>
      </c>
      <c r="F569">
        <v>6.6025999999999998</v>
      </c>
      <c r="G569">
        <v>1.33855E-12</v>
      </c>
      <c r="H569">
        <v>1955.4</v>
      </c>
      <c r="I569" s="8">
        <f>bank_data[[#This Row],[intresses]]-bank_data[[#This Row],[losses]]</f>
        <v>-1955.3999999999987</v>
      </c>
    </row>
    <row r="570" spans="1:9" x14ac:dyDescent="0.25">
      <c r="A570">
        <v>569</v>
      </c>
      <c r="B570">
        <v>-224372</v>
      </c>
      <c r="C570">
        <v>12</v>
      </c>
      <c r="D570">
        <v>-2.5</v>
      </c>
      <c r="E570">
        <v>0.51757600000000004</v>
      </c>
      <c r="F570">
        <v>6.6025999999999998</v>
      </c>
      <c r="G570">
        <v>1.27162E-12</v>
      </c>
      <c r="H570">
        <v>2028.75</v>
      </c>
      <c r="I570" s="8">
        <f>bank_data[[#This Row],[intresses]]-bank_data[[#This Row],[losses]]</f>
        <v>-2028.7499999999986</v>
      </c>
    </row>
    <row r="571" spans="1:9" x14ac:dyDescent="0.25">
      <c r="A571">
        <v>570</v>
      </c>
      <c r="B571">
        <v>-226442</v>
      </c>
      <c r="C571">
        <v>12</v>
      </c>
      <c r="D571">
        <v>-2.5</v>
      </c>
      <c r="E571">
        <v>0.51757600000000004</v>
      </c>
      <c r="F571">
        <v>6.6025999999999998</v>
      </c>
      <c r="G571">
        <v>1.20804E-12</v>
      </c>
      <c r="H571">
        <v>2069.67</v>
      </c>
      <c r="I571" s="8">
        <f>bank_data[[#This Row],[intresses]]-bank_data[[#This Row],[losses]]</f>
        <v>-2069.6699999999987</v>
      </c>
    </row>
    <row r="572" spans="1:9" x14ac:dyDescent="0.25">
      <c r="A572">
        <v>571</v>
      </c>
      <c r="B572">
        <v>-228272</v>
      </c>
      <c r="C572">
        <v>12</v>
      </c>
      <c r="D572">
        <v>-2.5</v>
      </c>
      <c r="E572">
        <v>0.51757600000000004</v>
      </c>
      <c r="F572">
        <v>6.6025999999999998</v>
      </c>
      <c r="G572">
        <v>1.1476399999999999E-12</v>
      </c>
      <c r="H572">
        <v>1829.77</v>
      </c>
      <c r="I572" s="8">
        <f>bank_data[[#This Row],[intresses]]-bank_data[[#This Row],[losses]]</f>
        <v>-1829.7699999999988</v>
      </c>
    </row>
    <row r="573" spans="1:9" x14ac:dyDescent="0.25">
      <c r="A573">
        <v>572</v>
      </c>
      <c r="B573">
        <v>-230106</v>
      </c>
      <c r="C573">
        <v>12</v>
      </c>
      <c r="D573">
        <v>-2.5</v>
      </c>
      <c r="E573">
        <v>0.51757600000000004</v>
      </c>
      <c r="F573">
        <v>6.6025999999999998</v>
      </c>
      <c r="G573">
        <v>1.0902499999999999E-12</v>
      </c>
      <c r="H573">
        <v>1834.44</v>
      </c>
      <c r="I573" s="8">
        <f>bank_data[[#This Row],[intresses]]-bank_data[[#This Row],[losses]]</f>
        <v>-1834.4399999999989</v>
      </c>
    </row>
    <row r="574" spans="1:9" x14ac:dyDescent="0.25">
      <c r="A574">
        <v>573</v>
      </c>
      <c r="B574">
        <v>-232150</v>
      </c>
      <c r="C574">
        <v>12</v>
      </c>
      <c r="D574">
        <v>-2.5</v>
      </c>
      <c r="E574">
        <v>0.51757600000000004</v>
      </c>
      <c r="F574">
        <v>6.6025999999999998</v>
      </c>
      <c r="G574">
        <v>1.03574E-12</v>
      </c>
      <c r="H574">
        <v>2044.13</v>
      </c>
      <c r="I574" s="8">
        <f>bank_data[[#This Row],[intresses]]-bank_data[[#This Row],[losses]]</f>
        <v>-2044.129999999999</v>
      </c>
    </row>
    <row r="575" spans="1:9" x14ac:dyDescent="0.25">
      <c r="A575">
        <v>574</v>
      </c>
      <c r="B575">
        <v>-234022</v>
      </c>
      <c r="C575">
        <v>12</v>
      </c>
      <c r="D575">
        <v>-2.5</v>
      </c>
      <c r="E575">
        <v>0.51757600000000004</v>
      </c>
      <c r="F575">
        <v>6.6025999999999998</v>
      </c>
      <c r="G575">
        <v>9.8395499999999992E-13</v>
      </c>
      <c r="H575">
        <v>1871.42</v>
      </c>
      <c r="I575" s="8">
        <f>bank_data[[#This Row],[intresses]]-bank_data[[#This Row],[losses]]</f>
        <v>-1871.4199999999992</v>
      </c>
    </row>
    <row r="576" spans="1:9" x14ac:dyDescent="0.25">
      <c r="A576">
        <v>575</v>
      </c>
      <c r="B576">
        <v>-235302</v>
      </c>
      <c r="C576">
        <v>12</v>
      </c>
      <c r="D576">
        <v>-2.5</v>
      </c>
      <c r="E576">
        <v>0.51757600000000004</v>
      </c>
      <c r="F576">
        <v>6.6025999999999998</v>
      </c>
      <c r="G576">
        <v>9.3475700000000003E-13</v>
      </c>
      <c r="H576">
        <v>1279.8</v>
      </c>
      <c r="I576" s="8">
        <f>bank_data[[#This Row],[intresses]]-bank_data[[#This Row],[losses]]</f>
        <v>-1279.799999999999</v>
      </c>
    </row>
    <row r="577" spans="1:9" x14ac:dyDescent="0.25">
      <c r="A577">
        <v>576</v>
      </c>
      <c r="B577">
        <v>-236822</v>
      </c>
      <c r="C577">
        <v>12</v>
      </c>
      <c r="D577">
        <v>-2.5</v>
      </c>
      <c r="E577">
        <v>0.51757600000000004</v>
      </c>
      <c r="F577">
        <v>6.6025999999999998</v>
      </c>
      <c r="G577">
        <v>8.8801900000000002E-13</v>
      </c>
      <c r="H577">
        <v>1520.83</v>
      </c>
      <c r="I577" s="8">
        <f>bank_data[[#This Row],[intresses]]-bank_data[[#This Row],[losses]]</f>
        <v>-1520.829999999999</v>
      </c>
    </row>
    <row r="578" spans="1:9" x14ac:dyDescent="0.25">
      <c r="A578">
        <v>577</v>
      </c>
      <c r="B578">
        <v>-238539</v>
      </c>
      <c r="C578">
        <v>12</v>
      </c>
      <c r="D578">
        <v>-2.5</v>
      </c>
      <c r="E578">
        <v>0.51757600000000004</v>
      </c>
      <c r="F578">
        <v>6.6025999999999998</v>
      </c>
      <c r="G578">
        <v>8.4361799999999995E-13</v>
      </c>
      <c r="H578">
        <v>1716.92</v>
      </c>
      <c r="I578" s="8">
        <f>bank_data[[#This Row],[intresses]]-bank_data[[#This Row],[losses]]</f>
        <v>-1716.9199999999992</v>
      </c>
    </row>
    <row r="579" spans="1:9" x14ac:dyDescent="0.25">
      <c r="A579">
        <v>578</v>
      </c>
      <c r="B579">
        <v>-240540</v>
      </c>
      <c r="C579">
        <v>12</v>
      </c>
      <c r="D579">
        <v>-2.5</v>
      </c>
      <c r="E579">
        <v>0.51757600000000004</v>
      </c>
      <c r="F579">
        <v>6.6025999999999998</v>
      </c>
      <c r="G579">
        <v>8.0143800000000002E-13</v>
      </c>
      <c r="H579">
        <v>2000.79</v>
      </c>
      <c r="I579" s="8">
        <f>bank_data[[#This Row],[intresses]]-bank_data[[#This Row],[losses]]</f>
        <v>-2000.7899999999991</v>
      </c>
    </row>
    <row r="580" spans="1:9" x14ac:dyDescent="0.25">
      <c r="A580">
        <v>579</v>
      </c>
      <c r="B580">
        <v>-242381</v>
      </c>
      <c r="C580">
        <v>12</v>
      </c>
      <c r="D580">
        <v>-2.5</v>
      </c>
      <c r="E580">
        <v>0.51757600000000004</v>
      </c>
      <c r="F580">
        <v>6.6025999999999998</v>
      </c>
      <c r="G580">
        <v>7.6136600000000003E-13</v>
      </c>
      <c r="H580">
        <v>1840.93</v>
      </c>
      <c r="I580" s="8">
        <f>bank_data[[#This Row],[intresses]]-bank_data[[#This Row],[losses]]</f>
        <v>-1840.9299999999994</v>
      </c>
    </row>
    <row r="581" spans="1:9" x14ac:dyDescent="0.25">
      <c r="A581">
        <v>580</v>
      </c>
      <c r="B581">
        <v>-244447</v>
      </c>
      <c r="C581">
        <v>12</v>
      </c>
      <c r="D581">
        <v>-2.5</v>
      </c>
      <c r="E581">
        <v>0.51757600000000004</v>
      </c>
      <c r="F581">
        <v>6.6025999999999998</v>
      </c>
      <c r="G581">
        <v>7.2329700000000004E-13</v>
      </c>
      <c r="H581">
        <v>2065.9299999999998</v>
      </c>
      <c r="I581" s="8">
        <f>bank_data[[#This Row],[intresses]]-bank_data[[#This Row],[losses]]</f>
        <v>-2065.9299999999989</v>
      </c>
    </row>
    <row r="582" spans="1:9" x14ac:dyDescent="0.25">
      <c r="A582">
        <v>581</v>
      </c>
      <c r="B582">
        <v>-246551</v>
      </c>
      <c r="C582">
        <v>12</v>
      </c>
      <c r="D582">
        <v>-2.5</v>
      </c>
      <c r="E582">
        <v>0.51757600000000004</v>
      </c>
      <c r="F582">
        <v>6.6025999999999998</v>
      </c>
      <c r="G582">
        <v>6.8713199999999996E-13</v>
      </c>
      <c r="H582">
        <v>2104.4</v>
      </c>
      <c r="I582" s="8">
        <f>bank_data[[#This Row],[intresses]]-bank_data[[#This Row],[losses]]</f>
        <v>-2104.3999999999992</v>
      </c>
    </row>
    <row r="583" spans="1:9" x14ac:dyDescent="0.25">
      <c r="A583">
        <v>582</v>
      </c>
      <c r="B583">
        <v>-249464</v>
      </c>
      <c r="C583">
        <v>12</v>
      </c>
      <c r="D583">
        <v>-2.5</v>
      </c>
      <c r="E583">
        <v>0.51757600000000004</v>
      </c>
      <c r="F583">
        <v>6.6025999999999998</v>
      </c>
      <c r="G583">
        <v>6.5277599999999998E-13</v>
      </c>
      <c r="H583">
        <v>2912.32</v>
      </c>
      <c r="I583" s="8">
        <f>bank_data[[#This Row],[intresses]]-bank_data[[#This Row],[losses]]</f>
        <v>-2912.3199999999997</v>
      </c>
    </row>
    <row r="584" spans="1:9" x14ac:dyDescent="0.25">
      <c r="A584">
        <v>583</v>
      </c>
      <c r="B584">
        <v>-251657</v>
      </c>
      <c r="C584">
        <v>12</v>
      </c>
      <c r="D584">
        <v>-2.5</v>
      </c>
      <c r="E584">
        <v>0.51757600000000004</v>
      </c>
      <c r="F584">
        <v>6.6025999999999998</v>
      </c>
      <c r="G584">
        <v>6.2013700000000001E-13</v>
      </c>
      <c r="H584">
        <v>2193.12</v>
      </c>
      <c r="I584" s="8">
        <f>bank_data[[#This Row],[intresses]]-bank_data[[#This Row],[losses]]</f>
        <v>-2193.1199999999994</v>
      </c>
    </row>
    <row r="585" spans="1:9" x14ac:dyDescent="0.25">
      <c r="A585">
        <v>584</v>
      </c>
      <c r="B585">
        <v>-254211</v>
      </c>
      <c r="C585">
        <v>12</v>
      </c>
      <c r="D585">
        <v>-2.5</v>
      </c>
      <c r="E585">
        <v>0.51757600000000004</v>
      </c>
      <c r="F585">
        <v>6.6025999999999998</v>
      </c>
      <c r="G585">
        <v>5.8913000000000004E-13</v>
      </c>
      <c r="H585">
        <v>2554.34</v>
      </c>
      <c r="I585" s="8">
        <f>bank_data[[#This Row],[intresses]]-bank_data[[#This Row],[losses]]</f>
        <v>-2554.3399999999997</v>
      </c>
    </row>
    <row r="586" spans="1:9" x14ac:dyDescent="0.25">
      <c r="A586">
        <v>585</v>
      </c>
      <c r="B586">
        <v>-256723</v>
      </c>
      <c r="C586">
        <v>12</v>
      </c>
      <c r="D586">
        <v>-2.5</v>
      </c>
      <c r="E586">
        <v>0.51757600000000004</v>
      </c>
      <c r="F586">
        <v>6.6025999999999998</v>
      </c>
      <c r="G586">
        <v>5.5967399999999996E-13</v>
      </c>
      <c r="H586">
        <v>2511.6999999999998</v>
      </c>
      <c r="I586" s="8">
        <f>bank_data[[#This Row],[intresses]]-bank_data[[#This Row],[losses]]</f>
        <v>-2511.6999999999994</v>
      </c>
    </row>
    <row r="587" spans="1:9" x14ac:dyDescent="0.25">
      <c r="A587">
        <v>586</v>
      </c>
      <c r="B587">
        <v>-258705</v>
      </c>
      <c r="C587">
        <v>12</v>
      </c>
      <c r="D587">
        <v>-2.5</v>
      </c>
      <c r="E587">
        <v>0.51757600000000004</v>
      </c>
      <c r="F587">
        <v>6.6025999999999998</v>
      </c>
      <c r="G587">
        <v>5.3169000000000003E-13</v>
      </c>
      <c r="H587">
        <v>1981.88</v>
      </c>
      <c r="I587" s="8">
        <f>bank_data[[#This Row],[intresses]]-bank_data[[#This Row],[losses]]</f>
        <v>-1981.8799999999997</v>
      </c>
    </row>
    <row r="588" spans="1:9" x14ac:dyDescent="0.25">
      <c r="A588">
        <v>587</v>
      </c>
      <c r="B588">
        <v>-260979</v>
      </c>
      <c r="C588">
        <v>12</v>
      </c>
      <c r="D588">
        <v>-2.5</v>
      </c>
      <c r="E588">
        <v>0.51757600000000004</v>
      </c>
      <c r="F588">
        <v>6.6025999999999998</v>
      </c>
      <c r="G588">
        <v>5.0510599999999997E-13</v>
      </c>
      <c r="H588">
        <v>2274.0700000000002</v>
      </c>
      <c r="I588" s="8">
        <f>bank_data[[#This Row],[intresses]]-bank_data[[#This Row],[losses]]</f>
        <v>-2274.0699999999997</v>
      </c>
    </row>
    <row r="589" spans="1:9" x14ac:dyDescent="0.25">
      <c r="A589">
        <v>588</v>
      </c>
      <c r="B589">
        <v>-262846</v>
      </c>
      <c r="C589">
        <v>12</v>
      </c>
      <c r="D589">
        <v>-2.5</v>
      </c>
      <c r="E589">
        <v>0.51757600000000004</v>
      </c>
      <c r="F589">
        <v>6.6025999999999998</v>
      </c>
      <c r="G589">
        <v>4.7985000000000002E-13</v>
      </c>
      <c r="H589">
        <v>1867.07</v>
      </c>
      <c r="I589" s="8">
        <f>bank_data[[#This Row],[intresses]]-bank_data[[#This Row],[losses]]</f>
        <v>-1867.0699999999995</v>
      </c>
    </row>
    <row r="590" spans="1:9" x14ac:dyDescent="0.25">
      <c r="A590">
        <v>589</v>
      </c>
      <c r="B590">
        <v>-264834</v>
      </c>
      <c r="C590">
        <v>12</v>
      </c>
      <c r="D590">
        <v>-2.5</v>
      </c>
      <c r="E590">
        <v>0.51757600000000004</v>
      </c>
      <c r="F590">
        <v>6.6025999999999998</v>
      </c>
      <c r="G590">
        <v>4.5585799999999999E-13</v>
      </c>
      <c r="H590">
        <v>1988.15</v>
      </c>
      <c r="I590" s="8">
        <f>bank_data[[#This Row],[intresses]]-bank_data[[#This Row],[losses]]</f>
        <v>-1988.1499999999996</v>
      </c>
    </row>
    <row r="591" spans="1:9" x14ac:dyDescent="0.25">
      <c r="A591">
        <v>590</v>
      </c>
      <c r="B591">
        <v>-267120</v>
      </c>
      <c r="C591">
        <v>12</v>
      </c>
      <c r="D591">
        <v>-2.5</v>
      </c>
      <c r="E591">
        <v>0.51757600000000004</v>
      </c>
      <c r="F591">
        <v>6.6025999999999998</v>
      </c>
      <c r="G591">
        <v>4.3306499999999998E-13</v>
      </c>
      <c r="H591">
        <v>2285.63</v>
      </c>
      <c r="I591" s="8">
        <f>bank_data[[#This Row],[intresses]]-bank_data[[#This Row],[losses]]</f>
        <v>-2285.6299999999997</v>
      </c>
    </row>
    <row r="592" spans="1:9" x14ac:dyDescent="0.25">
      <c r="A592">
        <v>591</v>
      </c>
      <c r="B592">
        <v>-268715</v>
      </c>
      <c r="C592">
        <v>12</v>
      </c>
      <c r="D592">
        <v>-2.5</v>
      </c>
      <c r="E592">
        <v>0.51757600000000004</v>
      </c>
      <c r="F592">
        <v>6.6025999999999998</v>
      </c>
      <c r="G592">
        <v>4.11412E-13</v>
      </c>
      <c r="H592">
        <v>1595.07</v>
      </c>
      <c r="I592" s="8">
        <f>bank_data[[#This Row],[intresses]]-bank_data[[#This Row],[losses]]</f>
        <v>-1595.0699999999995</v>
      </c>
    </row>
    <row r="593" spans="1:9" x14ac:dyDescent="0.25">
      <c r="A593">
        <v>592</v>
      </c>
      <c r="B593">
        <v>-270890</v>
      </c>
      <c r="C593">
        <v>12</v>
      </c>
      <c r="D593">
        <v>-2.5</v>
      </c>
      <c r="E593">
        <v>0.51757600000000004</v>
      </c>
      <c r="F593">
        <v>6.6025999999999998</v>
      </c>
      <c r="G593">
        <v>3.90841E-13</v>
      </c>
      <c r="H593">
        <v>2175.62</v>
      </c>
      <c r="I593" s="8">
        <f>bank_data[[#This Row],[intresses]]-bank_data[[#This Row],[losses]]</f>
        <v>-2175.6199999999994</v>
      </c>
    </row>
    <row r="594" spans="1:9" x14ac:dyDescent="0.25">
      <c r="A594">
        <v>593</v>
      </c>
      <c r="B594">
        <v>-272641</v>
      </c>
      <c r="C594">
        <v>12</v>
      </c>
      <c r="D594">
        <v>-2.5</v>
      </c>
      <c r="E594">
        <v>0.51757600000000004</v>
      </c>
      <c r="F594">
        <v>6.6025999999999998</v>
      </c>
      <c r="G594">
        <v>3.7129900000000002E-13</v>
      </c>
      <c r="H594">
        <v>1751.05</v>
      </c>
      <c r="I594" s="8">
        <f>bank_data[[#This Row],[intresses]]-bank_data[[#This Row],[losses]]</f>
        <v>-1751.0499999999995</v>
      </c>
    </row>
    <row r="595" spans="1:9" x14ac:dyDescent="0.25">
      <c r="A595">
        <v>594</v>
      </c>
      <c r="B595">
        <v>-275107</v>
      </c>
      <c r="C595">
        <v>12</v>
      </c>
      <c r="D595">
        <v>-2.5</v>
      </c>
      <c r="E595">
        <v>0.51757600000000004</v>
      </c>
      <c r="F595">
        <v>6.6025999999999998</v>
      </c>
      <c r="G595">
        <v>3.5273399999999999E-13</v>
      </c>
      <c r="H595">
        <v>2465.9499999999998</v>
      </c>
      <c r="I595" s="8">
        <f>bank_data[[#This Row],[intresses]]-bank_data[[#This Row],[losses]]</f>
        <v>-2465.9499999999994</v>
      </c>
    </row>
    <row r="596" spans="1:9" x14ac:dyDescent="0.25">
      <c r="A596">
        <v>595</v>
      </c>
      <c r="B596">
        <v>-277429</v>
      </c>
      <c r="C596">
        <v>12</v>
      </c>
      <c r="D596">
        <v>-2.5</v>
      </c>
      <c r="E596">
        <v>0.51757600000000004</v>
      </c>
      <c r="F596">
        <v>6.6025999999999998</v>
      </c>
      <c r="G596">
        <v>3.3509699999999999E-13</v>
      </c>
      <c r="H596">
        <v>2321.9</v>
      </c>
      <c r="I596" s="8">
        <f>bank_data[[#This Row],[intresses]]-bank_data[[#This Row],[losses]]</f>
        <v>-2321.8999999999996</v>
      </c>
    </row>
    <row r="597" spans="1:9" x14ac:dyDescent="0.25">
      <c r="A597">
        <v>596</v>
      </c>
      <c r="B597">
        <v>-280021</v>
      </c>
      <c r="C597">
        <v>12</v>
      </c>
      <c r="D597">
        <v>-2.5</v>
      </c>
      <c r="E597">
        <v>0.51757600000000004</v>
      </c>
      <c r="F597">
        <v>6.6025999999999998</v>
      </c>
      <c r="G597">
        <v>3.1834199999999998E-13</v>
      </c>
      <c r="H597">
        <v>2592.14</v>
      </c>
      <c r="I597" s="8">
        <f>bank_data[[#This Row],[intresses]]-bank_data[[#This Row],[losses]]</f>
        <v>-2592.1399999999994</v>
      </c>
    </row>
    <row r="598" spans="1:9" x14ac:dyDescent="0.25">
      <c r="A598">
        <v>597</v>
      </c>
      <c r="B598">
        <v>-282132</v>
      </c>
      <c r="C598">
        <v>12</v>
      </c>
      <c r="D598">
        <v>-2.5</v>
      </c>
      <c r="E598">
        <v>0.51757600000000004</v>
      </c>
      <c r="F598">
        <v>6.6025999999999998</v>
      </c>
      <c r="G598">
        <v>3.02425E-13</v>
      </c>
      <c r="H598">
        <v>2110.13</v>
      </c>
      <c r="I598" s="8">
        <f>bank_data[[#This Row],[intresses]]-bank_data[[#This Row],[losses]]</f>
        <v>-2110.1299999999997</v>
      </c>
    </row>
    <row r="599" spans="1:9" x14ac:dyDescent="0.25">
      <c r="A599">
        <v>598</v>
      </c>
      <c r="B599">
        <v>-284515</v>
      </c>
      <c r="C599">
        <v>12</v>
      </c>
      <c r="D599">
        <v>-2.5</v>
      </c>
      <c r="E599">
        <v>0.51757600000000004</v>
      </c>
      <c r="F599">
        <v>6.6025999999999998</v>
      </c>
      <c r="G599">
        <v>2.8730399999999998E-13</v>
      </c>
      <c r="H599">
        <v>2383.5700000000002</v>
      </c>
      <c r="I599" s="8">
        <f>bank_data[[#This Row],[intresses]]-bank_data[[#This Row],[losses]]</f>
        <v>-2383.5699999999997</v>
      </c>
    </row>
    <row r="600" spans="1:9" x14ac:dyDescent="0.25">
      <c r="A600">
        <v>599</v>
      </c>
      <c r="B600">
        <v>-286830</v>
      </c>
      <c r="C600">
        <v>12</v>
      </c>
      <c r="D600">
        <v>-2.5</v>
      </c>
      <c r="E600">
        <v>0.51757600000000004</v>
      </c>
      <c r="F600">
        <v>6.6025999999999998</v>
      </c>
      <c r="G600">
        <v>2.7293900000000002E-13</v>
      </c>
      <c r="H600">
        <v>2315.04</v>
      </c>
      <c r="I600" s="8">
        <f>bank_data[[#This Row],[intresses]]-bank_data[[#This Row],[losses]]</f>
        <v>-2315.0399999999995</v>
      </c>
    </row>
    <row r="601" spans="1:9" x14ac:dyDescent="0.25">
      <c r="A601">
        <v>600</v>
      </c>
      <c r="B601">
        <v>-289150</v>
      </c>
      <c r="C601">
        <v>12</v>
      </c>
      <c r="D601">
        <v>-2.5</v>
      </c>
      <c r="E601">
        <v>0.51757600000000004</v>
      </c>
      <c r="F601">
        <v>6.6025999999999998</v>
      </c>
      <c r="G601">
        <v>2.5929199999999999E-13</v>
      </c>
      <c r="H601">
        <v>2319.8000000000002</v>
      </c>
      <c r="I601" s="8">
        <f>bank_data[[#This Row],[intresses]]-bank_data[[#This Row],[losses]]</f>
        <v>-2319.7999999999997</v>
      </c>
    </row>
  </sheetData>
  <conditionalFormatting sqref="I2:I601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{4A05CFD6-D1C4-4AF7-8FF4-5E463C63F75E}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05CFD6-D1C4-4AF7-8FF4-5E463C63F7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I2:I601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14C2-E981-48B1-BE1A-2D6ECEE1A12F}">
  <dimension ref="A1:Q601"/>
  <sheetViews>
    <sheetView workbookViewId="0">
      <selection activeCell="I137" sqref="I137"/>
    </sheetView>
  </sheetViews>
  <sheetFormatPr defaultRowHeight="15" x14ac:dyDescent="0.25"/>
  <cols>
    <col min="1" max="1" width="18.42578125" bestFit="1" customWidth="1"/>
    <col min="2" max="2" width="10.42578125" bestFit="1" customWidth="1"/>
    <col min="3" max="3" width="7.5703125" bestFit="1" customWidth="1"/>
    <col min="4" max="4" width="6.85546875" bestFit="1" customWidth="1"/>
    <col min="5" max="5" width="7.5703125" bestFit="1" customWidth="1"/>
    <col min="6" max="6" width="7" bestFit="1" customWidth="1"/>
    <col min="7" max="7" width="7.7109375" bestFit="1" customWidth="1"/>
    <col min="8" max="8" width="7.140625" bestFit="1" customWidth="1"/>
    <col min="9" max="9" width="9" bestFit="1" customWidth="1"/>
    <col min="10" max="10" width="11.7109375" bestFit="1" customWidth="1"/>
    <col min="11" max="11" width="11.140625" bestFit="1" customWidth="1"/>
    <col min="12" max="12" width="7.140625" bestFit="1" customWidth="1"/>
    <col min="13" max="13" width="8.42578125" bestFit="1" customWidth="1"/>
  </cols>
  <sheetData>
    <row r="1" spans="1:17" x14ac:dyDescent="0.25">
      <c r="A1" t="s">
        <v>49</v>
      </c>
      <c r="B1" t="s">
        <v>0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</v>
      </c>
      <c r="J1" t="s">
        <v>56</v>
      </c>
      <c r="K1" t="s">
        <v>57</v>
      </c>
      <c r="L1" t="s">
        <v>58</v>
      </c>
      <c r="M1" t="s">
        <v>60</v>
      </c>
      <c r="P1">
        <f>285-651</f>
        <v>-366</v>
      </c>
      <c r="Q1">
        <f>579+579</f>
        <v>1158</v>
      </c>
    </row>
    <row r="2" spans="1:17" x14ac:dyDescent="0.25">
      <c r="A2" s="7" t="s">
        <v>146</v>
      </c>
      <c r="B2">
        <v>1</v>
      </c>
      <c r="C2" s="5">
        <v>6899.9999105930328</v>
      </c>
      <c r="D2" s="5">
        <v>464.82297706604004</v>
      </c>
      <c r="E2" s="5">
        <v>1285.1770181655884</v>
      </c>
      <c r="F2" s="5">
        <v>0</v>
      </c>
      <c r="G2" s="5">
        <v>350</v>
      </c>
      <c r="H2" s="5">
        <v>0</v>
      </c>
      <c r="I2">
        <v>3000</v>
      </c>
      <c r="J2" s="5">
        <f>liquidity_data[[#This Row],[w_m]]+liquidity_data[[#This Row],[c_m]]+liquidity_data[[#This Row],[cf_m]]+liquidity_data[[#This Row],[kf_m]]+liquidity_data[[#This Row],[equity]]</f>
        <v>11999.999905824661</v>
      </c>
      <c r="K2" s="5">
        <f>liquidity_data[[#This Row],[kf_d]]+liquidity_data[[#This Row],[cf_d]]</f>
        <v>0</v>
      </c>
      <c r="L2" s="5">
        <f>liquidity_data[[#This Row],[TOTAL_M]]-liquidity_data[[#This Row],[TOTAL_D]]</f>
        <v>11999.999905824661</v>
      </c>
      <c r="M2" s="6" t="e">
        <f>liquidity_data[[#This Row],[M-D]]/L1-1</f>
        <v>#VALUE!</v>
      </c>
    </row>
    <row r="3" spans="1:17" x14ac:dyDescent="0.25">
      <c r="A3" s="7" t="s">
        <v>146</v>
      </c>
      <c r="B3">
        <v>2</v>
      </c>
      <c r="C3" s="5">
        <v>7016.7886658906937</v>
      </c>
      <c r="D3" s="5">
        <v>469.4067155122757</v>
      </c>
      <c r="E3" s="5">
        <v>1213.8044500350952</v>
      </c>
      <c r="F3" s="5">
        <v>0</v>
      </c>
      <c r="G3" s="5">
        <v>300</v>
      </c>
      <c r="H3" s="5">
        <v>0</v>
      </c>
      <c r="I3">
        <v>3000</v>
      </c>
      <c r="J3" s="5">
        <f>liquidity_data[[#This Row],[w_m]]+liquidity_data[[#This Row],[c_m]]+liquidity_data[[#This Row],[cf_m]]+liquidity_data[[#This Row],[kf_m]]+liquidity_data[[#This Row],[equity]]</f>
        <v>11999.999831438065</v>
      </c>
      <c r="K3" s="5">
        <f>liquidity_data[[#This Row],[kf_d]]+liquidity_data[[#This Row],[cf_d]]</f>
        <v>0</v>
      </c>
      <c r="L3" s="5">
        <f>liquidity_data[[#This Row],[TOTAL_M]]-liquidity_data[[#This Row],[TOTAL_D]]</f>
        <v>11999.999831438065</v>
      </c>
      <c r="M3" s="6">
        <f>liquidity_data[[#This Row],[M-D]]/L2-1</f>
        <v>-6.198883073516015E-9</v>
      </c>
    </row>
    <row r="4" spans="1:17" x14ac:dyDescent="0.25">
      <c r="A4" s="7" t="s">
        <v>146</v>
      </c>
      <c r="B4">
        <v>3</v>
      </c>
      <c r="C4" s="5">
        <v>7024.775673866272</v>
      </c>
      <c r="D4" s="5">
        <v>438.751021027565</v>
      </c>
      <c r="E4" s="5">
        <v>1228.6140277385712</v>
      </c>
      <c r="F4" s="5">
        <v>0</v>
      </c>
      <c r="G4" s="5">
        <v>307.85931062698364</v>
      </c>
      <c r="H4" s="5">
        <v>0</v>
      </c>
      <c r="I4">
        <v>3000</v>
      </c>
      <c r="J4" s="5">
        <f>liquidity_data[[#This Row],[w_m]]+liquidity_data[[#This Row],[c_m]]+liquidity_data[[#This Row],[cf_m]]+liquidity_data[[#This Row],[kf_m]]+liquidity_data[[#This Row],[equity]]</f>
        <v>12000.000033259392</v>
      </c>
      <c r="K4" s="5">
        <f>liquidity_data[[#This Row],[kf_d]]+liquidity_data[[#This Row],[cf_d]]</f>
        <v>0</v>
      </c>
      <c r="L4" s="5">
        <f>liquidity_data[[#This Row],[TOTAL_M]]-liquidity_data[[#This Row],[TOTAL_D]]</f>
        <v>12000.000033259392</v>
      </c>
      <c r="M4" s="6">
        <f>liquidity_data[[#This Row],[M-D]]/L3-1</f>
        <v>1.6818444192878701E-8</v>
      </c>
    </row>
    <row r="5" spans="1:17" x14ac:dyDescent="0.25">
      <c r="A5" s="7" t="s">
        <v>146</v>
      </c>
      <c r="B5">
        <v>4</v>
      </c>
      <c r="C5" s="5">
        <v>7009.1999026536942</v>
      </c>
      <c r="D5" s="5">
        <v>410.71384954452515</v>
      </c>
      <c r="E5" s="5">
        <v>1262.7751463651657</v>
      </c>
      <c r="F5" s="5">
        <v>0.15444362163543701</v>
      </c>
      <c r="G5" s="5">
        <v>317.44901132583618</v>
      </c>
      <c r="H5" s="5">
        <v>0</v>
      </c>
      <c r="I5">
        <v>3000.02</v>
      </c>
      <c r="J5" s="5">
        <f>liquidity_data[[#This Row],[w_m]]+liquidity_data[[#This Row],[c_m]]+liquidity_data[[#This Row],[cf_m]]+liquidity_data[[#This Row],[kf_m]]+liquidity_data[[#This Row],[equity]]</f>
        <v>12000.157909889222</v>
      </c>
      <c r="K5" s="5">
        <f>liquidity_data[[#This Row],[kf_d]]+liquidity_data[[#This Row],[cf_d]]</f>
        <v>0.15444362163543701</v>
      </c>
      <c r="L5" s="5">
        <f>liquidity_data[[#This Row],[TOTAL_M]]-liquidity_data[[#This Row],[TOTAL_D]]</f>
        <v>12000.003466267586</v>
      </c>
      <c r="M5" s="6">
        <f>liquidity_data[[#This Row],[M-D]]/L4-1</f>
        <v>2.8608401536622807E-7</v>
      </c>
    </row>
    <row r="6" spans="1:17" x14ac:dyDescent="0.25">
      <c r="A6" s="7" t="s">
        <v>146</v>
      </c>
      <c r="B6">
        <v>5</v>
      </c>
      <c r="C6" s="5">
        <v>6986.5023907423019</v>
      </c>
      <c r="D6" s="5">
        <v>384.383953332901</v>
      </c>
      <c r="E6" s="5">
        <v>1301.5748249292374</v>
      </c>
      <c r="F6" s="5">
        <v>1.9275418519973755</v>
      </c>
      <c r="G6" s="5">
        <v>328.55604696273804</v>
      </c>
      <c r="H6" s="5">
        <v>0</v>
      </c>
      <c r="I6">
        <v>3000.91</v>
      </c>
      <c r="J6" s="5">
        <f>liquidity_data[[#This Row],[w_m]]+liquidity_data[[#This Row],[c_m]]+liquidity_data[[#This Row],[cf_m]]+liquidity_data[[#This Row],[kf_m]]+liquidity_data[[#This Row],[equity]]</f>
        <v>12001.927215967178</v>
      </c>
      <c r="K6" s="5">
        <f>liquidity_data[[#This Row],[kf_d]]+liquidity_data[[#This Row],[cf_d]]</f>
        <v>1.9275418519973755</v>
      </c>
      <c r="L6" s="5">
        <f>liquidity_data[[#This Row],[TOTAL_M]]-liquidity_data[[#This Row],[TOTAL_D]]</f>
        <v>11999.999674115181</v>
      </c>
      <c r="M6" s="6">
        <f>liquidity_data[[#This Row],[M-D]]/L5-1</f>
        <v>-3.1601260919167373E-7</v>
      </c>
    </row>
    <row r="7" spans="1:17" x14ac:dyDescent="0.25">
      <c r="A7" s="7" t="s">
        <v>146</v>
      </c>
      <c r="B7">
        <v>6</v>
      </c>
      <c r="C7" s="5">
        <v>6965.1534367799759</v>
      </c>
      <c r="D7" s="5">
        <v>356.99387979719904</v>
      </c>
      <c r="E7" s="5">
        <v>1344.4074430465698</v>
      </c>
      <c r="F7" s="5">
        <v>0.97235496342182159</v>
      </c>
      <c r="G7" s="5">
        <v>333.04370975494385</v>
      </c>
      <c r="H7" s="5">
        <v>0</v>
      </c>
      <c r="I7">
        <v>3001.37</v>
      </c>
      <c r="J7" s="5">
        <f>liquidity_data[[#This Row],[w_m]]+liquidity_data[[#This Row],[c_m]]+liquidity_data[[#This Row],[cf_m]]+liquidity_data[[#This Row],[kf_m]]+liquidity_data[[#This Row],[equity]]</f>
        <v>12000.968469378688</v>
      </c>
      <c r="K7" s="5">
        <f>liquidity_data[[#This Row],[kf_d]]+liquidity_data[[#This Row],[cf_d]]</f>
        <v>0.97235496342182159</v>
      </c>
      <c r="L7" s="5">
        <f>liquidity_data[[#This Row],[TOTAL_M]]-liquidity_data[[#This Row],[TOTAL_D]]</f>
        <v>11999.996114415266</v>
      </c>
      <c r="M7" s="6">
        <f>liquidity_data[[#This Row],[M-D]]/L6-1</f>
        <v>-2.966416676741801E-7</v>
      </c>
    </row>
    <row r="8" spans="1:17" x14ac:dyDescent="0.25">
      <c r="A8" s="7" t="s">
        <v>146</v>
      </c>
      <c r="B8">
        <v>7</v>
      </c>
      <c r="C8" s="5">
        <v>6947.1158450841904</v>
      </c>
      <c r="D8" s="5">
        <v>332.96916572607006</v>
      </c>
      <c r="E8" s="5">
        <v>1381.3598763942719</v>
      </c>
      <c r="F8" s="5">
        <v>0.97453102469444275</v>
      </c>
      <c r="G8" s="5">
        <v>337.68713521957397</v>
      </c>
      <c r="H8" s="5">
        <v>0</v>
      </c>
      <c r="I8">
        <v>3001.84</v>
      </c>
      <c r="J8" s="5">
        <f>liquidity_data[[#This Row],[w_m]]+liquidity_data[[#This Row],[c_m]]+liquidity_data[[#This Row],[cf_m]]+liquidity_data[[#This Row],[kf_m]]+liquidity_data[[#This Row],[equity]]</f>
        <v>12000.972022424106</v>
      </c>
      <c r="K8" s="5">
        <f>liquidity_data[[#This Row],[kf_d]]+liquidity_data[[#This Row],[cf_d]]</f>
        <v>0.97453102469444275</v>
      </c>
      <c r="L8" s="5">
        <f>liquidity_data[[#This Row],[TOTAL_M]]-liquidity_data[[#This Row],[TOTAL_D]]</f>
        <v>11999.997491399412</v>
      </c>
      <c r="M8" s="6">
        <f>liquidity_data[[#This Row],[M-D]]/L7-1</f>
        <v>1.1474871608463388E-7</v>
      </c>
    </row>
    <row r="9" spans="1:17" x14ac:dyDescent="0.25">
      <c r="A9" s="7" t="s">
        <v>146</v>
      </c>
      <c r="B9">
        <v>8</v>
      </c>
      <c r="C9" s="5">
        <v>6914.7690137624741</v>
      </c>
      <c r="D9" s="5">
        <v>309.52183037766372</v>
      </c>
      <c r="E9" s="5">
        <v>1433.6391454935074</v>
      </c>
      <c r="F9" s="5">
        <v>0.98466961085796356</v>
      </c>
      <c r="G9" s="5">
        <v>340.73397302627563</v>
      </c>
      <c r="H9" s="5">
        <v>0</v>
      </c>
      <c r="I9">
        <v>3002.32</v>
      </c>
      <c r="J9" s="5">
        <f>liquidity_data[[#This Row],[w_m]]+liquidity_data[[#This Row],[c_m]]+liquidity_data[[#This Row],[cf_m]]+liquidity_data[[#This Row],[kf_m]]+liquidity_data[[#This Row],[equity]]</f>
        <v>12000.983962659921</v>
      </c>
      <c r="K9" s="5">
        <f>liquidity_data[[#This Row],[kf_d]]+liquidity_data[[#This Row],[cf_d]]</f>
        <v>0.98466961085796356</v>
      </c>
      <c r="L9" s="5">
        <f>liquidity_data[[#This Row],[TOTAL_M]]-liquidity_data[[#This Row],[TOTAL_D]]</f>
        <v>11999.999293049063</v>
      </c>
      <c r="M9" s="6">
        <f>liquidity_data[[#This Row],[M-D]]/L8-1</f>
        <v>1.5013750220838062E-7</v>
      </c>
    </row>
    <row r="10" spans="1:17" x14ac:dyDescent="0.25">
      <c r="A10" s="7" t="s">
        <v>146</v>
      </c>
      <c r="B10">
        <v>9</v>
      </c>
      <c r="C10" s="5">
        <v>6889.5401911735535</v>
      </c>
      <c r="D10" s="5">
        <v>292.72440441686194</v>
      </c>
      <c r="E10" s="5">
        <v>1460.4985972642899</v>
      </c>
      <c r="F10" s="5">
        <v>1.9651662888936698</v>
      </c>
      <c r="G10" s="5">
        <v>355.83549451828003</v>
      </c>
      <c r="H10" s="5">
        <v>0</v>
      </c>
      <c r="I10">
        <v>3003.37</v>
      </c>
      <c r="J10" s="5">
        <f>liquidity_data[[#This Row],[w_m]]+liquidity_data[[#This Row],[c_m]]+liquidity_data[[#This Row],[cf_m]]+liquidity_data[[#This Row],[kf_m]]+liquidity_data[[#This Row],[equity]]</f>
        <v>12001.968687372984</v>
      </c>
      <c r="K10" s="5">
        <f>liquidity_data[[#This Row],[kf_d]]+liquidity_data[[#This Row],[cf_d]]</f>
        <v>1.9651662888936698</v>
      </c>
      <c r="L10" s="5">
        <f>liquidity_data[[#This Row],[TOTAL_M]]-liquidity_data[[#This Row],[TOTAL_D]]</f>
        <v>12000.003521084091</v>
      </c>
      <c r="M10" s="6">
        <f>liquidity_data[[#This Row],[M-D]]/L9-1</f>
        <v>3.5233627304620541E-7</v>
      </c>
    </row>
    <row r="11" spans="1:17" x14ac:dyDescent="0.25">
      <c r="A11" s="7" t="s">
        <v>146</v>
      </c>
      <c r="B11">
        <v>10</v>
      </c>
      <c r="C11" s="5">
        <v>6861.3680480718613</v>
      </c>
      <c r="D11" s="5">
        <v>274.84086795849726</v>
      </c>
      <c r="E11" s="5">
        <v>1494.5785433650017</v>
      </c>
      <c r="F11" s="5">
        <v>2.0543322605080903</v>
      </c>
      <c r="G11" s="5">
        <v>366.80457973480225</v>
      </c>
      <c r="H11" s="5">
        <v>0</v>
      </c>
      <c r="I11">
        <v>3004.46</v>
      </c>
      <c r="J11" s="5">
        <f>liquidity_data[[#This Row],[w_m]]+liquidity_data[[#This Row],[c_m]]+liquidity_data[[#This Row],[cf_m]]+liquidity_data[[#This Row],[kf_m]]+liquidity_data[[#This Row],[equity]]</f>
        <v>12002.052039130162</v>
      </c>
      <c r="K11" s="5">
        <f>liquidity_data[[#This Row],[kf_d]]+liquidity_data[[#This Row],[cf_d]]</f>
        <v>2.0543322605080903</v>
      </c>
      <c r="L11" s="5">
        <f>liquidity_data[[#This Row],[TOTAL_M]]-liquidity_data[[#This Row],[TOTAL_D]]</f>
        <v>11999.997706869653</v>
      </c>
      <c r="M11" s="6">
        <f>liquidity_data[[#This Row],[M-D]]/L10-1</f>
        <v>-4.8451772760582656E-7</v>
      </c>
    </row>
    <row r="12" spans="1:17" x14ac:dyDescent="0.25">
      <c r="A12" s="7" t="s">
        <v>146</v>
      </c>
      <c r="B12">
        <v>11</v>
      </c>
      <c r="C12" s="5">
        <v>6837.4890151023865</v>
      </c>
      <c r="D12" s="5">
        <v>255.89419043589442</v>
      </c>
      <c r="E12" s="5">
        <v>1530.5266126990318</v>
      </c>
      <c r="F12" s="5">
        <v>2.0466156438924372</v>
      </c>
      <c r="G12" s="5">
        <v>373.43071794509888</v>
      </c>
      <c r="H12" s="5">
        <v>0</v>
      </c>
      <c r="I12">
        <v>3004.71</v>
      </c>
      <c r="J12" s="5">
        <f>liquidity_data[[#This Row],[w_m]]+liquidity_data[[#This Row],[c_m]]+liquidity_data[[#This Row],[cf_m]]+liquidity_data[[#This Row],[kf_m]]+liquidity_data[[#This Row],[equity]]</f>
        <v>12002.050536182411</v>
      </c>
      <c r="K12" s="5">
        <f>liquidity_data[[#This Row],[kf_d]]+liquidity_data[[#This Row],[cf_d]]</f>
        <v>2.0466156438924372</v>
      </c>
      <c r="L12" s="5">
        <f>liquidity_data[[#This Row],[TOTAL_M]]-liquidity_data[[#This Row],[TOTAL_D]]</f>
        <v>12000.003920538518</v>
      </c>
      <c r="M12" s="6">
        <f>liquidity_data[[#This Row],[M-D]]/L11-1</f>
        <v>5.1780583776306344E-7</v>
      </c>
    </row>
    <row r="13" spans="1:17" x14ac:dyDescent="0.25">
      <c r="A13" s="7" t="s">
        <v>146</v>
      </c>
      <c r="B13">
        <v>12</v>
      </c>
      <c r="C13" s="5">
        <v>6817.0416485071182</v>
      </c>
      <c r="D13" s="5">
        <v>237.8163659691927</v>
      </c>
      <c r="E13" s="5">
        <v>1562.7173365950584</v>
      </c>
      <c r="F13" s="5">
        <v>2.0392848709598184</v>
      </c>
      <c r="G13" s="5">
        <v>379.51564884185791</v>
      </c>
      <c r="H13" s="5">
        <v>0</v>
      </c>
      <c r="I13">
        <v>3004.95</v>
      </c>
      <c r="J13" s="5">
        <f>liquidity_data[[#This Row],[w_m]]+liquidity_data[[#This Row],[c_m]]+liquidity_data[[#This Row],[cf_m]]+liquidity_data[[#This Row],[kf_m]]+liquidity_data[[#This Row],[equity]]</f>
        <v>12002.040999913228</v>
      </c>
      <c r="K13" s="5">
        <f>liquidity_data[[#This Row],[kf_d]]+liquidity_data[[#This Row],[cf_d]]</f>
        <v>2.0392848709598184</v>
      </c>
      <c r="L13" s="5">
        <f>liquidity_data[[#This Row],[TOTAL_M]]-liquidity_data[[#This Row],[TOTAL_D]]</f>
        <v>12000.001715042268</v>
      </c>
      <c r="M13" s="6">
        <f>liquidity_data[[#This Row],[M-D]]/L12-1</f>
        <v>-1.8379129407275485E-7</v>
      </c>
    </row>
    <row r="14" spans="1:17" x14ac:dyDescent="0.25">
      <c r="A14" s="7" t="s">
        <v>146</v>
      </c>
      <c r="B14">
        <v>13</v>
      </c>
      <c r="C14" s="5">
        <v>6793.6131302118301</v>
      </c>
      <c r="D14" s="5">
        <v>221.01459017379966</v>
      </c>
      <c r="E14" s="5">
        <v>1600.3789388537407</v>
      </c>
      <c r="F14" s="5">
        <v>2.032320614438504</v>
      </c>
      <c r="G14" s="5">
        <v>381.83594131469727</v>
      </c>
      <c r="H14" s="5">
        <v>0</v>
      </c>
      <c r="I14">
        <v>3005.19</v>
      </c>
      <c r="J14" s="5">
        <f>liquidity_data[[#This Row],[w_m]]+liquidity_data[[#This Row],[c_m]]+liquidity_data[[#This Row],[cf_m]]+liquidity_data[[#This Row],[kf_m]]+liquidity_data[[#This Row],[equity]]</f>
        <v>12002.032600554068</v>
      </c>
      <c r="K14" s="5">
        <f>liquidity_data[[#This Row],[kf_d]]+liquidity_data[[#This Row],[cf_d]]</f>
        <v>2.032320614438504</v>
      </c>
      <c r="L14" s="5">
        <f>liquidity_data[[#This Row],[TOTAL_M]]-liquidity_data[[#This Row],[TOTAL_D]]</f>
        <v>12000.00027993963</v>
      </c>
      <c r="M14" s="6">
        <f>liquidity_data[[#This Row],[M-D]]/L13-1</f>
        <v>-1.1959186940746491E-7</v>
      </c>
    </row>
    <row r="15" spans="1:17" x14ac:dyDescent="0.25">
      <c r="A15" s="7" t="s">
        <v>146</v>
      </c>
      <c r="B15">
        <v>14</v>
      </c>
      <c r="C15" s="5">
        <v>6773.6757474541664</v>
      </c>
      <c r="D15" s="5">
        <v>204.0742355309776</v>
      </c>
      <c r="E15" s="5">
        <v>1634.2360042929649</v>
      </c>
      <c r="F15" s="5">
        <v>2.0257045882754028</v>
      </c>
      <c r="G15" s="5">
        <v>384.6094651222229</v>
      </c>
      <c r="H15" s="5">
        <v>0</v>
      </c>
      <c r="I15">
        <v>3005.43</v>
      </c>
      <c r="J15" s="5">
        <f>liquidity_data[[#This Row],[w_m]]+liquidity_data[[#This Row],[c_m]]+liquidity_data[[#This Row],[cf_m]]+liquidity_data[[#This Row],[kf_m]]+liquidity_data[[#This Row],[equity]]</f>
        <v>12002.025452400332</v>
      </c>
      <c r="K15" s="5">
        <f>liquidity_data[[#This Row],[kf_d]]+liquidity_data[[#This Row],[cf_d]]</f>
        <v>2.0257045882754028</v>
      </c>
      <c r="L15" s="5">
        <f>liquidity_data[[#This Row],[TOTAL_M]]-liquidity_data[[#This Row],[TOTAL_D]]</f>
        <v>11999.999747812057</v>
      </c>
      <c r="M15" s="6">
        <f>liquidity_data[[#This Row],[M-D]]/L14-1</f>
        <v>-4.4343963390147678E-8</v>
      </c>
    </row>
    <row r="16" spans="1:17" x14ac:dyDescent="0.25">
      <c r="A16" s="7" t="s">
        <v>146</v>
      </c>
      <c r="B16">
        <v>15</v>
      </c>
      <c r="C16" s="5">
        <v>6747.6452456116676</v>
      </c>
      <c r="D16" s="5">
        <v>187.81968166094157</v>
      </c>
      <c r="E16" s="5">
        <v>1674.2434684634209</v>
      </c>
      <c r="F16" s="5">
        <v>2.0194193609058857</v>
      </c>
      <c r="G16" s="5">
        <v>386.64103889465332</v>
      </c>
      <c r="H16" s="5">
        <v>0</v>
      </c>
      <c r="I16">
        <v>3005.67</v>
      </c>
      <c r="J16" s="5">
        <f>liquidity_data[[#This Row],[w_m]]+liquidity_data[[#This Row],[c_m]]+liquidity_data[[#This Row],[cf_m]]+liquidity_data[[#This Row],[kf_m]]+liquidity_data[[#This Row],[equity]]</f>
        <v>12002.019434630683</v>
      </c>
      <c r="K16" s="5">
        <f>liquidity_data[[#This Row],[kf_d]]+liquidity_data[[#This Row],[cf_d]]</f>
        <v>2.0194193609058857</v>
      </c>
      <c r="L16" s="5">
        <f>liquidity_data[[#This Row],[TOTAL_M]]-liquidity_data[[#This Row],[TOTAL_D]]</f>
        <v>12000.000015269778</v>
      </c>
      <c r="M16" s="6">
        <f>liquidity_data[[#This Row],[M-D]]/L15-1</f>
        <v>2.2288143775028857E-8</v>
      </c>
    </row>
    <row r="17" spans="1:13" x14ac:dyDescent="0.25">
      <c r="A17" s="7" t="s">
        <v>146</v>
      </c>
      <c r="B17">
        <v>16</v>
      </c>
      <c r="C17" s="5">
        <v>6726.5303151905537</v>
      </c>
      <c r="D17" s="5">
        <v>175.60109300487966</v>
      </c>
      <c r="E17" s="5">
        <v>1701.5554160475731</v>
      </c>
      <c r="F17" s="5">
        <v>2.0134483873844147</v>
      </c>
      <c r="G17" s="5">
        <v>392.41762447357178</v>
      </c>
      <c r="H17" s="5">
        <v>0</v>
      </c>
      <c r="I17">
        <v>3005.91</v>
      </c>
      <c r="J17" s="5">
        <f>liquidity_data[[#This Row],[w_m]]+liquidity_data[[#This Row],[c_m]]+liquidity_data[[#This Row],[cf_m]]+liquidity_data[[#This Row],[kf_m]]+liquidity_data[[#This Row],[equity]]</f>
        <v>12002.014448716578</v>
      </c>
      <c r="K17" s="5">
        <f>liquidity_data[[#This Row],[kf_d]]+liquidity_data[[#This Row],[cf_d]]</f>
        <v>2.0134483873844147</v>
      </c>
      <c r="L17" s="5">
        <f>liquidity_data[[#This Row],[TOTAL_M]]-liquidity_data[[#This Row],[TOTAL_D]]</f>
        <v>12000.001000329194</v>
      </c>
      <c r="M17" s="6">
        <f>liquidity_data[[#This Row],[M-D]]/L16-1</f>
        <v>8.2088284614201257E-8</v>
      </c>
    </row>
    <row r="18" spans="1:13" x14ac:dyDescent="0.25">
      <c r="A18" s="7" t="s">
        <v>146</v>
      </c>
      <c r="B18">
        <v>17</v>
      </c>
      <c r="C18" s="5">
        <v>6703.3547393381596</v>
      </c>
      <c r="D18" s="5">
        <v>162.34465096656641</v>
      </c>
      <c r="E18" s="5">
        <v>1735.3616101145744</v>
      </c>
      <c r="F18" s="5">
        <v>2.007775966078043</v>
      </c>
      <c r="G18" s="5">
        <v>394.79951620101929</v>
      </c>
      <c r="H18" s="5">
        <v>0</v>
      </c>
      <c r="I18">
        <v>3006.15</v>
      </c>
      <c r="J18" s="5">
        <f>liquidity_data[[#This Row],[w_m]]+liquidity_data[[#This Row],[c_m]]+liquidity_data[[#This Row],[cf_m]]+liquidity_data[[#This Row],[kf_m]]+liquidity_data[[#This Row],[equity]]</f>
        <v>12002.010516620319</v>
      </c>
      <c r="K18" s="5">
        <f>liquidity_data[[#This Row],[kf_d]]+liquidity_data[[#This Row],[cf_d]]</f>
        <v>2.007775966078043</v>
      </c>
      <c r="L18" s="5">
        <f>liquidity_data[[#This Row],[TOTAL_M]]-liquidity_data[[#This Row],[TOTAL_D]]</f>
        <v>12000.002740654241</v>
      </c>
      <c r="M18" s="6">
        <f>liquidity_data[[#This Row],[M-D]]/L17-1</f>
        <v>1.4502707523789127E-7</v>
      </c>
    </row>
    <row r="19" spans="1:13" x14ac:dyDescent="0.25">
      <c r="A19" s="7" t="s">
        <v>146</v>
      </c>
      <c r="B19">
        <v>18</v>
      </c>
      <c r="C19" s="5">
        <v>6695.8079672157764</v>
      </c>
      <c r="D19" s="5">
        <v>151.2674780691159</v>
      </c>
      <c r="E19" s="5">
        <v>1751.0364906191826</v>
      </c>
      <c r="F19" s="5">
        <v>2.0023871674202383</v>
      </c>
      <c r="G19" s="5">
        <v>397.50559329986572</v>
      </c>
      <c r="H19" s="5">
        <v>0</v>
      </c>
      <c r="I19">
        <v>3006.38</v>
      </c>
      <c r="J19" s="5">
        <f>liquidity_data[[#This Row],[w_m]]+liquidity_data[[#This Row],[c_m]]+liquidity_data[[#This Row],[cf_m]]+liquidity_data[[#This Row],[kf_m]]+liquidity_data[[#This Row],[equity]]</f>
        <v>12001.997529203942</v>
      </c>
      <c r="K19" s="5">
        <f>liquidity_data[[#This Row],[kf_d]]+liquidity_data[[#This Row],[cf_d]]</f>
        <v>2.0023871674202383</v>
      </c>
      <c r="L19" s="5">
        <f>liquidity_data[[#This Row],[TOTAL_M]]-liquidity_data[[#This Row],[TOTAL_D]]</f>
        <v>11999.995142036521</v>
      </c>
      <c r="M19" s="6">
        <f>liquidity_data[[#This Row],[M-D]]/L18-1</f>
        <v>-6.3321799870230677E-7</v>
      </c>
    </row>
    <row r="20" spans="1:13" x14ac:dyDescent="0.25">
      <c r="A20" s="7" t="s">
        <v>146</v>
      </c>
      <c r="B20">
        <v>19</v>
      </c>
      <c r="C20" s="5">
        <v>6676.4890544712543</v>
      </c>
      <c r="D20" s="5">
        <v>142.15936821140349</v>
      </c>
      <c r="E20" s="5">
        <v>1775.1304731965065</v>
      </c>
      <c r="F20" s="5">
        <v>3.4745866931043565</v>
      </c>
      <c r="G20" s="5">
        <v>402.2396240234375</v>
      </c>
      <c r="H20" s="5">
        <v>0</v>
      </c>
      <c r="I20">
        <v>3007.46</v>
      </c>
      <c r="J20" s="5">
        <f>liquidity_data[[#This Row],[w_m]]+liquidity_data[[#This Row],[c_m]]+liquidity_data[[#This Row],[cf_m]]+liquidity_data[[#This Row],[kf_m]]+liquidity_data[[#This Row],[equity]]</f>
        <v>12003.478519902601</v>
      </c>
      <c r="K20" s="5">
        <f>liquidity_data[[#This Row],[kf_d]]+liquidity_data[[#This Row],[cf_d]]</f>
        <v>3.4745866931043565</v>
      </c>
      <c r="L20" s="5">
        <f>liquidity_data[[#This Row],[TOTAL_M]]-liquidity_data[[#This Row],[TOTAL_D]]</f>
        <v>12000.003933209497</v>
      </c>
      <c r="M20" s="6">
        <f>liquidity_data[[#This Row],[M-D]]/L19-1</f>
        <v>7.3259804445058307E-7</v>
      </c>
    </row>
    <row r="21" spans="1:13" x14ac:dyDescent="0.25">
      <c r="A21" s="7" t="s">
        <v>146</v>
      </c>
      <c r="B21">
        <v>20</v>
      </c>
      <c r="C21" s="5">
        <v>6654.0505447089672</v>
      </c>
      <c r="D21" s="5">
        <v>130.39428886584938</v>
      </c>
      <c r="E21" s="5">
        <v>1806.4176056981087</v>
      </c>
      <c r="F21" s="5">
        <v>4.8424043213017285</v>
      </c>
      <c r="G21" s="5">
        <v>404.97846603393555</v>
      </c>
      <c r="H21" s="5">
        <v>0</v>
      </c>
      <c r="I21">
        <v>3009</v>
      </c>
      <c r="J21" s="5">
        <f>liquidity_data[[#This Row],[w_m]]+liquidity_data[[#This Row],[c_m]]+liquidity_data[[#This Row],[cf_m]]+liquidity_data[[#This Row],[kf_m]]+liquidity_data[[#This Row],[equity]]</f>
        <v>12004.840905306861</v>
      </c>
      <c r="K21" s="5">
        <f>liquidity_data[[#This Row],[kf_d]]+liquidity_data[[#This Row],[cf_d]]</f>
        <v>4.8424043213017285</v>
      </c>
      <c r="L21" s="5">
        <f>liquidity_data[[#This Row],[TOTAL_M]]-liquidity_data[[#This Row],[TOTAL_D]]</f>
        <v>11999.998500985559</v>
      </c>
      <c r="M21" s="6">
        <f>liquidity_data[[#This Row],[M-D]]/L20-1</f>
        <v>-4.526851797859166E-7</v>
      </c>
    </row>
    <row r="22" spans="1:13" x14ac:dyDescent="0.25">
      <c r="A22" s="7" t="s">
        <v>146</v>
      </c>
      <c r="B22">
        <v>21</v>
      </c>
      <c r="C22" s="5">
        <v>6636.8723548352718</v>
      </c>
      <c r="D22" s="5">
        <v>121.43435414135456</v>
      </c>
      <c r="E22" s="5">
        <v>1828.314237177372</v>
      </c>
      <c r="F22" s="5">
        <v>4.8377840984612703</v>
      </c>
      <c r="G22" s="5">
        <v>408.51262044906616</v>
      </c>
      <c r="H22" s="5">
        <v>0</v>
      </c>
      <c r="I22">
        <v>3009.7</v>
      </c>
      <c r="J22" s="5">
        <f>liquidity_data[[#This Row],[w_m]]+liquidity_data[[#This Row],[c_m]]+liquidity_data[[#This Row],[cf_m]]+liquidity_data[[#This Row],[kf_m]]+liquidity_data[[#This Row],[equity]]</f>
        <v>12004.833566603065</v>
      </c>
      <c r="K22" s="5">
        <f>liquidity_data[[#This Row],[kf_d]]+liquidity_data[[#This Row],[cf_d]]</f>
        <v>4.8377840984612703</v>
      </c>
      <c r="L22" s="5">
        <f>liquidity_data[[#This Row],[TOTAL_M]]-liquidity_data[[#This Row],[TOTAL_D]]</f>
        <v>11999.995782504604</v>
      </c>
      <c r="M22" s="6">
        <f>liquidity_data[[#This Row],[M-D]]/L21-1</f>
        <v>-2.2654010789491252E-7</v>
      </c>
    </row>
    <row r="23" spans="1:13" x14ac:dyDescent="0.25">
      <c r="A23" s="7" t="s">
        <v>146</v>
      </c>
      <c r="B23">
        <v>22</v>
      </c>
      <c r="C23" s="5">
        <v>6623.2221272289753</v>
      </c>
      <c r="D23" s="5">
        <v>114.78021509491373</v>
      </c>
      <c r="E23" s="5">
        <v>1843.9057025313377</v>
      </c>
      <c r="F23" s="5">
        <v>4.8333948862273246</v>
      </c>
      <c r="G23" s="5">
        <v>412.86150693893433</v>
      </c>
      <c r="H23" s="5">
        <v>0</v>
      </c>
      <c r="I23">
        <v>3010.06</v>
      </c>
      <c r="J23" s="5">
        <f>liquidity_data[[#This Row],[w_m]]+liquidity_data[[#This Row],[c_m]]+liquidity_data[[#This Row],[cf_m]]+liquidity_data[[#This Row],[kf_m]]+liquidity_data[[#This Row],[equity]]</f>
        <v>12004.829551794161</v>
      </c>
      <c r="K23" s="5">
        <f>liquidity_data[[#This Row],[kf_d]]+liquidity_data[[#This Row],[cf_d]]</f>
        <v>4.8333948862273246</v>
      </c>
      <c r="L23" s="5">
        <f>liquidity_data[[#This Row],[TOTAL_M]]-liquidity_data[[#This Row],[TOTAL_D]]</f>
        <v>11999.996156907933</v>
      </c>
      <c r="M23" s="6">
        <f>liquidity_data[[#This Row],[M-D]]/L22-1</f>
        <v>3.1200288352906114E-8</v>
      </c>
    </row>
    <row r="24" spans="1:13" x14ac:dyDescent="0.25">
      <c r="A24" s="7" t="s">
        <v>146</v>
      </c>
      <c r="B24">
        <v>23</v>
      </c>
      <c r="C24" s="5">
        <v>6615.6553995609283</v>
      </c>
      <c r="D24" s="5">
        <v>106.71635618363507</v>
      </c>
      <c r="E24" s="5">
        <v>1858.4853078126907</v>
      </c>
      <c r="F24" s="5">
        <v>4.8292251396924257</v>
      </c>
      <c r="G24" s="5">
        <v>413.17839622497559</v>
      </c>
      <c r="H24" s="5">
        <v>0</v>
      </c>
      <c r="I24">
        <v>3010.79</v>
      </c>
      <c r="J24" s="5">
        <f>liquidity_data[[#This Row],[w_m]]+liquidity_data[[#This Row],[c_m]]+liquidity_data[[#This Row],[cf_m]]+liquidity_data[[#This Row],[kf_m]]+liquidity_data[[#This Row],[equity]]</f>
        <v>12004.825459782231</v>
      </c>
      <c r="K24" s="5">
        <f>liquidity_data[[#This Row],[kf_d]]+liquidity_data[[#This Row],[cf_d]]</f>
        <v>4.8292251396924257</v>
      </c>
      <c r="L24" s="5">
        <f>liquidity_data[[#This Row],[TOTAL_M]]-liquidity_data[[#This Row],[TOTAL_D]]</f>
        <v>11999.996234642538</v>
      </c>
      <c r="M24" s="6">
        <f>liquidity_data[[#This Row],[M-D]]/L23-1</f>
        <v>6.4778857833402981E-9</v>
      </c>
    </row>
    <row r="25" spans="1:13" x14ac:dyDescent="0.25">
      <c r="A25" s="7" t="s">
        <v>146</v>
      </c>
      <c r="B25">
        <v>24</v>
      </c>
      <c r="C25" s="5">
        <v>6616.6942499876022</v>
      </c>
      <c r="D25" s="5">
        <v>97.710543917259201</v>
      </c>
      <c r="E25" s="5">
        <v>1871.9915829896927</v>
      </c>
      <c r="F25" s="5">
        <v>5.7752638051752001</v>
      </c>
      <c r="G25" s="5">
        <v>407.36719226837158</v>
      </c>
      <c r="H25" s="5">
        <v>0</v>
      </c>
      <c r="I25">
        <v>3012.01</v>
      </c>
      <c r="J25" s="5">
        <f>liquidity_data[[#This Row],[w_m]]+liquidity_data[[#This Row],[c_m]]+liquidity_data[[#This Row],[cf_m]]+liquidity_data[[#This Row],[kf_m]]+liquidity_data[[#This Row],[equity]]</f>
        <v>12005.773569162926</v>
      </c>
      <c r="K25" s="5">
        <f>liquidity_data[[#This Row],[kf_d]]+liquidity_data[[#This Row],[cf_d]]</f>
        <v>5.7752638051752001</v>
      </c>
      <c r="L25" s="5">
        <f>liquidity_data[[#This Row],[TOTAL_M]]-liquidity_data[[#This Row],[TOTAL_D]]</f>
        <v>11999.998305357751</v>
      </c>
      <c r="M25" s="6">
        <f>liquidity_data[[#This Row],[M-D]]/L24-1</f>
        <v>1.7255965523155226E-7</v>
      </c>
    </row>
    <row r="26" spans="1:13" x14ac:dyDescent="0.25">
      <c r="A26" s="7" t="s">
        <v>146</v>
      </c>
      <c r="B26">
        <v>25</v>
      </c>
      <c r="C26" s="5">
        <v>6606.5111029967666</v>
      </c>
      <c r="D26" s="5">
        <v>92.474823113414459</v>
      </c>
      <c r="E26" s="5">
        <v>1883.234699010849</v>
      </c>
      <c r="F26" s="5">
        <v>5.7715006046928465</v>
      </c>
      <c r="G26" s="5">
        <v>410.70884037017822</v>
      </c>
      <c r="H26" s="5">
        <v>0</v>
      </c>
      <c r="I26">
        <v>3012.84</v>
      </c>
      <c r="J26" s="5">
        <f>liquidity_data[[#This Row],[w_m]]+liquidity_data[[#This Row],[c_m]]+liquidity_data[[#This Row],[cf_m]]+liquidity_data[[#This Row],[kf_m]]+liquidity_data[[#This Row],[equity]]</f>
        <v>12005.769465491208</v>
      </c>
      <c r="K26" s="5">
        <f>liquidity_data[[#This Row],[kf_d]]+liquidity_data[[#This Row],[cf_d]]</f>
        <v>5.7715006046928465</v>
      </c>
      <c r="L26" s="5">
        <f>liquidity_data[[#This Row],[TOTAL_M]]-liquidity_data[[#This Row],[TOTAL_D]]</f>
        <v>11999.997964886516</v>
      </c>
      <c r="M26" s="6">
        <f>liquidity_data[[#This Row],[M-D]]/L25-1</f>
        <v>-2.8372606930560096E-8</v>
      </c>
    </row>
    <row r="27" spans="1:13" x14ac:dyDescent="0.25">
      <c r="A27" s="7" t="s">
        <v>146</v>
      </c>
      <c r="B27">
        <v>26</v>
      </c>
      <c r="C27" s="5">
        <v>6598.1516550332308</v>
      </c>
      <c r="D27" s="5">
        <v>84.280396347399801</v>
      </c>
      <c r="E27" s="5">
        <v>1899.5077110528946</v>
      </c>
      <c r="F27" s="5">
        <v>8.7313230708241463</v>
      </c>
      <c r="G27" s="5">
        <v>411.56105756759644</v>
      </c>
      <c r="H27" s="5">
        <v>0</v>
      </c>
      <c r="I27">
        <v>3015.23</v>
      </c>
      <c r="J27" s="5">
        <f>liquidity_data[[#This Row],[w_m]]+liquidity_data[[#This Row],[c_m]]+liquidity_data[[#This Row],[cf_m]]+liquidity_data[[#This Row],[kf_m]]+liquidity_data[[#This Row],[equity]]</f>
        <v>12008.730820001121</v>
      </c>
      <c r="K27" s="5">
        <f>liquidity_data[[#This Row],[kf_d]]+liquidity_data[[#This Row],[cf_d]]</f>
        <v>8.7313230708241463</v>
      </c>
      <c r="L27" s="5">
        <f>liquidity_data[[#This Row],[TOTAL_M]]-liquidity_data[[#This Row],[TOTAL_D]]</f>
        <v>11999.999496930297</v>
      </c>
      <c r="M27" s="6">
        <f>liquidity_data[[#This Row],[M-D]]/L26-1</f>
        <v>1.276703367469878E-7</v>
      </c>
    </row>
    <row r="28" spans="1:13" x14ac:dyDescent="0.25">
      <c r="A28" s="7" t="s">
        <v>146</v>
      </c>
      <c r="B28">
        <v>27</v>
      </c>
      <c r="C28" s="5">
        <v>6602.3144537331536</v>
      </c>
      <c r="D28" s="5">
        <v>78.072567358613014</v>
      </c>
      <c r="E28" s="5">
        <v>1901.5135093927383</v>
      </c>
      <c r="F28" s="5">
        <v>5.0755970664322376</v>
      </c>
      <c r="G28" s="5">
        <v>410.44030714035034</v>
      </c>
      <c r="H28" s="5">
        <v>0</v>
      </c>
      <c r="I28">
        <v>3012.73</v>
      </c>
      <c r="J28" s="5">
        <f>liquidity_data[[#This Row],[w_m]]+liquidity_data[[#This Row],[c_m]]+liquidity_data[[#This Row],[cf_m]]+liquidity_data[[#This Row],[kf_m]]+liquidity_data[[#This Row],[equity]]</f>
        <v>12005.070837624855</v>
      </c>
      <c r="K28" s="5">
        <f>liquidity_data[[#This Row],[kf_d]]+liquidity_data[[#This Row],[cf_d]]</f>
        <v>5.0755970664322376</v>
      </c>
      <c r="L28" s="5">
        <f>liquidity_data[[#This Row],[TOTAL_M]]-liquidity_data[[#This Row],[TOTAL_D]]</f>
        <v>11999.995240558423</v>
      </c>
      <c r="M28" s="6">
        <f>liquidity_data[[#This Row],[M-D]]/L27-1</f>
        <v>-3.5469767101226068E-7</v>
      </c>
    </row>
    <row r="29" spans="1:13" x14ac:dyDescent="0.25">
      <c r="A29" s="7" t="s">
        <v>146</v>
      </c>
      <c r="B29">
        <v>28</v>
      </c>
      <c r="C29" s="5">
        <v>6615.6514472635827</v>
      </c>
      <c r="D29" s="5">
        <v>72.398837696760893</v>
      </c>
      <c r="E29" s="5">
        <v>1899.8429896831512</v>
      </c>
      <c r="F29" s="5">
        <v>7.6877709371037781</v>
      </c>
      <c r="G29" s="5">
        <v>404.81451034545898</v>
      </c>
      <c r="H29" s="5">
        <v>0</v>
      </c>
      <c r="I29">
        <v>3014.98</v>
      </c>
      <c r="J29" s="5">
        <f>liquidity_data[[#This Row],[w_m]]+liquidity_data[[#This Row],[c_m]]+liquidity_data[[#This Row],[cf_m]]+liquidity_data[[#This Row],[kf_m]]+liquidity_data[[#This Row],[equity]]</f>
        <v>12007.687784988953</v>
      </c>
      <c r="K29" s="5">
        <f>liquidity_data[[#This Row],[kf_d]]+liquidity_data[[#This Row],[cf_d]]</f>
        <v>7.6877709371037781</v>
      </c>
      <c r="L29" s="5">
        <f>liquidity_data[[#This Row],[TOTAL_M]]-liquidity_data[[#This Row],[TOTAL_D]]</f>
        <v>12000.00001405185</v>
      </c>
      <c r="M29" s="6">
        <f>liquidity_data[[#This Row],[M-D]]/L28-1</f>
        <v>3.9779127658512436E-7</v>
      </c>
    </row>
    <row r="30" spans="1:13" x14ac:dyDescent="0.25">
      <c r="A30" s="7" t="s">
        <v>146</v>
      </c>
      <c r="B30">
        <v>29</v>
      </c>
      <c r="C30" s="5">
        <v>6618.9058876170893</v>
      </c>
      <c r="D30" s="5">
        <v>70.066369220614433</v>
      </c>
      <c r="E30" s="5">
        <v>1902.2878074645996</v>
      </c>
      <c r="F30" s="5">
        <v>8.3180523146875203</v>
      </c>
      <c r="G30" s="5">
        <v>402.12848424911499</v>
      </c>
      <c r="H30" s="5">
        <v>0</v>
      </c>
      <c r="I30">
        <v>3014.93</v>
      </c>
      <c r="J30" s="5">
        <f>liquidity_data[[#This Row],[w_m]]+liquidity_data[[#This Row],[c_m]]+liquidity_data[[#This Row],[cf_m]]+liquidity_data[[#This Row],[kf_m]]+liquidity_data[[#This Row],[equity]]</f>
        <v>12008.318548551419</v>
      </c>
      <c r="K30" s="5">
        <f>liquidity_data[[#This Row],[kf_d]]+liquidity_data[[#This Row],[cf_d]]</f>
        <v>8.3180523146875203</v>
      </c>
      <c r="L30" s="5">
        <f>liquidity_data[[#This Row],[TOTAL_M]]-liquidity_data[[#This Row],[TOTAL_D]]</f>
        <v>12000.000496236731</v>
      </c>
      <c r="M30" s="6">
        <f>liquidity_data[[#This Row],[M-D]]/L29-1</f>
        <v>4.0182073446359823E-8</v>
      </c>
    </row>
    <row r="31" spans="1:13" x14ac:dyDescent="0.25">
      <c r="A31" s="7" t="s">
        <v>146</v>
      </c>
      <c r="B31">
        <v>30</v>
      </c>
      <c r="C31" s="5">
        <v>6624.158469455826</v>
      </c>
      <c r="D31" s="5">
        <v>64.912402731599286</v>
      </c>
      <c r="E31" s="5">
        <v>1908.2727323770523</v>
      </c>
      <c r="F31" s="5">
        <v>8.8748517001513392</v>
      </c>
      <c r="G31" s="5">
        <v>395.43149566650391</v>
      </c>
      <c r="H31" s="5">
        <v>0</v>
      </c>
      <c r="I31">
        <v>3016.1</v>
      </c>
      <c r="J31" s="5">
        <f>liquidity_data[[#This Row],[w_m]]+liquidity_data[[#This Row],[c_m]]+liquidity_data[[#This Row],[cf_m]]+liquidity_data[[#This Row],[kf_m]]+liquidity_data[[#This Row],[equity]]</f>
        <v>12008.875100230982</v>
      </c>
      <c r="K31" s="5">
        <f>liquidity_data[[#This Row],[kf_d]]+liquidity_data[[#This Row],[cf_d]]</f>
        <v>8.8748517001513392</v>
      </c>
      <c r="L31" s="5">
        <f>liquidity_data[[#This Row],[TOTAL_M]]-liquidity_data[[#This Row],[TOTAL_D]]</f>
        <v>12000.000248530831</v>
      </c>
      <c r="M31" s="6">
        <f>liquidity_data[[#This Row],[M-D]]/L30-1</f>
        <v>-2.0642157538830475E-8</v>
      </c>
    </row>
    <row r="32" spans="1:13" x14ac:dyDescent="0.25">
      <c r="A32" s="7" t="s">
        <v>146</v>
      </c>
      <c r="B32">
        <v>31</v>
      </c>
      <c r="C32" s="5">
        <v>6635.3964113596594</v>
      </c>
      <c r="D32" s="5">
        <v>59.57490107184276</v>
      </c>
      <c r="E32" s="5">
        <v>1901.831261664629</v>
      </c>
      <c r="F32" s="5">
        <v>12.306106905452907</v>
      </c>
      <c r="G32" s="5">
        <v>396.34087514877319</v>
      </c>
      <c r="H32" s="5">
        <v>0</v>
      </c>
      <c r="I32">
        <v>3019.16</v>
      </c>
      <c r="J32" s="5">
        <f>liquidity_data[[#This Row],[w_m]]+liquidity_data[[#This Row],[c_m]]+liquidity_data[[#This Row],[cf_m]]+liquidity_data[[#This Row],[kf_m]]+liquidity_data[[#This Row],[equity]]</f>
        <v>12012.303449244904</v>
      </c>
      <c r="K32" s="5">
        <f>liquidity_data[[#This Row],[kf_d]]+liquidity_data[[#This Row],[cf_d]]</f>
        <v>12.306106905452907</v>
      </c>
      <c r="L32" s="5">
        <f>liquidity_data[[#This Row],[TOTAL_M]]-liquidity_data[[#This Row],[TOTAL_D]]</f>
        <v>11999.997342339451</v>
      </c>
      <c r="M32" s="6">
        <f>liquidity_data[[#This Row],[M-D]]/L31-1</f>
        <v>-2.4218260996633489E-7</v>
      </c>
    </row>
    <row r="33" spans="1:13" x14ac:dyDescent="0.25">
      <c r="A33" s="7" t="s">
        <v>146</v>
      </c>
      <c r="B33">
        <v>32</v>
      </c>
      <c r="C33" s="5">
        <v>6634.6283907072811</v>
      </c>
      <c r="D33" s="5">
        <v>56.257276472635567</v>
      </c>
      <c r="E33" s="5">
        <v>1899.169969022274</v>
      </c>
      <c r="F33" s="5">
        <v>11.727519227191806</v>
      </c>
      <c r="G33" s="5">
        <v>404.21268844604492</v>
      </c>
      <c r="H33" s="5">
        <v>0</v>
      </c>
      <c r="I33">
        <v>3017.46</v>
      </c>
      <c r="J33" s="5">
        <f>liquidity_data[[#This Row],[w_m]]+liquidity_data[[#This Row],[c_m]]+liquidity_data[[#This Row],[cf_m]]+liquidity_data[[#This Row],[kf_m]]+liquidity_data[[#This Row],[equity]]</f>
        <v>12011.728324648237</v>
      </c>
      <c r="K33" s="5">
        <f>liquidity_data[[#This Row],[kf_d]]+liquidity_data[[#This Row],[cf_d]]</f>
        <v>11.727519227191806</v>
      </c>
      <c r="L33" s="5">
        <f>liquidity_data[[#This Row],[TOTAL_M]]-liquidity_data[[#This Row],[TOTAL_D]]</f>
        <v>12000.000805421045</v>
      </c>
      <c r="M33" s="6">
        <f>liquidity_data[[#This Row],[M-D]]/L32-1</f>
        <v>2.885901966287463E-7</v>
      </c>
    </row>
    <row r="34" spans="1:13" x14ac:dyDescent="0.25">
      <c r="A34" s="7" t="s">
        <v>146</v>
      </c>
      <c r="B34">
        <v>33</v>
      </c>
      <c r="C34" s="5">
        <v>6645.5115776761668</v>
      </c>
      <c r="D34" s="5">
        <v>51.645550013519824</v>
      </c>
      <c r="E34" s="5">
        <v>1899.2758375257254</v>
      </c>
      <c r="F34" s="5">
        <v>12.481400665594265</v>
      </c>
      <c r="G34" s="5">
        <v>399.15187168121338</v>
      </c>
      <c r="H34" s="5">
        <v>0</v>
      </c>
      <c r="I34">
        <v>3016.9</v>
      </c>
      <c r="J34" s="5">
        <f>liquidity_data[[#This Row],[w_m]]+liquidity_data[[#This Row],[c_m]]+liquidity_data[[#This Row],[cf_m]]+liquidity_data[[#This Row],[kf_m]]+liquidity_data[[#This Row],[equity]]</f>
        <v>12012.484836896625</v>
      </c>
      <c r="K34" s="5">
        <f>liquidity_data[[#This Row],[kf_d]]+liquidity_data[[#This Row],[cf_d]]</f>
        <v>12.481400665594265</v>
      </c>
      <c r="L34" s="5">
        <f>liquidity_data[[#This Row],[TOTAL_M]]-liquidity_data[[#This Row],[TOTAL_D]]</f>
        <v>12000.003436231031</v>
      </c>
      <c r="M34" s="6">
        <f>liquidity_data[[#This Row],[M-D]]/L33-1</f>
        <v>2.192341508333584E-7</v>
      </c>
    </row>
    <row r="35" spans="1:13" x14ac:dyDescent="0.25">
      <c r="A35" s="7" t="s">
        <v>146</v>
      </c>
      <c r="B35">
        <v>34</v>
      </c>
      <c r="C35" s="5">
        <v>6665.7992444401025</v>
      </c>
      <c r="D35" s="5">
        <v>48.953728629916441</v>
      </c>
      <c r="E35" s="5">
        <v>1882.6838530302048</v>
      </c>
      <c r="F35" s="5">
        <v>13.457051346777007</v>
      </c>
      <c r="G35" s="5">
        <v>398.18398571014404</v>
      </c>
      <c r="H35" s="5">
        <v>0</v>
      </c>
      <c r="I35">
        <v>3017.84</v>
      </c>
      <c r="J35" s="5">
        <f>liquidity_data[[#This Row],[w_m]]+liquidity_data[[#This Row],[c_m]]+liquidity_data[[#This Row],[cf_m]]+liquidity_data[[#This Row],[kf_m]]+liquidity_data[[#This Row],[equity]]</f>
        <v>12013.460811810368</v>
      </c>
      <c r="K35" s="5">
        <f>liquidity_data[[#This Row],[kf_d]]+liquidity_data[[#This Row],[cf_d]]</f>
        <v>13.457051346777007</v>
      </c>
      <c r="L35" s="5">
        <f>liquidity_data[[#This Row],[TOTAL_M]]-liquidity_data[[#This Row],[TOTAL_D]]</f>
        <v>12000.003760463591</v>
      </c>
      <c r="M35" s="6">
        <f>liquidity_data[[#This Row],[M-D]]/L34-1</f>
        <v>2.7019372295100652E-8</v>
      </c>
    </row>
    <row r="36" spans="1:13" x14ac:dyDescent="0.25">
      <c r="A36" s="7" t="s">
        <v>146</v>
      </c>
      <c r="B36">
        <v>35</v>
      </c>
      <c r="C36" s="5">
        <v>6696.1749403706417</v>
      </c>
      <c r="D36" s="5">
        <v>47.859293756075203</v>
      </c>
      <c r="E36" s="5">
        <v>1859.894561111927</v>
      </c>
      <c r="F36" s="5">
        <v>22.115353617933579</v>
      </c>
      <c r="G36" s="5">
        <v>395.78908348083496</v>
      </c>
      <c r="H36" s="5">
        <v>0</v>
      </c>
      <c r="I36">
        <v>3022.4</v>
      </c>
      <c r="J36" s="5">
        <f>liquidity_data[[#This Row],[w_m]]+liquidity_data[[#This Row],[c_m]]+liquidity_data[[#This Row],[cf_m]]+liquidity_data[[#This Row],[kf_m]]+liquidity_data[[#This Row],[equity]]</f>
        <v>12022.117878719479</v>
      </c>
      <c r="K36" s="5">
        <f>liquidity_data[[#This Row],[kf_d]]+liquidity_data[[#This Row],[cf_d]]</f>
        <v>22.115353617933579</v>
      </c>
      <c r="L36" s="5">
        <f>liquidity_data[[#This Row],[TOTAL_M]]-liquidity_data[[#This Row],[TOTAL_D]]</f>
        <v>12000.002525101545</v>
      </c>
      <c r="M36" s="6">
        <f>liquidity_data[[#This Row],[M-D]]/L35-1</f>
        <v>-1.0294680485856134E-7</v>
      </c>
    </row>
    <row r="37" spans="1:13" x14ac:dyDescent="0.25">
      <c r="A37" s="7" t="s">
        <v>146</v>
      </c>
      <c r="B37">
        <v>36</v>
      </c>
      <c r="C37" s="5">
        <v>6728.0263086624545</v>
      </c>
      <c r="D37" s="5">
        <v>43.75540591403842</v>
      </c>
      <c r="E37" s="5">
        <v>1836.7008276879787</v>
      </c>
      <c r="F37" s="5">
        <v>17.251655186642893</v>
      </c>
      <c r="G37" s="5">
        <v>391.22763729095459</v>
      </c>
      <c r="H37" s="5">
        <v>0.79093354940414429</v>
      </c>
      <c r="I37">
        <v>3018.33</v>
      </c>
      <c r="J37" s="5">
        <f>liquidity_data[[#This Row],[w_m]]+liquidity_data[[#This Row],[c_m]]+liquidity_data[[#This Row],[cf_m]]+liquidity_data[[#This Row],[kf_m]]+liquidity_data[[#This Row],[equity]]</f>
        <v>12018.040179555426</v>
      </c>
      <c r="K37" s="5">
        <f>liquidity_data[[#This Row],[kf_d]]+liquidity_data[[#This Row],[cf_d]]</f>
        <v>18.042588736047037</v>
      </c>
      <c r="L37" s="5">
        <f>liquidity_data[[#This Row],[TOTAL_M]]-liquidity_data[[#This Row],[TOTAL_D]]</f>
        <v>11999.997590819379</v>
      </c>
      <c r="M37" s="6">
        <f>liquidity_data[[#This Row],[M-D]]/L36-1</f>
        <v>-4.1119009397405648E-7</v>
      </c>
    </row>
    <row r="38" spans="1:13" x14ac:dyDescent="0.25">
      <c r="A38" s="7" t="s">
        <v>146</v>
      </c>
      <c r="B38">
        <v>37</v>
      </c>
      <c r="C38" s="5">
        <v>6745.812207792962</v>
      </c>
      <c r="D38" s="5">
        <v>44.995221504592337</v>
      </c>
      <c r="E38" s="5">
        <v>1816.5946450233459</v>
      </c>
      <c r="F38" s="5">
        <v>19.054942008806393</v>
      </c>
      <c r="G38" s="5">
        <v>395.51521682739258</v>
      </c>
      <c r="H38" s="5">
        <v>0.75138688087463379</v>
      </c>
      <c r="I38">
        <v>3016.89</v>
      </c>
      <c r="J38" s="5">
        <f>liquidity_data[[#This Row],[w_m]]+liquidity_data[[#This Row],[c_m]]+liquidity_data[[#This Row],[cf_m]]+liquidity_data[[#This Row],[kf_m]]+liquidity_data[[#This Row],[equity]]</f>
        <v>12019.807291148292</v>
      </c>
      <c r="K38" s="5">
        <f>liquidity_data[[#This Row],[kf_d]]+liquidity_data[[#This Row],[cf_d]]</f>
        <v>19.806328889681026</v>
      </c>
      <c r="L38" s="5">
        <f>liquidity_data[[#This Row],[TOTAL_M]]-liquidity_data[[#This Row],[TOTAL_D]]</f>
        <v>12000.000962258611</v>
      </c>
      <c r="M38" s="6">
        <f>liquidity_data[[#This Row],[M-D]]/L37-1</f>
        <v>2.8095332571531628E-7</v>
      </c>
    </row>
    <row r="39" spans="1:13" x14ac:dyDescent="0.25">
      <c r="A39" s="7" t="s">
        <v>146</v>
      </c>
      <c r="B39">
        <v>38</v>
      </c>
      <c r="C39" s="5">
        <v>6766.1148615981729</v>
      </c>
      <c r="D39" s="5">
        <v>42.767878063954413</v>
      </c>
      <c r="E39" s="5">
        <v>1802.8483949005604</v>
      </c>
      <c r="F39" s="5">
        <v>21.591093506198376</v>
      </c>
      <c r="G39" s="5">
        <v>391.751380443573</v>
      </c>
      <c r="H39" s="5">
        <v>0.7138175368309021</v>
      </c>
      <c r="I39">
        <v>3018.82</v>
      </c>
      <c r="J39" s="5">
        <f>liquidity_data[[#This Row],[w_m]]+liquidity_data[[#This Row],[c_m]]+liquidity_data[[#This Row],[cf_m]]+liquidity_data[[#This Row],[kf_m]]+liquidity_data[[#This Row],[equity]]</f>
        <v>12022.30251500626</v>
      </c>
      <c r="K39" s="5">
        <f>liquidity_data[[#This Row],[kf_d]]+liquidity_data[[#This Row],[cf_d]]</f>
        <v>22.304911043029279</v>
      </c>
      <c r="L39" s="5">
        <f>liquidity_data[[#This Row],[TOTAL_M]]-liquidity_data[[#This Row],[TOTAL_D]]</f>
        <v>11999.997603963231</v>
      </c>
      <c r="M39" s="6">
        <f>liquidity_data[[#This Row],[M-D]]/L38-1</f>
        <v>-2.7985792594442671E-7</v>
      </c>
    </row>
    <row r="40" spans="1:13" x14ac:dyDescent="0.25">
      <c r="A40" s="7" t="s">
        <v>146</v>
      </c>
      <c r="B40">
        <v>39</v>
      </c>
      <c r="C40" s="5">
        <v>6786.6570964280327</v>
      </c>
      <c r="D40" s="5">
        <v>43.737554210238159</v>
      </c>
      <c r="E40" s="5">
        <v>1792.3305926322937</v>
      </c>
      <c r="F40" s="5">
        <v>41.91594776394777</v>
      </c>
      <c r="G40" s="5">
        <v>392.6368932723999</v>
      </c>
      <c r="H40" s="5">
        <v>0.67812663316726685</v>
      </c>
      <c r="I40">
        <v>3027.23</v>
      </c>
      <c r="J40" s="5">
        <f>liquidity_data[[#This Row],[w_m]]+liquidity_data[[#This Row],[c_m]]+liquidity_data[[#This Row],[cf_m]]+liquidity_data[[#This Row],[kf_m]]+liquidity_data[[#This Row],[equity]]</f>
        <v>12042.592136542964</v>
      </c>
      <c r="K40" s="5">
        <f>liquidity_data[[#This Row],[kf_d]]+liquidity_data[[#This Row],[cf_d]]</f>
        <v>42.594074397115037</v>
      </c>
      <c r="L40" s="5">
        <f>liquidity_data[[#This Row],[TOTAL_M]]-liquidity_data[[#This Row],[TOTAL_D]]</f>
        <v>11999.998062145849</v>
      </c>
      <c r="M40" s="6">
        <f>liquidity_data[[#This Row],[M-D]]/L39-1</f>
        <v>3.8181892536570672E-8</v>
      </c>
    </row>
    <row r="41" spans="1:13" x14ac:dyDescent="0.25">
      <c r="A41" s="7" t="s">
        <v>146</v>
      </c>
      <c r="B41">
        <v>40</v>
      </c>
      <c r="C41" s="5">
        <v>6817.5262924396447</v>
      </c>
      <c r="D41" s="5">
        <v>43.513458305766108</v>
      </c>
      <c r="E41" s="5">
        <v>1756.362708568573</v>
      </c>
      <c r="F41" s="5">
        <v>40.444898469373584</v>
      </c>
      <c r="G41" s="5">
        <v>397.48119211196899</v>
      </c>
      <c r="H41" s="5">
        <v>0.64422029256820679</v>
      </c>
      <c r="I41">
        <v>3026.21</v>
      </c>
      <c r="J41" s="5">
        <f>liquidity_data[[#This Row],[w_m]]+liquidity_data[[#This Row],[c_m]]+liquidity_data[[#This Row],[cf_m]]+liquidity_data[[#This Row],[kf_m]]+liquidity_data[[#This Row],[equity]]</f>
        <v>12041.093651425952</v>
      </c>
      <c r="K41" s="5">
        <f>liquidity_data[[#This Row],[kf_d]]+liquidity_data[[#This Row],[cf_d]]</f>
        <v>41.089118761941791</v>
      </c>
      <c r="L41" s="5">
        <f>liquidity_data[[#This Row],[TOTAL_M]]-liquidity_data[[#This Row],[TOTAL_D]]</f>
        <v>12000.00453266401</v>
      </c>
      <c r="M41" s="6">
        <f>liquidity_data[[#This Row],[M-D]]/L40-1</f>
        <v>5.3920993381417759E-7</v>
      </c>
    </row>
    <row r="42" spans="1:13" x14ac:dyDescent="0.25">
      <c r="A42" s="7" t="s">
        <v>146</v>
      </c>
      <c r="B42">
        <v>41</v>
      </c>
      <c r="C42" s="5">
        <v>6827.0667691058516</v>
      </c>
      <c r="D42" s="5">
        <v>44.948416062630713</v>
      </c>
      <c r="E42" s="5">
        <v>1741.0178732722998</v>
      </c>
      <c r="F42" s="5">
        <v>46.459638596046716</v>
      </c>
      <c r="G42" s="5">
        <v>403.56950950622559</v>
      </c>
      <c r="H42" s="5">
        <v>0.61200928688049316</v>
      </c>
      <c r="I42">
        <v>3030.47</v>
      </c>
      <c r="J42" s="5">
        <f>liquidity_data[[#This Row],[w_m]]+liquidity_data[[#This Row],[c_m]]+liquidity_data[[#This Row],[cf_m]]+liquidity_data[[#This Row],[kf_m]]+liquidity_data[[#This Row],[equity]]</f>
        <v>12047.072567947007</v>
      </c>
      <c r="K42" s="5">
        <f>liquidity_data[[#This Row],[kf_d]]+liquidity_data[[#This Row],[cf_d]]</f>
        <v>47.071647882927209</v>
      </c>
      <c r="L42" s="5">
        <f>liquidity_data[[#This Row],[TOTAL_M]]-liquidity_data[[#This Row],[TOTAL_D]]</f>
        <v>12000.00092006408</v>
      </c>
      <c r="M42" s="6">
        <f>liquidity_data[[#This Row],[M-D]]/L41-1</f>
        <v>-3.0104988046897319E-7</v>
      </c>
    </row>
    <row r="43" spans="1:13" x14ac:dyDescent="0.25">
      <c r="A43" s="7" t="s">
        <v>146</v>
      </c>
      <c r="B43">
        <v>42</v>
      </c>
      <c r="C43" s="5">
        <v>6851.0683440223365</v>
      </c>
      <c r="D43" s="5">
        <v>43.194664313457906</v>
      </c>
      <c r="E43" s="5">
        <v>1725.7022097967565</v>
      </c>
      <c r="F43" s="5">
        <v>51.519346822518855</v>
      </c>
      <c r="G43" s="5">
        <v>395.73591184616089</v>
      </c>
      <c r="H43" s="5">
        <v>0.58140885829925537</v>
      </c>
      <c r="I43">
        <v>3036.4</v>
      </c>
      <c r="J43" s="5">
        <f>liquidity_data[[#This Row],[w_m]]+liquidity_data[[#This Row],[c_m]]+liquidity_data[[#This Row],[cf_m]]+liquidity_data[[#This Row],[kf_m]]+liquidity_data[[#This Row],[equity]]</f>
        <v>12052.101129978711</v>
      </c>
      <c r="K43" s="5">
        <f>liquidity_data[[#This Row],[kf_d]]+liquidity_data[[#This Row],[cf_d]]</f>
        <v>52.100755680818111</v>
      </c>
      <c r="L43" s="5">
        <f>liquidity_data[[#This Row],[TOTAL_M]]-liquidity_data[[#This Row],[TOTAL_D]]</f>
        <v>12000.000374297893</v>
      </c>
      <c r="M43" s="6">
        <f>liquidity_data[[#This Row],[M-D]]/L42-1</f>
        <v>-4.5480512023132746E-8</v>
      </c>
    </row>
    <row r="44" spans="1:13" x14ac:dyDescent="0.25">
      <c r="A44" s="7" t="s">
        <v>146</v>
      </c>
      <c r="B44">
        <v>43</v>
      </c>
      <c r="C44" s="5">
        <v>6894.3920790107804</v>
      </c>
      <c r="D44" s="5">
        <v>49.512306284159422</v>
      </c>
      <c r="E44" s="5">
        <v>1664.7084471583366</v>
      </c>
      <c r="F44" s="5">
        <v>54.816217991174199</v>
      </c>
      <c r="G44" s="5">
        <v>405.17106485366821</v>
      </c>
      <c r="H44" s="5">
        <v>0.55233842134475708</v>
      </c>
      <c r="I44">
        <v>3041.58</v>
      </c>
      <c r="J44" s="5">
        <f>liquidity_data[[#This Row],[w_m]]+liquidity_data[[#This Row],[c_m]]+liquidity_data[[#This Row],[cf_m]]+liquidity_data[[#This Row],[kf_m]]+liquidity_data[[#This Row],[equity]]</f>
        <v>12055.363897306945</v>
      </c>
      <c r="K44" s="5">
        <f>liquidity_data[[#This Row],[kf_d]]+liquidity_data[[#This Row],[cf_d]]</f>
        <v>55.368556412518956</v>
      </c>
      <c r="L44" s="5">
        <f>liquidity_data[[#This Row],[TOTAL_M]]-liquidity_data[[#This Row],[TOTAL_D]]</f>
        <v>11999.995340894426</v>
      </c>
      <c r="M44" s="6">
        <f>liquidity_data[[#This Row],[M-D]]/L43-1</f>
        <v>-4.1945027584588956E-7</v>
      </c>
    </row>
    <row r="45" spans="1:13" x14ac:dyDescent="0.25">
      <c r="A45" s="7" t="s">
        <v>146</v>
      </c>
      <c r="B45">
        <v>44</v>
      </c>
      <c r="C45" s="5">
        <v>6936.049474619329</v>
      </c>
      <c r="D45" s="5">
        <v>47.714187371078879</v>
      </c>
      <c r="E45" s="5">
        <v>1642.3922264873981</v>
      </c>
      <c r="F45" s="5">
        <v>66.954353524139151</v>
      </c>
      <c r="G45" s="5">
        <v>395.19136142730713</v>
      </c>
      <c r="H45" s="5">
        <v>0.52472150325775146</v>
      </c>
      <c r="I45">
        <v>3046.13</v>
      </c>
      <c r="J45" s="5">
        <f>liquidity_data[[#This Row],[w_m]]+liquidity_data[[#This Row],[c_m]]+liquidity_data[[#This Row],[cf_m]]+liquidity_data[[#This Row],[kf_m]]+liquidity_data[[#This Row],[equity]]</f>
        <v>12067.477249905114</v>
      </c>
      <c r="K45" s="5">
        <f>liquidity_data[[#This Row],[kf_d]]+liquidity_data[[#This Row],[cf_d]]</f>
        <v>67.479075027396902</v>
      </c>
      <c r="L45" s="5">
        <f>liquidity_data[[#This Row],[TOTAL_M]]-liquidity_data[[#This Row],[TOTAL_D]]</f>
        <v>11999.998174877717</v>
      </c>
      <c r="M45" s="6">
        <f>liquidity_data[[#This Row],[M-D]]/L44-1</f>
        <v>2.361653659299634E-7</v>
      </c>
    </row>
    <row r="46" spans="1:13" x14ac:dyDescent="0.25">
      <c r="A46" s="7" t="s">
        <v>146</v>
      </c>
      <c r="B46">
        <v>45</v>
      </c>
      <c r="C46" s="5">
        <v>6962.1395750883385</v>
      </c>
      <c r="D46" s="5">
        <v>52.635363321751356</v>
      </c>
      <c r="E46" s="5">
        <v>1605.7870101332664</v>
      </c>
      <c r="F46" s="5">
        <v>80.444556189584546</v>
      </c>
      <c r="G46" s="5">
        <v>402.45353698730469</v>
      </c>
      <c r="H46" s="5">
        <v>0.49848541617393494</v>
      </c>
      <c r="I46">
        <v>3057.93</v>
      </c>
      <c r="J46" s="5">
        <f>liquidity_data[[#This Row],[w_m]]+liquidity_data[[#This Row],[c_m]]+liquidity_data[[#This Row],[cf_m]]+liquidity_data[[#This Row],[kf_m]]+liquidity_data[[#This Row],[equity]]</f>
        <v>12080.945485530661</v>
      </c>
      <c r="K46" s="5">
        <f>liquidity_data[[#This Row],[kf_d]]+liquidity_data[[#This Row],[cf_d]]</f>
        <v>80.943041605758481</v>
      </c>
      <c r="L46" s="5">
        <f>liquidity_data[[#This Row],[TOTAL_M]]-liquidity_data[[#This Row],[TOTAL_D]]</f>
        <v>12000.002443924903</v>
      </c>
      <c r="M46" s="6">
        <f>liquidity_data[[#This Row],[M-D]]/L45-1</f>
        <v>3.5575398626974675E-7</v>
      </c>
    </row>
    <row r="47" spans="1:13" x14ac:dyDescent="0.25">
      <c r="A47" s="7" t="s">
        <v>146</v>
      </c>
      <c r="B47">
        <v>46</v>
      </c>
      <c r="C47" s="5">
        <v>6999.6769206114113</v>
      </c>
      <c r="D47" s="5">
        <v>55.575542782433331</v>
      </c>
      <c r="E47" s="5">
        <v>1562.5204330384731</v>
      </c>
      <c r="F47" s="5">
        <v>91.193230006960221</v>
      </c>
      <c r="G47" s="5">
        <v>406.33019018173218</v>
      </c>
      <c r="H47" s="5">
        <v>0.47356113791465759</v>
      </c>
      <c r="I47">
        <v>3067.56</v>
      </c>
      <c r="J47" s="5">
        <f>liquidity_data[[#This Row],[w_m]]+liquidity_data[[#This Row],[c_m]]+liquidity_data[[#This Row],[cf_m]]+liquidity_data[[#This Row],[kf_m]]+liquidity_data[[#This Row],[equity]]</f>
        <v>12091.663086614049</v>
      </c>
      <c r="K47" s="5">
        <f>liquidity_data[[#This Row],[kf_d]]+liquidity_data[[#This Row],[cf_d]]</f>
        <v>91.666791144874878</v>
      </c>
      <c r="L47" s="5">
        <f>liquidity_data[[#This Row],[TOTAL_M]]-liquidity_data[[#This Row],[TOTAL_D]]</f>
        <v>11999.996295469175</v>
      </c>
      <c r="M47" s="6">
        <f>liquidity_data[[#This Row],[M-D]]/L46-1</f>
        <v>-5.1237120635150291E-7</v>
      </c>
    </row>
    <row r="48" spans="1:13" x14ac:dyDescent="0.25">
      <c r="A48" s="7" t="s">
        <v>146</v>
      </c>
      <c r="B48">
        <v>47</v>
      </c>
      <c r="C48" s="5">
        <v>7033.337627197543</v>
      </c>
      <c r="D48" s="5">
        <v>54.017135065136245</v>
      </c>
      <c r="E48" s="5">
        <v>1545.1749567985535</v>
      </c>
      <c r="F48" s="5">
        <v>94.177442184067331</v>
      </c>
      <c r="G48" s="5">
        <v>401.1096715927124</v>
      </c>
      <c r="H48" s="5">
        <v>3.6637216508388519</v>
      </c>
      <c r="I48">
        <v>3064.2</v>
      </c>
      <c r="J48" s="5">
        <f>liquidity_data[[#This Row],[w_m]]+liquidity_data[[#This Row],[c_m]]+liquidity_data[[#This Row],[cf_m]]+liquidity_data[[#This Row],[kf_m]]+liquidity_data[[#This Row],[equity]]</f>
        <v>12097.839390653946</v>
      </c>
      <c r="K48" s="5">
        <f>liquidity_data[[#This Row],[kf_d]]+liquidity_data[[#This Row],[cf_d]]</f>
        <v>97.841163834906183</v>
      </c>
      <c r="L48" s="5">
        <f>liquidity_data[[#This Row],[TOTAL_M]]-liquidity_data[[#This Row],[TOTAL_D]]</f>
        <v>11999.99822681904</v>
      </c>
      <c r="M48" s="6">
        <f>liquidity_data[[#This Row],[M-D]]/L47-1</f>
        <v>1.6094587174109165E-7</v>
      </c>
    </row>
    <row r="49" spans="1:13" x14ac:dyDescent="0.25">
      <c r="A49" s="7" t="s">
        <v>146</v>
      </c>
      <c r="B49">
        <v>48</v>
      </c>
      <c r="C49" s="5">
        <v>7077.0117456060834</v>
      </c>
      <c r="D49" s="5">
        <v>59.481058550998569</v>
      </c>
      <c r="E49" s="5">
        <v>1485.5517951278016</v>
      </c>
      <c r="F49" s="5">
        <v>102.13099343539216</v>
      </c>
      <c r="G49" s="5">
        <v>415.41443204879761</v>
      </c>
      <c r="H49" s="5">
        <v>3.4805355370044708</v>
      </c>
      <c r="I49">
        <v>3068.15</v>
      </c>
      <c r="J49" s="5">
        <f>liquidity_data[[#This Row],[w_m]]+liquidity_data[[#This Row],[c_m]]+liquidity_data[[#This Row],[cf_m]]+liquidity_data[[#This Row],[kf_m]]+liquidity_data[[#This Row],[equity]]</f>
        <v>12105.609031333681</v>
      </c>
      <c r="K49" s="5">
        <f>liquidity_data[[#This Row],[kf_d]]+liquidity_data[[#This Row],[cf_d]]</f>
        <v>105.61152897239663</v>
      </c>
      <c r="L49" s="5">
        <f>liquidity_data[[#This Row],[TOTAL_M]]-liquidity_data[[#This Row],[TOTAL_D]]</f>
        <v>11999.997502361284</v>
      </c>
      <c r="M49" s="6">
        <f>liquidity_data[[#This Row],[M-D]]/L48-1</f>
        <v>-6.0371488586064004E-8</v>
      </c>
    </row>
    <row r="50" spans="1:13" x14ac:dyDescent="0.25">
      <c r="A50" s="7" t="s">
        <v>146</v>
      </c>
      <c r="B50">
        <v>49</v>
      </c>
      <c r="C50" s="5">
        <v>7113.8521399057499</v>
      </c>
      <c r="D50" s="5">
        <v>60.635611899197102</v>
      </c>
      <c r="E50" s="5">
        <v>1454.0687228925526</v>
      </c>
      <c r="F50" s="5">
        <v>114.57082519802498</v>
      </c>
      <c r="G50" s="5">
        <v>423.81109857559204</v>
      </c>
      <c r="H50" s="5">
        <v>3.3065088093280792</v>
      </c>
      <c r="I50">
        <v>3065.51</v>
      </c>
      <c r="J50" s="5">
        <f>liquidity_data[[#This Row],[w_m]]+liquidity_data[[#This Row],[c_m]]+liquidity_data[[#This Row],[cf_m]]+liquidity_data[[#This Row],[kf_m]]+liquidity_data[[#This Row],[equity]]</f>
        <v>12117.877573273092</v>
      </c>
      <c r="K50" s="5">
        <f>liquidity_data[[#This Row],[kf_d]]+liquidity_data[[#This Row],[cf_d]]</f>
        <v>117.87733400735306</v>
      </c>
      <c r="L50" s="5">
        <f>liquidity_data[[#This Row],[TOTAL_M]]-liquidity_data[[#This Row],[TOTAL_D]]</f>
        <v>12000.000239265739</v>
      </c>
      <c r="M50" s="6">
        <f>liquidity_data[[#This Row],[M-D]]/L49-1</f>
        <v>2.2807541877334359E-7</v>
      </c>
    </row>
    <row r="51" spans="1:13" x14ac:dyDescent="0.25">
      <c r="A51" s="7" t="s">
        <v>146</v>
      </c>
      <c r="B51">
        <v>50</v>
      </c>
      <c r="C51" s="5">
        <v>7155.0901337177493</v>
      </c>
      <c r="D51" s="5">
        <v>63.579124631360173</v>
      </c>
      <c r="E51" s="5">
        <v>1405.139826618135</v>
      </c>
      <c r="F51" s="5">
        <v>113.92452022660291</v>
      </c>
      <c r="G51" s="5">
        <v>432.11020469665527</v>
      </c>
      <c r="H51" s="5">
        <v>3.1411832869052887</v>
      </c>
      <c r="I51">
        <v>3061.15</v>
      </c>
      <c r="J51" s="5">
        <f>liquidity_data[[#This Row],[w_m]]+liquidity_data[[#This Row],[c_m]]+liquidity_data[[#This Row],[cf_m]]+liquidity_data[[#This Row],[kf_m]]+liquidity_data[[#This Row],[equity]]</f>
        <v>12117.069289663899</v>
      </c>
      <c r="K51" s="5">
        <f>liquidity_data[[#This Row],[kf_d]]+liquidity_data[[#This Row],[cf_d]]</f>
        <v>117.0657035135082</v>
      </c>
      <c r="L51" s="5">
        <f>liquidity_data[[#This Row],[TOTAL_M]]-liquidity_data[[#This Row],[TOTAL_D]]</f>
        <v>12000.003586150391</v>
      </c>
      <c r="M51" s="6">
        <f>liquidity_data[[#This Row],[M-D]]/L50-1</f>
        <v>2.789070487896339E-7</v>
      </c>
    </row>
    <row r="52" spans="1:13" x14ac:dyDescent="0.25">
      <c r="A52" s="7" t="s">
        <v>146</v>
      </c>
      <c r="B52">
        <v>51</v>
      </c>
      <c r="C52" s="5">
        <v>7193.812762206886</v>
      </c>
      <c r="D52" s="5">
        <v>66.488213642500341</v>
      </c>
      <c r="E52" s="5">
        <v>1369.4607888162136</v>
      </c>
      <c r="F52" s="5">
        <v>135.10853093623882</v>
      </c>
      <c r="G52" s="5">
        <v>437.74217414855957</v>
      </c>
      <c r="H52" s="5">
        <v>2.984124094247818</v>
      </c>
      <c r="I52">
        <v>3070.59</v>
      </c>
      <c r="J52" s="5">
        <f>liquidity_data[[#This Row],[w_m]]+liquidity_data[[#This Row],[c_m]]+liquidity_data[[#This Row],[cf_m]]+liquidity_data[[#This Row],[kf_m]]+liquidity_data[[#This Row],[equity]]</f>
        <v>12138.09393881416</v>
      </c>
      <c r="K52" s="5">
        <f>liquidity_data[[#This Row],[kf_d]]+liquidity_data[[#This Row],[cf_d]]</f>
        <v>138.09265503048664</v>
      </c>
      <c r="L52" s="5">
        <f>liquidity_data[[#This Row],[TOTAL_M]]-liquidity_data[[#This Row],[TOTAL_D]]</f>
        <v>12000.001283783673</v>
      </c>
      <c r="M52" s="6">
        <f>liquidity_data[[#This Row],[M-D]]/L51-1</f>
        <v>-1.9186383581892841E-7</v>
      </c>
    </row>
    <row r="53" spans="1:13" x14ac:dyDescent="0.25">
      <c r="A53" s="7" t="s">
        <v>146</v>
      </c>
      <c r="B53">
        <v>52</v>
      </c>
      <c r="C53" s="5">
        <v>7241.5443326673703</v>
      </c>
      <c r="D53" s="5">
        <v>65.660429459996521</v>
      </c>
      <c r="E53" s="5">
        <v>1334.1880795415491</v>
      </c>
      <c r="F53" s="5">
        <v>146.3447101112688</v>
      </c>
      <c r="G53" s="5">
        <v>434.99213743209839</v>
      </c>
      <c r="H53" s="5">
        <v>2.8349180519580841</v>
      </c>
      <c r="I53">
        <v>3072.79</v>
      </c>
      <c r="J53" s="5">
        <f>liquidity_data[[#This Row],[w_m]]+liquidity_data[[#This Row],[c_m]]+liquidity_data[[#This Row],[cf_m]]+liquidity_data[[#This Row],[kf_m]]+liquidity_data[[#This Row],[equity]]</f>
        <v>12149.174979101015</v>
      </c>
      <c r="K53" s="5">
        <f>liquidity_data[[#This Row],[kf_d]]+liquidity_data[[#This Row],[cf_d]]</f>
        <v>149.17962816322688</v>
      </c>
      <c r="L53" s="5">
        <f>liquidity_data[[#This Row],[TOTAL_M]]-liquidity_data[[#This Row],[TOTAL_D]]</f>
        <v>11999.995350937788</v>
      </c>
      <c r="M53" s="6">
        <f>liquidity_data[[#This Row],[M-D]]/L52-1</f>
        <v>-4.9440377081211295E-7</v>
      </c>
    </row>
    <row r="54" spans="1:13" x14ac:dyDescent="0.25">
      <c r="A54" s="7" t="s">
        <v>146</v>
      </c>
      <c r="B54">
        <v>53</v>
      </c>
      <c r="C54" s="5">
        <v>7276.3298060033703</v>
      </c>
      <c r="D54" s="5">
        <v>70.703737975098193</v>
      </c>
      <c r="E54" s="5">
        <v>1296.5137572735548</v>
      </c>
      <c r="F54" s="5">
        <v>160.61066514608683</v>
      </c>
      <c r="G54" s="5">
        <v>438.36014366149902</v>
      </c>
      <c r="H54" s="5">
        <v>2.7336753383278847</v>
      </c>
      <c r="I54">
        <v>3081.44</v>
      </c>
      <c r="J54" s="5">
        <f>liquidity_data[[#This Row],[w_m]]+liquidity_data[[#This Row],[c_m]]+liquidity_data[[#This Row],[cf_m]]+liquidity_data[[#This Row],[kf_m]]+liquidity_data[[#This Row],[equity]]</f>
        <v>12163.347444913523</v>
      </c>
      <c r="K54" s="5">
        <f>liquidity_data[[#This Row],[kf_d]]+liquidity_data[[#This Row],[cf_d]]</f>
        <v>163.34434048441472</v>
      </c>
      <c r="L54" s="5">
        <f>liquidity_data[[#This Row],[TOTAL_M]]-liquidity_data[[#This Row],[TOTAL_D]]</f>
        <v>12000.003104429108</v>
      </c>
      <c r="M54" s="6">
        <f>liquidity_data[[#This Row],[M-D]]/L53-1</f>
        <v>6.4612452699286393E-7</v>
      </c>
    </row>
    <row r="55" spans="1:13" x14ac:dyDescent="0.25">
      <c r="A55" s="7" t="s">
        <v>146</v>
      </c>
      <c r="B55">
        <v>54</v>
      </c>
      <c r="C55" s="5">
        <v>7314.0161205593031</v>
      </c>
      <c r="D55" s="5">
        <v>73.932202910538763</v>
      </c>
      <c r="E55" s="5">
        <v>1245.9271321743727</v>
      </c>
      <c r="F55" s="5">
        <v>166.99282275192672</v>
      </c>
      <c r="G55" s="5">
        <v>446.82109689712524</v>
      </c>
      <c r="H55" s="5">
        <v>2.5969915948808193</v>
      </c>
      <c r="I55">
        <v>3088.89</v>
      </c>
      <c r="J55" s="5">
        <f>liquidity_data[[#This Row],[w_m]]+liquidity_data[[#This Row],[c_m]]+liquidity_data[[#This Row],[cf_m]]+liquidity_data[[#This Row],[kf_m]]+liquidity_data[[#This Row],[equity]]</f>
        <v>12169.586552541339</v>
      </c>
      <c r="K55" s="5">
        <f>liquidity_data[[#This Row],[kf_d]]+liquidity_data[[#This Row],[cf_d]]</f>
        <v>169.58981434680754</v>
      </c>
      <c r="L55" s="5">
        <f>liquidity_data[[#This Row],[TOTAL_M]]-liquidity_data[[#This Row],[TOTAL_D]]</f>
        <v>11999.996738194532</v>
      </c>
      <c r="M55" s="6">
        <f>liquidity_data[[#This Row],[M-D]]/L54-1</f>
        <v>-5.3051941084625298E-7</v>
      </c>
    </row>
    <row r="56" spans="1:13" x14ac:dyDescent="0.25">
      <c r="A56" s="7" t="s">
        <v>146</v>
      </c>
      <c r="B56">
        <v>55</v>
      </c>
      <c r="C56" s="5">
        <v>7355.4923241465585</v>
      </c>
      <c r="D56" s="5">
        <v>74.297036229851074</v>
      </c>
      <c r="E56" s="5">
        <v>1210.0264827683568</v>
      </c>
      <c r="F56" s="5">
        <v>182.59321812004782</v>
      </c>
      <c r="G56" s="5">
        <v>460.38529253005981</v>
      </c>
      <c r="H56" s="5">
        <v>2.4671419933438301</v>
      </c>
      <c r="I56">
        <v>3084.86</v>
      </c>
      <c r="J56" s="5">
        <f>liquidity_data[[#This Row],[w_m]]+liquidity_data[[#This Row],[c_m]]+liquidity_data[[#This Row],[cf_m]]+liquidity_data[[#This Row],[kf_m]]+liquidity_data[[#This Row],[equity]]</f>
        <v>12185.061135674827</v>
      </c>
      <c r="K56" s="5">
        <f>liquidity_data[[#This Row],[kf_d]]+liquidity_data[[#This Row],[cf_d]]</f>
        <v>185.06036011339165</v>
      </c>
      <c r="L56" s="5">
        <f>liquidity_data[[#This Row],[TOTAL_M]]-liquidity_data[[#This Row],[TOTAL_D]]</f>
        <v>12000.000775561435</v>
      </c>
      <c r="M56" s="6">
        <f>liquidity_data[[#This Row],[M-D]]/L55-1</f>
        <v>3.3644733332671706E-7</v>
      </c>
    </row>
    <row r="57" spans="1:13" x14ac:dyDescent="0.25">
      <c r="A57" s="7" t="s">
        <v>146</v>
      </c>
      <c r="B57">
        <v>56</v>
      </c>
      <c r="C57" s="5">
        <v>7395.9531155679724</v>
      </c>
      <c r="D57" s="5">
        <v>69.043117271503434</v>
      </c>
      <c r="E57" s="5">
        <v>1194.8827713998035</v>
      </c>
      <c r="F57" s="5">
        <v>200.0186383263208</v>
      </c>
      <c r="G57" s="5">
        <v>462.74929332733154</v>
      </c>
      <c r="H57" s="5">
        <v>2.3437849655747414</v>
      </c>
      <c r="I57">
        <v>3079.73</v>
      </c>
      <c r="J57" s="5">
        <f>liquidity_data[[#This Row],[w_m]]+liquidity_data[[#This Row],[c_m]]+liquidity_data[[#This Row],[cf_m]]+liquidity_data[[#This Row],[kf_m]]+liquidity_data[[#This Row],[equity]]</f>
        <v>12202.35829756661</v>
      </c>
      <c r="K57" s="5">
        <f>liquidity_data[[#This Row],[kf_d]]+liquidity_data[[#This Row],[cf_d]]</f>
        <v>202.36242329189554</v>
      </c>
      <c r="L57" s="5">
        <f>liquidity_data[[#This Row],[TOTAL_M]]-liquidity_data[[#This Row],[TOTAL_D]]</f>
        <v>11999.995874274715</v>
      </c>
      <c r="M57" s="6">
        <f>liquidity_data[[#This Row],[M-D]]/L56-1</f>
        <v>-4.0844053361688282E-7</v>
      </c>
    </row>
    <row r="58" spans="1:13" x14ac:dyDescent="0.25">
      <c r="A58" s="7" t="s">
        <v>146</v>
      </c>
      <c r="B58">
        <v>57</v>
      </c>
      <c r="C58" s="5">
        <v>7440.4439082657336</v>
      </c>
      <c r="D58" s="5">
        <v>68.490595384733751</v>
      </c>
      <c r="E58" s="5">
        <v>1148.6461002156138</v>
      </c>
      <c r="F58" s="5">
        <v>194.61076343827881</v>
      </c>
      <c r="G58" s="5">
        <v>466.64391899108887</v>
      </c>
      <c r="H58" s="5">
        <v>4.721427820622921</v>
      </c>
      <c r="I58">
        <v>3075.11</v>
      </c>
      <c r="J58" s="5">
        <f>liquidity_data[[#This Row],[w_m]]+liquidity_data[[#This Row],[c_m]]+liquidity_data[[#This Row],[cf_m]]+liquidity_data[[#This Row],[kf_m]]+liquidity_data[[#This Row],[equity]]</f>
        <v>12199.334522857171</v>
      </c>
      <c r="K58" s="5">
        <f>liquidity_data[[#This Row],[kf_d]]+liquidity_data[[#This Row],[cf_d]]</f>
        <v>199.33219125890173</v>
      </c>
      <c r="L58" s="5">
        <f>liquidity_data[[#This Row],[TOTAL_M]]-liquidity_data[[#This Row],[TOTAL_D]]</f>
        <v>12000.002331598269</v>
      </c>
      <c r="M58" s="6">
        <f>liquidity_data[[#This Row],[M-D]]/L57-1</f>
        <v>5.3811048128515893E-7</v>
      </c>
    </row>
    <row r="59" spans="1:13" x14ac:dyDescent="0.25">
      <c r="A59" s="7" t="s">
        <v>146</v>
      </c>
      <c r="B59">
        <v>58</v>
      </c>
      <c r="C59" s="5">
        <v>7485.1285941801616</v>
      </c>
      <c r="D59" s="5">
        <v>68.508229494094849</v>
      </c>
      <c r="E59" s="5">
        <v>1115.7460367623717</v>
      </c>
      <c r="F59" s="5">
        <v>196.8353875335888</v>
      </c>
      <c r="G59" s="5">
        <v>468.55940341949463</v>
      </c>
      <c r="H59" s="5">
        <v>4.4853564016520977</v>
      </c>
      <c r="I59">
        <v>3063.38</v>
      </c>
      <c r="J59" s="5">
        <f>liquidity_data[[#This Row],[w_m]]+liquidity_data[[#This Row],[c_m]]+liquidity_data[[#This Row],[cf_m]]+liquidity_data[[#This Row],[kf_m]]+liquidity_data[[#This Row],[equity]]</f>
        <v>12201.322263856124</v>
      </c>
      <c r="K59" s="5">
        <f>liquidity_data[[#This Row],[kf_d]]+liquidity_data[[#This Row],[cf_d]]</f>
        <v>201.3207439352409</v>
      </c>
      <c r="L59" s="5">
        <f>liquidity_data[[#This Row],[TOTAL_M]]-liquidity_data[[#This Row],[TOTAL_D]]</f>
        <v>12000.001519920883</v>
      </c>
      <c r="M59" s="6">
        <f>liquidity_data[[#This Row],[M-D]]/L58-1</f>
        <v>-6.7639769008032147E-8</v>
      </c>
    </row>
    <row r="60" spans="1:13" x14ac:dyDescent="0.25">
      <c r="A60" s="7" t="s">
        <v>146</v>
      </c>
      <c r="B60">
        <v>59</v>
      </c>
      <c r="C60" s="5">
        <v>7521.9611498808372</v>
      </c>
      <c r="D60" s="5">
        <v>71.631122019374743</v>
      </c>
      <c r="E60" s="5">
        <v>1085.1515364416409</v>
      </c>
      <c r="F60" s="5">
        <v>201.21268536924617</v>
      </c>
      <c r="G60" s="5">
        <v>474.62996244430542</v>
      </c>
      <c r="H60" s="5">
        <v>4.2610885892063379</v>
      </c>
      <c r="I60">
        <v>3052.1</v>
      </c>
      <c r="J60" s="5">
        <f>liquidity_data[[#This Row],[w_m]]+liquidity_data[[#This Row],[c_m]]+liquidity_data[[#This Row],[cf_m]]+liquidity_data[[#This Row],[kf_m]]+liquidity_data[[#This Row],[equity]]</f>
        <v>12205.473770786159</v>
      </c>
      <c r="K60" s="5">
        <f>liquidity_data[[#This Row],[kf_d]]+liquidity_data[[#This Row],[cf_d]]</f>
        <v>205.47377395845251</v>
      </c>
      <c r="L60" s="5">
        <f>liquidity_data[[#This Row],[TOTAL_M]]-liquidity_data[[#This Row],[TOTAL_D]]</f>
        <v>11999.999996827706</v>
      </c>
      <c r="M60" s="6">
        <f>liquidity_data[[#This Row],[M-D]]/L59-1</f>
        <v>-1.2692441531125809E-7</v>
      </c>
    </row>
    <row r="61" spans="1:13" x14ac:dyDescent="0.25">
      <c r="A61" s="7" t="s">
        <v>146</v>
      </c>
      <c r="B61">
        <v>60</v>
      </c>
      <c r="C61" s="5">
        <v>7553.7414218243212</v>
      </c>
      <c r="D61" s="5">
        <v>73.766335102729499</v>
      </c>
      <c r="E61" s="5">
        <v>1053.0503804534674</v>
      </c>
      <c r="F61" s="5">
        <v>225.67690435581608</v>
      </c>
      <c r="G61" s="5">
        <v>489.82531499862671</v>
      </c>
      <c r="H61" s="5">
        <v>4.0480341725051403</v>
      </c>
      <c r="I61">
        <v>3059.34</v>
      </c>
      <c r="J61" s="5">
        <f>liquidity_data[[#This Row],[w_m]]+liquidity_data[[#This Row],[c_m]]+liquidity_data[[#This Row],[cf_m]]+liquidity_data[[#This Row],[kf_m]]+liquidity_data[[#This Row],[equity]]</f>
        <v>12229.723452379145</v>
      </c>
      <c r="K61" s="5">
        <f>liquidity_data[[#This Row],[kf_d]]+liquidity_data[[#This Row],[cf_d]]</f>
        <v>229.72493852832122</v>
      </c>
      <c r="L61" s="5">
        <f>liquidity_data[[#This Row],[TOTAL_M]]-liquidity_data[[#This Row],[TOTAL_D]]</f>
        <v>11999.998513850824</v>
      </c>
      <c r="M61" s="6">
        <f>liquidity_data[[#This Row],[M-D]]/L60-1</f>
        <v>-1.2358140688562003E-7</v>
      </c>
    </row>
    <row r="62" spans="1:13" x14ac:dyDescent="0.25">
      <c r="A62" s="7" t="s">
        <v>146</v>
      </c>
      <c r="B62">
        <v>61</v>
      </c>
      <c r="C62" s="5">
        <v>7592.794429782778</v>
      </c>
      <c r="D62" s="5">
        <v>74.114524391130544</v>
      </c>
      <c r="E62" s="5">
        <v>1022.3924783747643</v>
      </c>
      <c r="F62" s="5">
        <v>220.09978272387525</v>
      </c>
      <c r="G62" s="5">
        <v>495.39401149749756</v>
      </c>
      <c r="H62" s="5">
        <v>4.0764677226543427</v>
      </c>
      <c r="I62">
        <v>3039.48</v>
      </c>
      <c r="J62" s="5">
        <f>liquidity_data[[#This Row],[w_m]]+liquidity_data[[#This Row],[c_m]]+liquidity_data[[#This Row],[cf_m]]+liquidity_data[[#This Row],[kf_m]]+liquidity_data[[#This Row],[equity]]</f>
        <v>12224.17544404617</v>
      </c>
      <c r="K62" s="5">
        <f>liquidity_data[[#This Row],[kf_d]]+liquidity_data[[#This Row],[cf_d]]</f>
        <v>224.17625044652959</v>
      </c>
      <c r="L62" s="5">
        <f>liquidity_data[[#This Row],[TOTAL_M]]-liquidity_data[[#This Row],[TOTAL_D]]</f>
        <v>11999.99919359964</v>
      </c>
      <c r="M62" s="6">
        <f>liquidity_data[[#This Row],[M-D]]/L61-1</f>
        <v>5.6645741652872061E-8</v>
      </c>
    </row>
    <row r="63" spans="1:13" x14ac:dyDescent="0.25">
      <c r="A63" s="7" t="s">
        <v>146</v>
      </c>
      <c r="B63">
        <v>62</v>
      </c>
      <c r="C63" s="5">
        <v>7630.7203644607216</v>
      </c>
      <c r="D63" s="5">
        <v>74.514806016115472</v>
      </c>
      <c r="E63" s="5">
        <v>990.47264432907104</v>
      </c>
      <c r="F63" s="5">
        <v>229.81423050718149</v>
      </c>
      <c r="G63" s="5">
        <v>502.09552812576294</v>
      </c>
      <c r="H63" s="5">
        <v>3.872644329443574</v>
      </c>
      <c r="I63">
        <v>3035.88</v>
      </c>
      <c r="J63" s="5">
        <f>liquidity_data[[#This Row],[w_m]]+liquidity_data[[#This Row],[c_m]]+liquidity_data[[#This Row],[cf_m]]+liquidity_data[[#This Row],[kf_m]]+liquidity_data[[#This Row],[equity]]</f>
        <v>12233.683342931672</v>
      </c>
      <c r="K63" s="5">
        <f>liquidity_data[[#This Row],[kf_d]]+liquidity_data[[#This Row],[cf_d]]</f>
        <v>233.68687483662507</v>
      </c>
      <c r="L63" s="5">
        <f>liquidity_data[[#This Row],[TOTAL_M]]-liquidity_data[[#This Row],[TOTAL_D]]</f>
        <v>11999.996468095047</v>
      </c>
      <c r="M63" s="6">
        <f>liquidity_data[[#This Row],[M-D]]/L62-1</f>
        <v>-2.2712539804459198E-7</v>
      </c>
    </row>
    <row r="64" spans="1:13" x14ac:dyDescent="0.25">
      <c r="A64" s="7" t="s">
        <v>146</v>
      </c>
      <c r="B64">
        <v>63</v>
      </c>
      <c r="C64" s="5">
        <v>7664.9804850034416</v>
      </c>
      <c r="D64" s="5">
        <v>74.029625050723553</v>
      </c>
      <c r="E64" s="5">
        <v>972.80125038325787</v>
      </c>
      <c r="F64" s="5">
        <v>222.7327644166071</v>
      </c>
      <c r="G64" s="5">
        <v>500.02855825424194</v>
      </c>
      <c r="H64" s="5">
        <v>3.6790121272206306</v>
      </c>
      <c r="I64">
        <v>3014.57</v>
      </c>
      <c r="J64" s="5">
        <f>liquidity_data[[#This Row],[w_m]]+liquidity_data[[#This Row],[c_m]]+liquidity_data[[#This Row],[cf_m]]+liquidity_data[[#This Row],[kf_m]]+liquidity_data[[#This Row],[equity]]</f>
        <v>12226.409918691665</v>
      </c>
      <c r="K64" s="5">
        <f>liquidity_data[[#This Row],[kf_d]]+liquidity_data[[#This Row],[cf_d]]</f>
        <v>226.41177654382773</v>
      </c>
      <c r="L64" s="5">
        <f>liquidity_data[[#This Row],[TOTAL_M]]-liquidity_data[[#This Row],[TOTAL_D]]</f>
        <v>11999.998142147837</v>
      </c>
      <c r="M64" s="6">
        <f>liquidity_data[[#This Row],[M-D]]/L63-1</f>
        <v>1.3950444022192698E-7</v>
      </c>
    </row>
    <row r="65" spans="1:13" x14ac:dyDescent="0.25">
      <c r="A65" s="7" t="s">
        <v>146</v>
      </c>
      <c r="B65">
        <v>64</v>
      </c>
      <c r="C65" s="5">
        <v>7702.419966426678</v>
      </c>
      <c r="D65" s="5">
        <v>78.093354935757816</v>
      </c>
      <c r="E65" s="5">
        <v>931.22305569797754</v>
      </c>
      <c r="F65" s="5">
        <v>238.09051523168455</v>
      </c>
      <c r="G65" s="5">
        <v>506.84410381317139</v>
      </c>
      <c r="H65" s="5">
        <v>3.4950615186244249</v>
      </c>
      <c r="I65">
        <v>3023.01</v>
      </c>
      <c r="J65" s="5">
        <f>liquidity_data[[#This Row],[w_m]]+liquidity_data[[#This Row],[c_m]]+liquidity_data[[#This Row],[cf_m]]+liquidity_data[[#This Row],[kf_m]]+liquidity_data[[#This Row],[equity]]</f>
        <v>12241.590480873585</v>
      </c>
      <c r="K65" s="5">
        <f>liquidity_data[[#This Row],[kf_d]]+liquidity_data[[#This Row],[cf_d]]</f>
        <v>241.58557675030897</v>
      </c>
      <c r="L65" s="5">
        <f>liquidity_data[[#This Row],[TOTAL_M]]-liquidity_data[[#This Row],[TOTAL_D]]</f>
        <v>12000.004904123276</v>
      </c>
      <c r="M65" s="6">
        <f>liquidity_data[[#This Row],[M-D]]/L64-1</f>
        <v>5.6349804045119356E-7</v>
      </c>
    </row>
    <row r="66" spans="1:13" x14ac:dyDescent="0.25">
      <c r="A66" s="7" t="s">
        <v>146</v>
      </c>
      <c r="B66">
        <v>65</v>
      </c>
      <c r="C66" s="5">
        <v>7735.9019035203382</v>
      </c>
      <c r="D66" s="5">
        <v>78.215370210760739</v>
      </c>
      <c r="E66" s="5">
        <v>906.361332366243</v>
      </c>
      <c r="F66" s="5">
        <v>251.79638979927404</v>
      </c>
      <c r="G66" s="5">
        <v>516.45469570159912</v>
      </c>
      <c r="H66" s="5">
        <v>3.3203083779662848</v>
      </c>
      <c r="I66">
        <v>3018.18</v>
      </c>
      <c r="J66" s="5">
        <f>liquidity_data[[#This Row],[w_m]]+liquidity_data[[#This Row],[c_m]]+liquidity_data[[#This Row],[cf_m]]+liquidity_data[[#This Row],[kf_m]]+liquidity_data[[#This Row],[equity]]</f>
        <v>12255.113301798941</v>
      </c>
      <c r="K66" s="5">
        <f>liquidity_data[[#This Row],[kf_d]]+liquidity_data[[#This Row],[cf_d]]</f>
        <v>255.11669817724032</v>
      </c>
      <c r="L66" s="5">
        <f>liquidity_data[[#This Row],[TOTAL_M]]-liquidity_data[[#This Row],[TOTAL_D]]</f>
        <v>11999.996603621701</v>
      </c>
      <c r="M66" s="6">
        <f>liquidity_data[[#This Row],[M-D]]/L65-1</f>
        <v>-6.9170818184360883E-7</v>
      </c>
    </row>
    <row r="67" spans="1:13" x14ac:dyDescent="0.25">
      <c r="A67" s="7" t="s">
        <v>146</v>
      </c>
      <c r="B67">
        <v>66</v>
      </c>
      <c r="C67" s="5">
        <v>7770.819939785637</v>
      </c>
      <c r="D67" s="5">
        <v>82.682826181058772</v>
      </c>
      <c r="E67" s="5">
        <v>866.54973319172859</v>
      </c>
      <c r="F67" s="5">
        <v>276.60680328225135</v>
      </c>
      <c r="G67" s="5">
        <v>541.91584777832031</v>
      </c>
      <c r="H67" s="5">
        <v>4.0860260706394911</v>
      </c>
      <c r="I67">
        <v>3018.72</v>
      </c>
      <c r="J67" s="5">
        <f>liquidity_data[[#This Row],[w_m]]+liquidity_data[[#This Row],[c_m]]+liquidity_data[[#This Row],[cf_m]]+liquidity_data[[#This Row],[kf_m]]+liquidity_data[[#This Row],[equity]]</f>
        <v>12280.688346936744</v>
      </c>
      <c r="K67" s="5">
        <f>liquidity_data[[#This Row],[kf_d]]+liquidity_data[[#This Row],[cf_d]]</f>
        <v>280.69282935289084</v>
      </c>
      <c r="L67" s="5">
        <f>liquidity_data[[#This Row],[TOTAL_M]]-liquidity_data[[#This Row],[TOTAL_D]]</f>
        <v>11999.995517583853</v>
      </c>
      <c r="M67" s="6">
        <f>liquidity_data[[#This Row],[M-D]]/L66-1</f>
        <v>-9.0503179617229534E-8</v>
      </c>
    </row>
    <row r="68" spans="1:13" x14ac:dyDescent="0.25">
      <c r="A68" s="7" t="s">
        <v>146</v>
      </c>
      <c r="B68">
        <v>67</v>
      </c>
      <c r="C68" s="5">
        <v>7813.8824275084771</v>
      </c>
      <c r="D68" s="5">
        <v>80.788110863650218</v>
      </c>
      <c r="E68" s="5">
        <v>853.13412274420261</v>
      </c>
      <c r="F68" s="5">
        <v>270.01427698138286</v>
      </c>
      <c r="G68" s="5">
        <v>540.95067882537842</v>
      </c>
      <c r="H68" s="5">
        <v>3.8817247785627842</v>
      </c>
      <c r="I68">
        <v>2985.14</v>
      </c>
      <c r="J68" s="5">
        <f>liquidity_data[[#This Row],[w_m]]+liquidity_data[[#This Row],[c_m]]+liquidity_data[[#This Row],[cf_m]]+liquidity_data[[#This Row],[kf_m]]+liquidity_data[[#This Row],[equity]]</f>
        <v>12273.895339941708</v>
      </c>
      <c r="K68" s="5">
        <f>liquidity_data[[#This Row],[kf_d]]+liquidity_data[[#This Row],[cf_d]]</f>
        <v>273.89600175994565</v>
      </c>
      <c r="L68" s="5">
        <f>liquidity_data[[#This Row],[TOTAL_M]]-liquidity_data[[#This Row],[TOTAL_D]]</f>
        <v>11999.999338181762</v>
      </c>
      <c r="M68" s="6">
        <f>liquidity_data[[#This Row],[M-D]]/L67-1</f>
        <v>3.1838327796407384E-7</v>
      </c>
    </row>
    <row r="69" spans="1:13" x14ac:dyDescent="0.25">
      <c r="A69" s="7" t="s">
        <v>146</v>
      </c>
      <c r="B69">
        <v>68</v>
      </c>
      <c r="C69" s="5">
        <v>7852.2229446461424</v>
      </c>
      <c r="D69" s="5">
        <v>81.191401104442775</v>
      </c>
      <c r="E69" s="5">
        <v>816.96760702878237</v>
      </c>
      <c r="F69" s="5">
        <v>271.5927653175313</v>
      </c>
      <c r="G69" s="5">
        <v>550.04247236251831</v>
      </c>
      <c r="H69" s="5">
        <v>3.6876385193318129</v>
      </c>
      <c r="I69">
        <v>2974.86</v>
      </c>
      <c r="J69" s="5">
        <f>liquidity_data[[#This Row],[w_m]]+liquidity_data[[#This Row],[c_m]]+liquidity_data[[#This Row],[cf_m]]+liquidity_data[[#This Row],[kf_m]]+liquidity_data[[#This Row],[equity]]</f>
        <v>12275.284425141886</v>
      </c>
      <c r="K69" s="5">
        <f>liquidity_data[[#This Row],[kf_d]]+liquidity_data[[#This Row],[cf_d]]</f>
        <v>275.28040383686312</v>
      </c>
      <c r="L69" s="5">
        <f>liquidity_data[[#This Row],[TOTAL_M]]-liquidity_data[[#This Row],[TOTAL_D]]</f>
        <v>12000.004021305023</v>
      </c>
      <c r="M69" s="6">
        <f>liquidity_data[[#This Row],[M-D]]/L68-1</f>
        <v>3.9026029319266797E-7</v>
      </c>
    </row>
    <row r="70" spans="1:13" x14ac:dyDescent="0.25">
      <c r="A70" s="7" t="s">
        <v>146</v>
      </c>
      <c r="B70">
        <v>69</v>
      </c>
      <c r="C70" s="5">
        <v>7884.2568388214568</v>
      </c>
      <c r="D70" s="5">
        <v>83.461891531944275</v>
      </c>
      <c r="E70" s="5">
        <v>791.02364938240498</v>
      </c>
      <c r="F70" s="5">
        <v>278.44021130743204</v>
      </c>
      <c r="G70" s="5">
        <v>571.12178087234497</v>
      </c>
      <c r="H70" s="5">
        <v>3.5032565668225288</v>
      </c>
      <c r="I70">
        <v>2952.08</v>
      </c>
      <c r="J70" s="5">
        <f>liquidity_data[[#This Row],[w_m]]+liquidity_data[[#This Row],[c_m]]+liquidity_data[[#This Row],[cf_m]]+liquidity_data[[#This Row],[kf_m]]+liquidity_data[[#This Row],[equity]]</f>
        <v>12281.944160608151</v>
      </c>
      <c r="K70" s="5">
        <f>liquidity_data[[#This Row],[kf_d]]+liquidity_data[[#This Row],[cf_d]]</f>
        <v>281.94346787425457</v>
      </c>
      <c r="L70" s="5">
        <f>liquidity_data[[#This Row],[TOTAL_M]]-liquidity_data[[#This Row],[TOTAL_D]]</f>
        <v>12000.000692733896</v>
      </c>
      <c r="M70" s="6">
        <f>liquidity_data[[#This Row],[M-D]]/L69-1</f>
        <v>-2.773808343015105E-7</v>
      </c>
    </row>
    <row r="71" spans="1:13" x14ac:dyDescent="0.25">
      <c r="A71" s="7" t="s">
        <v>146</v>
      </c>
      <c r="B71">
        <v>70</v>
      </c>
      <c r="C71" s="5">
        <v>7917.3178906170651</v>
      </c>
      <c r="D71" s="5">
        <v>81.621354185394011</v>
      </c>
      <c r="E71" s="5">
        <v>767.74245544476435</v>
      </c>
      <c r="F71" s="5">
        <v>291.95001711972873</v>
      </c>
      <c r="G71" s="5">
        <v>576.80442476272583</v>
      </c>
      <c r="H71" s="5">
        <v>3.3280938472598791</v>
      </c>
      <c r="I71">
        <v>2951.79</v>
      </c>
      <c r="J71" s="5">
        <f>liquidity_data[[#This Row],[w_m]]+liquidity_data[[#This Row],[c_m]]+liquidity_data[[#This Row],[cf_m]]+liquidity_data[[#This Row],[kf_m]]+liquidity_data[[#This Row],[equity]]</f>
        <v>12295.27612500995</v>
      </c>
      <c r="K71" s="5">
        <f>liquidity_data[[#This Row],[kf_d]]+liquidity_data[[#This Row],[cf_d]]</f>
        <v>295.27811096698861</v>
      </c>
      <c r="L71" s="5">
        <f>liquidity_data[[#This Row],[TOTAL_M]]-liquidity_data[[#This Row],[TOTAL_D]]</f>
        <v>11999.998014042962</v>
      </c>
      <c r="M71" s="6">
        <f>liquidity_data[[#This Row],[M-D]]/L70-1</f>
        <v>-2.2322423165466176E-7</v>
      </c>
    </row>
    <row r="72" spans="1:13" x14ac:dyDescent="0.25">
      <c r="A72" s="7" t="s">
        <v>146</v>
      </c>
      <c r="B72">
        <v>71</v>
      </c>
      <c r="C72" s="5">
        <v>7950.4954891074449</v>
      </c>
      <c r="D72" s="5">
        <v>80.802042225725017</v>
      </c>
      <c r="E72" s="5">
        <v>740.23879193887115</v>
      </c>
      <c r="F72" s="5">
        <v>310.85014921260881</v>
      </c>
      <c r="G72" s="5">
        <v>590.24051809310913</v>
      </c>
      <c r="H72" s="5">
        <v>3.1616890430450439</v>
      </c>
      <c r="I72">
        <v>2952.24</v>
      </c>
      <c r="J72" s="5">
        <f>liquidity_data[[#This Row],[w_m]]+liquidity_data[[#This Row],[c_m]]+liquidity_data[[#This Row],[cf_m]]+liquidity_data[[#This Row],[kf_m]]+liquidity_data[[#This Row],[equity]]</f>
        <v>12314.01684136515</v>
      </c>
      <c r="K72" s="5">
        <f>liquidity_data[[#This Row],[kf_d]]+liquidity_data[[#This Row],[cf_d]]</f>
        <v>314.01183825565386</v>
      </c>
      <c r="L72" s="5">
        <f>liquidity_data[[#This Row],[TOTAL_M]]-liquidity_data[[#This Row],[TOTAL_D]]</f>
        <v>12000.005003109496</v>
      </c>
      <c r="M72" s="6">
        <f>liquidity_data[[#This Row],[M-D]]/L71-1</f>
        <v>5.8242230749350199E-7</v>
      </c>
    </row>
    <row r="73" spans="1:13" x14ac:dyDescent="0.25">
      <c r="A73" s="7" t="s">
        <v>146</v>
      </c>
      <c r="B73">
        <v>72</v>
      </c>
      <c r="C73" s="5">
        <v>7983.2874257588992</v>
      </c>
      <c r="D73" s="5">
        <v>82.059308785421308</v>
      </c>
      <c r="E73" s="5">
        <v>733.12465660460293</v>
      </c>
      <c r="F73" s="5">
        <v>310.49508046815754</v>
      </c>
      <c r="G73" s="5">
        <v>601.94075918197632</v>
      </c>
      <c r="H73" s="5">
        <v>3.0036046486347914</v>
      </c>
      <c r="I73">
        <v>2913.09</v>
      </c>
      <c r="J73" s="5">
        <f>liquidity_data[[#This Row],[w_m]]+liquidity_data[[#This Row],[c_m]]+liquidity_data[[#This Row],[cf_m]]+liquidity_data[[#This Row],[kf_m]]+liquidity_data[[#This Row],[equity]]</f>
        <v>12313.5021503309</v>
      </c>
      <c r="K73" s="5">
        <f>liquidity_data[[#This Row],[kf_d]]+liquidity_data[[#This Row],[cf_d]]</f>
        <v>313.49868511679233</v>
      </c>
      <c r="L73" s="5">
        <f>liquidity_data[[#This Row],[TOTAL_M]]-liquidity_data[[#This Row],[TOTAL_D]]</f>
        <v>12000.003465214108</v>
      </c>
      <c r="M73" s="6">
        <f>liquidity_data[[#This Row],[M-D]]/L72-1</f>
        <v>-1.2815789562914404E-7</v>
      </c>
    </row>
    <row r="74" spans="1:13" x14ac:dyDescent="0.25">
      <c r="A74" s="7" t="s">
        <v>146</v>
      </c>
      <c r="B74">
        <v>73</v>
      </c>
      <c r="C74" s="5">
        <v>8019.3706793222809</v>
      </c>
      <c r="D74" s="5">
        <v>85.001276844675886</v>
      </c>
      <c r="E74" s="5">
        <v>703.40405479073524</v>
      </c>
      <c r="F74" s="5">
        <v>309.44748846278526</v>
      </c>
      <c r="G74" s="5">
        <v>614.86857318878174</v>
      </c>
      <c r="H74" s="5">
        <v>2.8534244364127517</v>
      </c>
      <c r="I74">
        <v>2889.66</v>
      </c>
      <c r="J74" s="5">
        <f>liquidity_data[[#This Row],[w_m]]+liquidity_data[[#This Row],[c_m]]+liquidity_data[[#This Row],[cf_m]]+liquidity_data[[#This Row],[kf_m]]+liquidity_data[[#This Row],[equity]]</f>
        <v>12312.304584146474</v>
      </c>
      <c r="K74" s="5">
        <f>liquidity_data[[#This Row],[kf_d]]+liquidity_data[[#This Row],[cf_d]]</f>
        <v>312.30091289919801</v>
      </c>
      <c r="L74" s="5">
        <f>liquidity_data[[#This Row],[TOTAL_M]]-liquidity_data[[#This Row],[TOTAL_D]]</f>
        <v>12000.003671247276</v>
      </c>
      <c r="M74" s="6">
        <f>liquidity_data[[#This Row],[M-D]]/L73-1</f>
        <v>1.7169425658991599E-8</v>
      </c>
    </row>
    <row r="75" spans="1:13" x14ac:dyDescent="0.25">
      <c r="A75" s="7" t="s">
        <v>146</v>
      </c>
      <c r="B75">
        <v>74</v>
      </c>
      <c r="C75" s="5">
        <v>8056.3908720283071</v>
      </c>
      <c r="D75" s="5">
        <v>89.302275199443102</v>
      </c>
      <c r="E75" s="5">
        <v>674.83557377569377</v>
      </c>
      <c r="F75" s="5">
        <v>347.63435286012827</v>
      </c>
      <c r="G75" s="5">
        <v>633.61942386627197</v>
      </c>
      <c r="H75" s="5">
        <v>2.7107531921938062</v>
      </c>
      <c r="I75">
        <v>2896.2</v>
      </c>
      <c r="J75" s="5">
        <f>liquidity_data[[#This Row],[w_m]]+liquidity_data[[#This Row],[c_m]]+liquidity_data[[#This Row],[cf_m]]+liquidity_data[[#This Row],[kf_m]]+liquidity_data[[#This Row],[equity]]</f>
        <v>12350.348144869717</v>
      </c>
      <c r="K75" s="5">
        <f>liquidity_data[[#This Row],[kf_d]]+liquidity_data[[#This Row],[cf_d]]</f>
        <v>350.34510605232208</v>
      </c>
      <c r="L75" s="5">
        <f>liquidity_data[[#This Row],[TOTAL_M]]-liquidity_data[[#This Row],[TOTAL_D]]</f>
        <v>12000.003038817395</v>
      </c>
      <c r="M75" s="6">
        <f>liquidity_data[[#This Row],[M-D]]/L74-1</f>
        <v>-5.2702473940513528E-8</v>
      </c>
    </row>
    <row r="76" spans="1:13" x14ac:dyDescent="0.25">
      <c r="A76" s="7" t="s">
        <v>146</v>
      </c>
      <c r="B76">
        <v>75</v>
      </c>
      <c r="C76" s="5">
        <v>8098.305115303956</v>
      </c>
      <c r="D76" s="5">
        <v>87.56946557489573</v>
      </c>
      <c r="E76" s="5">
        <v>665.35790664236993</v>
      </c>
      <c r="F76" s="5">
        <v>331.48463850884582</v>
      </c>
      <c r="G76" s="5">
        <v>633.37548875808716</v>
      </c>
      <c r="H76" s="5">
        <v>2.5752155585214496</v>
      </c>
      <c r="I76">
        <v>2849.45</v>
      </c>
      <c r="J76" s="5">
        <f>liquidity_data[[#This Row],[w_m]]+liquidity_data[[#This Row],[c_m]]+liquidity_data[[#This Row],[cf_m]]+liquidity_data[[#This Row],[kf_m]]+liquidity_data[[#This Row],[equity]]</f>
        <v>12334.05797627931</v>
      </c>
      <c r="K76" s="5">
        <f>liquidity_data[[#This Row],[kf_d]]+liquidity_data[[#This Row],[cf_d]]</f>
        <v>334.05985406736727</v>
      </c>
      <c r="L76" s="5">
        <f>liquidity_data[[#This Row],[TOTAL_M]]-liquidity_data[[#This Row],[TOTAL_D]]</f>
        <v>11999.998122211942</v>
      </c>
      <c r="M76" s="6">
        <f>liquidity_data[[#This Row],[M-D]]/L75-1</f>
        <v>-4.097170173134046E-7</v>
      </c>
    </row>
    <row r="77" spans="1:13" x14ac:dyDescent="0.25">
      <c r="A77" s="7" t="s">
        <v>146</v>
      </c>
      <c r="B77">
        <v>76</v>
      </c>
      <c r="C77" s="5">
        <v>8128.2766032963991</v>
      </c>
      <c r="D77" s="5">
        <v>85.591076283424627</v>
      </c>
      <c r="E77" s="5">
        <v>648.79939818009734</v>
      </c>
      <c r="F77" s="5">
        <v>336.74064249735966</v>
      </c>
      <c r="G77" s="5">
        <v>646.11238527297974</v>
      </c>
      <c r="H77" s="5">
        <v>2.4464547010138631</v>
      </c>
      <c r="I77">
        <v>2830.41</v>
      </c>
      <c r="J77" s="5">
        <f>liquidity_data[[#This Row],[w_m]]+liquidity_data[[#This Row],[c_m]]+liquidity_data[[#This Row],[cf_m]]+liquidity_data[[#This Row],[kf_m]]+liquidity_data[[#This Row],[equity]]</f>
        <v>12339.189463032901</v>
      </c>
      <c r="K77" s="5">
        <f>liquidity_data[[#This Row],[kf_d]]+liquidity_data[[#This Row],[cf_d]]</f>
        <v>339.18709719837352</v>
      </c>
      <c r="L77" s="5">
        <f>liquidity_data[[#This Row],[TOTAL_M]]-liquidity_data[[#This Row],[TOTAL_D]]</f>
        <v>12000.002365834527</v>
      </c>
      <c r="M77" s="6">
        <f>liquidity_data[[#This Row],[M-D]]/L76-1</f>
        <v>3.5363527084442126E-7</v>
      </c>
    </row>
    <row r="78" spans="1:13" x14ac:dyDescent="0.25">
      <c r="A78" s="7" t="s">
        <v>146</v>
      </c>
      <c r="B78">
        <v>77</v>
      </c>
      <c r="C78" s="5">
        <v>8157.1627329038456</v>
      </c>
      <c r="D78" s="5">
        <v>87.7132519306615</v>
      </c>
      <c r="E78" s="5">
        <v>632.16734841000289</v>
      </c>
      <c r="F78" s="5">
        <v>348.73635522648692</v>
      </c>
      <c r="G78" s="5">
        <v>663.02727890014648</v>
      </c>
      <c r="H78" s="5">
        <v>2.3241319796070457</v>
      </c>
      <c r="I78">
        <v>2810.99</v>
      </c>
      <c r="J78" s="5">
        <f>liquidity_data[[#This Row],[w_m]]+liquidity_data[[#This Row],[c_m]]+liquidity_data[[#This Row],[cf_m]]+liquidity_data[[#This Row],[kf_m]]+liquidity_data[[#This Row],[equity]]</f>
        <v>12351.060612144656</v>
      </c>
      <c r="K78" s="5">
        <f>liquidity_data[[#This Row],[kf_d]]+liquidity_data[[#This Row],[cf_d]]</f>
        <v>351.06048720609397</v>
      </c>
      <c r="L78" s="5">
        <f>liquidity_data[[#This Row],[TOTAL_M]]-liquidity_data[[#This Row],[TOTAL_D]]</f>
        <v>12000.000124938562</v>
      </c>
      <c r="M78" s="6">
        <f>liquidity_data[[#This Row],[M-D]]/L77-1</f>
        <v>-1.8674129353968283E-7</v>
      </c>
    </row>
    <row r="79" spans="1:13" x14ac:dyDescent="0.25">
      <c r="A79" s="7" t="s">
        <v>146</v>
      </c>
      <c r="B79">
        <v>78</v>
      </c>
      <c r="C79" s="5">
        <v>8188.1096295118332</v>
      </c>
      <c r="D79" s="5">
        <v>86.673627272248268</v>
      </c>
      <c r="E79" s="5">
        <v>612.94904610933736</v>
      </c>
      <c r="F79" s="5">
        <v>344.12540601938963</v>
      </c>
      <c r="G79" s="5">
        <v>676.68399238586426</v>
      </c>
      <c r="H79" s="5">
        <v>2.2079254118725657</v>
      </c>
      <c r="I79">
        <v>2781.92</v>
      </c>
      <c r="J79" s="5">
        <f>liquidity_data[[#This Row],[w_m]]+liquidity_data[[#This Row],[c_m]]+liquidity_data[[#This Row],[cf_m]]+liquidity_data[[#This Row],[kf_m]]+liquidity_data[[#This Row],[equity]]</f>
        <v>12346.336295279283</v>
      </c>
      <c r="K79" s="5">
        <f>liquidity_data[[#This Row],[kf_d]]+liquidity_data[[#This Row],[cf_d]]</f>
        <v>346.3333314312622</v>
      </c>
      <c r="L79" s="5">
        <f>liquidity_data[[#This Row],[TOTAL_M]]-liquidity_data[[#This Row],[TOTAL_D]]</f>
        <v>12000.002963848021</v>
      </c>
      <c r="M79" s="6">
        <f>liquidity_data[[#This Row],[M-D]]/L78-1</f>
        <v>2.3657578585023487E-7</v>
      </c>
    </row>
    <row r="80" spans="1:13" x14ac:dyDescent="0.25">
      <c r="A80" s="7" t="s">
        <v>146</v>
      </c>
      <c r="B80">
        <v>79</v>
      </c>
      <c r="C80" s="5">
        <v>8217.8847390946466</v>
      </c>
      <c r="D80" s="5">
        <v>86.154946215450764</v>
      </c>
      <c r="E80" s="5">
        <v>590.9095849795267</v>
      </c>
      <c r="F80" s="5">
        <v>360.5176057703793</v>
      </c>
      <c r="G80" s="5">
        <v>693.95046520233154</v>
      </c>
      <c r="H80" s="5">
        <v>2.0975291589275002</v>
      </c>
      <c r="I80">
        <v>2773.72</v>
      </c>
      <c r="J80" s="5">
        <f>liquidity_data[[#This Row],[w_m]]+liquidity_data[[#This Row],[c_m]]+liquidity_data[[#This Row],[cf_m]]+liquidity_data[[#This Row],[kf_m]]+liquidity_data[[#This Row],[equity]]</f>
        <v>12362.619735491955</v>
      </c>
      <c r="K80" s="5">
        <f>liquidity_data[[#This Row],[kf_d]]+liquidity_data[[#This Row],[cf_d]]</f>
        <v>362.61513492930681</v>
      </c>
      <c r="L80" s="5">
        <f>liquidity_data[[#This Row],[TOTAL_M]]-liquidity_data[[#This Row],[TOTAL_D]]</f>
        <v>12000.004600562648</v>
      </c>
      <c r="M80" s="6">
        <f>liquidity_data[[#This Row],[M-D]]/L79-1</f>
        <v>1.3639285190159001E-7</v>
      </c>
    </row>
    <row r="81" spans="1:13" x14ac:dyDescent="0.25">
      <c r="A81" s="7" t="s">
        <v>146</v>
      </c>
      <c r="B81">
        <v>80</v>
      </c>
      <c r="C81" s="5">
        <v>8247.1044620009488</v>
      </c>
      <c r="D81" s="5">
        <v>86.482720786705613</v>
      </c>
      <c r="E81" s="5">
        <v>579.21330887475051</v>
      </c>
      <c r="F81" s="5">
        <v>370.31699166819453</v>
      </c>
      <c r="G81" s="5">
        <v>709.39160251617432</v>
      </c>
      <c r="H81" s="5">
        <v>1.9926527207717299</v>
      </c>
      <c r="I81">
        <v>2750.12</v>
      </c>
      <c r="J81" s="5">
        <f>liquidity_data[[#This Row],[w_m]]+liquidity_data[[#This Row],[c_m]]+liquidity_data[[#This Row],[cf_m]]+liquidity_data[[#This Row],[kf_m]]+liquidity_data[[#This Row],[equity]]</f>
        <v>12372.312094178578</v>
      </c>
      <c r="K81" s="5">
        <f>liquidity_data[[#This Row],[kf_d]]+liquidity_data[[#This Row],[cf_d]]</f>
        <v>372.30964438896626</v>
      </c>
      <c r="L81" s="5">
        <f>liquidity_data[[#This Row],[TOTAL_M]]-liquidity_data[[#This Row],[TOTAL_D]]</f>
        <v>12000.002449789612</v>
      </c>
      <c r="M81" s="6">
        <f>liquidity_data[[#This Row],[M-D]]/L80-1</f>
        <v>-1.7923101758299254E-7</v>
      </c>
    </row>
    <row r="82" spans="1:13" x14ac:dyDescent="0.25">
      <c r="A82" s="7" t="s">
        <v>146</v>
      </c>
      <c r="B82">
        <v>81</v>
      </c>
      <c r="C82" s="5">
        <v>8292.300321681425</v>
      </c>
      <c r="D82" s="5">
        <v>87.154837289825082</v>
      </c>
      <c r="E82" s="5">
        <v>555.12142834812403</v>
      </c>
      <c r="F82" s="5">
        <v>392.53510952182114</v>
      </c>
      <c r="G82" s="5">
        <v>725.92452049255371</v>
      </c>
      <c r="H82" s="5">
        <v>1.8930200701579452</v>
      </c>
      <c r="I82">
        <v>2733.93</v>
      </c>
      <c r="J82" s="5">
        <f>liquidity_data[[#This Row],[w_m]]+liquidity_data[[#This Row],[c_m]]+liquidity_data[[#This Row],[cf_m]]+liquidity_data[[#This Row],[kf_m]]+liquidity_data[[#This Row],[equity]]</f>
        <v>12394.431107811928</v>
      </c>
      <c r="K82" s="5">
        <f>liquidity_data[[#This Row],[kf_d]]+liquidity_data[[#This Row],[cf_d]]</f>
        <v>394.42812959197909</v>
      </c>
      <c r="L82" s="5">
        <f>liquidity_data[[#This Row],[TOTAL_M]]-liquidity_data[[#This Row],[TOTAL_D]]</f>
        <v>12000.002978219949</v>
      </c>
      <c r="M82" s="6">
        <f>liquidity_data[[#This Row],[M-D]]/L81-1</f>
        <v>4.4035852519996865E-8</v>
      </c>
    </row>
    <row r="83" spans="1:13" x14ac:dyDescent="0.25">
      <c r="A83" s="7" t="s">
        <v>146</v>
      </c>
      <c r="B83">
        <v>82</v>
      </c>
      <c r="C83" s="5">
        <v>8333.4843537644483</v>
      </c>
      <c r="D83" s="5">
        <v>90.313053917139769</v>
      </c>
      <c r="E83" s="5">
        <v>537.36478723492473</v>
      </c>
      <c r="F83" s="5">
        <v>372.94625790044665</v>
      </c>
      <c r="G83" s="5">
        <v>741.18114948272705</v>
      </c>
      <c r="H83" s="5">
        <v>1.7983690379187465</v>
      </c>
      <c r="I83">
        <v>2672.4</v>
      </c>
      <c r="J83" s="5">
        <f>liquidity_data[[#This Row],[w_m]]+liquidity_data[[#This Row],[c_m]]+liquidity_data[[#This Row],[cf_m]]+liquidity_data[[#This Row],[kf_m]]+liquidity_data[[#This Row],[equity]]</f>
        <v>12374.74334439924</v>
      </c>
      <c r="K83" s="5">
        <f>liquidity_data[[#This Row],[kf_d]]+liquidity_data[[#This Row],[cf_d]]</f>
        <v>374.7446269383654</v>
      </c>
      <c r="L83" s="5">
        <f>liquidity_data[[#This Row],[TOTAL_M]]-liquidity_data[[#This Row],[TOTAL_D]]</f>
        <v>11999.998717460874</v>
      </c>
      <c r="M83" s="6">
        <f>liquidity_data[[#This Row],[M-D]]/L82-1</f>
        <v>-3.5506316808930904E-7</v>
      </c>
    </row>
    <row r="84" spans="1:13" x14ac:dyDescent="0.25">
      <c r="A84" s="7" t="s">
        <v>146</v>
      </c>
      <c r="B84">
        <v>83</v>
      </c>
      <c r="C84" s="5">
        <v>8373.5036913645454</v>
      </c>
      <c r="D84" s="5">
        <v>92.302683889865875</v>
      </c>
      <c r="E84" s="5">
        <v>523.66972711961716</v>
      </c>
      <c r="F84" s="5">
        <v>351.00120894983411</v>
      </c>
      <c r="G84" s="5">
        <v>742.69188117980957</v>
      </c>
      <c r="H84" s="5">
        <v>1.7084506014361978</v>
      </c>
      <c r="I84">
        <v>2620.54</v>
      </c>
      <c r="J84" s="5">
        <f>liquidity_data[[#This Row],[w_m]]+liquidity_data[[#This Row],[c_m]]+liquidity_data[[#This Row],[cf_m]]+liquidity_data[[#This Row],[kf_m]]+liquidity_data[[#This Row],[equity]]</f>
        <v>12352.707983553839</v>
      </c>
      <c r="K84" s="5">
        <f>liquidity_data[[#This Row],[kf_d]]+liquidity_data[[#This Row],[cf_d]]</f>
        <v>352.70965955127031</v>
      </c>
      <c r="L84" s="5">
        <f>liquidity_data[[#This Row],[TOTAL_M]]-liquidity_data[[#This Row],[TOTAL_D]]</f>
        <v>11999.998324002569</v>
      </c>
      <c r="M84" s="6">
        <f>liquidity_data[[#This Row],[M-D]]/L83-1</f>
        <v>-3.2788195603039583E-8</v>
      </c>
    </row>
    <row r="85" spans="1:13" x14ac:dyDescent="0.25">
      <c r="A85" s="7" t="s">
        <v>146</v>
      </c>
      <c r="B85">
        <v>84</v>
      </c>
      <c r="C85" s="5">
        <v>8399.5467456648184</v>
      </c>
      <c r="D85" s="5">
        <v>102.83039995282888</v>
      </c>
      <c r="E85" s="5">
        <v>481.35938964784145</v>
      </c>
      <c r="F85" s="5">
        <v>395.41276446729898</v>
      </c>
      <c r="G85" s="5">
        <v>777.64024925231934</v>
      </c>
      <c r="H85" s="5">
        <v>1.6230280874297023</v>
      </c>
      <c r="I85">
        <v>2635.66</v>
      </c>
      <c r="J85" s="5">
        <f>liquidity_data[[#This Row],[w_m]]+liquidity_data[[#This Row],[c_m]]+liquidity_data[[#This Row],[cf_m]]+liquidity_data[[#This Row],[kf_m]]+liquidity_data[[#This Row],[equity]]</f>
        <v>12397.036784517808</v>
      </c>
      <c r="K85" s="5">
        <f>liquidity_data[[#This Row],[kf_d]]+liquidity_data[[#This Row],[cf_d]]</f>
        <v>397.03579255472869</v>
      </c>
      <c r="L85" s="5">
        <f>liquidity_data[[#This Row],[TOTAL_M]]-liquidity_data[[#This Row],[TOTAL_D]]</f>
        <v>12000.000991963079</v>
      </c>
      <c r="M85" s="6">
        <f>liquidity_data[[#This Row],[M-D]]/L84-1</f>
        <v>2.2233007368477331E-7</v>
      </c>
    </row>
    <row r="86" spans="1:13" x14ac:dyDescent="0.25">
      <c r="A86" s="7" t="s">
        <v>146</v>
      </c>
      <c r="B86">
        <v>85</v>
      </c>
      <c r="C86" s="5">
        <v>8431.3618361135013</v>
      </c>
      <c r="D86" s="5">
        <v>100.31227053329349</v>
      </c>
      <c r="E86" s="5">
        <v>482.42066370509565</v>
      </c>
      <c r="F86" s="5">
        <v>410.66369808278978</v>
      </c>
      <c r="G86" s="5">
        <v>800.81710338592529</v>
      </c>
      <c r="H86" s="5">
        <v>1.5418766494840384</v>
      </c>
      <c r="I86">
        <v>2597.29</v>
      </c>
      <c r="J86" s="5">
        <f>liquidity_data[[#This Row],[w_m]]+liquidity_data[[#This Row],[c_m]]+liquidity_data[[#This Row],[cf_m]]+liquidity_data[[#This Row],[kf_m]]+liquidity_data[[#This Row],[equity]]</f>
        <v>12412.201873737817</v>
      </c>
      <c r="K86" s="5">
        <f>liquidity_data[[#This Row],[kf_d]]+liquidity_data[[#This Row],[cf_d]]</f>
        <v>412.20557473227382</v>
      </c>
      <c r="L86" s="5">
        <f>liquidity_data[[#This Row],[TOTAL_M]]-liquidity_data[[#This Row],[TOTAL_D]]</f>
        <v>11999.996299005543</v>
      </c>
      <c r="M86" s="6">
        <f>liquidity_data[[#This Row],[M-D]]/L85-1</f>
        <v>-3.910797623518647E-7</v>
      </c>
    </row>
    <row r="87" spans="1:13" x14ac:dyDescent="0.25">
      <c r="A87" s="7" t="s">
        <v>146</v>
      </c>
      <c r="B87">
        <v>86</v>
      </c>
      <c r="C87" s="5">
        <v>8469.1727439798415</v>
      </c>
      <c r="D87" s="5">
        <v>95.654396388679743</v>
      </c>
      <c r="E87" s="5">
        <v>469.56374263949692</v>
      </c>
      <c r="F87" s="5">
        <v>390.06574555113912</v>
      </c>
      <c r="G87" s="5">
        <v>804.28235244750977</v>
      </c>
      <c r="H87" s="5">
        <v>1.4647828293964267</v>
      </c>
      <c r="I87">
        <v>2552.86</v>
      </c>
      <c r="J87" s="5">
        <f>liquidity_data[[#This Row],[w_m]]+liquidity_data[[#This Row],[c_m]]+liquidity_data[[#This Row],[cf_m]]+liquidity_data[[#This Row],[kf_m]]+liquidity_data[[#This Row],[equity]]</f>
        <v>12391.533235455528</v>
      </c>
      <c r="K87" s="5">
        <f>liquidity_data[[#This Row],[kf_d]]+liquidity_data[[#This Row],[cf_d]]</f>
        <v>391.53052838053554</v>
      </c>
      <c r="L87" s="5">
        <f>liquidity_data[[#This Row],[TOTAL_M]]-liquidity_data[[#This Row],[TOTAL_D]]</f>
        <v>12000.002707074993</v>
      </c>
      <c r="M87" s="6">
        <f>liquidity_data[[#This Row],[M-D]]/L86-1</f>
        <v>5.3400595212416135E-7</v>
      </c>
    </row>
    <row r="88" spans="1:13" x14ac:dyDescent="0.25">
      <c r="A88" s="7" t="s">
        <v>146</v>
      </c>
      <c r="B88">
        <v>87</v>
      </c>
      <c r="C88" s="5">
        <v>8503.1425633278122</v>
      </c>
      <c r="D88" s="5">
        <v>97.776127255987376</v>
      </c>
      <c r="E88" s="5">
        <v>443.42721582576632</v>
      </c>
      <c r="F88" s="5">
        <v>398.77855227328837</v>
      </c>
      <c r="G88" s="5">
        <v>822.77548313140869</v>
      </c>
      <c r="H88" s="5">
        <v>1.3915436761453748</v>
      </c>
      <c r="I88">
        <v>2533.0500000000002</v>
      </c>
      <c r="J88" s="5">
        <f>liquidity_data[[#This Row],[w_m]]+liquidity_data[[#This Row],[c_m]]+liquidity_data[[#This Row],[cf_m]]+liquidity_data[[#This Row],[kf_m]]+liquidity_data[[#This Row],[equity]]</f>
        <v>12400.171389540974</v>
      </c>
      <c r="K88" s="5">
        <f>liquidity_data[[#This Row],[kf_d]]+liquidity_data[[#This Row],[cf_d]]</f>
        <v>400.17009594943374</v>
      </c>
      <c r="L88" s="5">
        <f>liquidity_data[[#This Row],[TOTAL_M]]-liquidity_data[[#This Row],[TOTAL_D]]</f>
        <v>12000.00129359154</v>
      </c>
      <c r="M88" s="6">
        <f>liquidity_data[[#This Row],[M-D]]/L87-1</f>
        <v>-1.1779026121150338E-7</v>
      </c>
    </row>
    <row r="89" spans="1:13" x14ac:dyDescent="0.25">
      <c r="A89" s="7" t="s">
        <v>146</v>
      </c>
      <c r="B89">
        <v>88</v>
      </c>
      <c r="C89" s="5">
        <v>8533.5704259794584</v>
      </c>
      <c r="D89" s="5">
        <v>100.6207758836681</v>
      </c>
      <c r="E89" s="5">
        <v>421.79386636987329</v>
      </c>
      <c r="F89" s="5">
        <v>405.907002273947</v>
      </c>
      <c r="G89" s="5">
        <v>845.72855567932129</v>
      </c>
      <c r="H89" s="5">
        <v>1.3219665321521461</v>
      </c>
      <c r="I89">
        <v>2505.52</v>
      </c>
      <c r="J89" s="5">
        <f>liquidity_data[[#This Row],[w_m]]+liquidity_data[[#This Row],[c_m]]+liquidity_data[[#This Row],[cf_m]]+liquidity_data[[#This Row],[kf_m]]+liquidity_data[[#This Row],[equity]]</f>
        <v>12407.233623912321</v>
      </c>
      <c r="K89" s="5">
        <f>liquidity_data[[#This Row],[kf_d]]+liquidity_data[[#This Row],[cf_d]]</f>
        <v>407.22896880609915</v>
      </c>
      <c r="L89" s="5">
        <f>liquidity_data[[#This Row],[TOTAL_M]]-liquidity_data[[#This Row],[TOTAL_D]]</f>
        <v>12000.004655106222</v>
      </c>
      <c r="M89" s="6">
        <f>liquidity_data[[#This Row],[M-D]]/L88-1</f>
        <v>2.8012619335271438E-7</v>
      </c>
    </row>
    <row r="90" spans="1:13" x14ac:dyDescent="0.25">
      <c r="A90" s="7" t="s">
        <v>146</v>
      </c>
      <c r="B90">
        <v>89</v>
      </c>
      <c r="C90" s="5">
        <v>8563.1449912738753</v>
      </c>
      <c r="D90" s="5">
        <v>98.650474566966295</v>
      </c>
      <c r="E90" s="5">
        <v>421.58374739345163</v>
      </c>
      <c r="F90" s="5">
        <v>418.52093720808625</v>
      </c>
      <c r="G90" s="5">
        <v>865.27654075622559</v>
      </c>
      <c r="H90" s="5">
        <v>1.2558681797236204</v>
      </c>
      <c r="I90">
        <v>2471.12</v>
      </c>
      <c r="J90" s="5">
        <f>liquidity_data[[#This Row],[w_m]]+liquidity_data[[#This Row],[c_m]]+liquidity_data[[#This Row],[cf_m]]+liquidity_data[[#This Row],[kf_m]]+liquidity_data[[#This Row],[equity]]</f>
        <v>12419.775753990518</v>
      </c>
      <c r="K90" s="5">
        <f>liquidity_data[[#This Row],[kf_d]]+liquidity_data[[#This Row],[cf_d]]</f>
        <v>419.77680538780987</v>
      </c>
      <c r="L90" s="5">
        <f>liquidity_data[[#This Row],[TOTAL_M]]-liquidity_data[[#This Row],[TOTAL_D]]</f>
        <v>11999.998948602708</v>
      </c>
      <c r="M90" s="6">
        <f>liquidity_data[[#This Row],[M-D]]/L89-1</f>
        <v>-4.7554177506903272E-7</v>
      </c>
    </row>
    <row r="91" spans="1:13" x14ac:dyDescent="0.25">
      <c r="A91" s="7" t="s">
        <v>146</v>
      </c>
      <c r="B91">
        <v>90</v>
      </c>
      <c r="C91" s="5">
        <v>8592.1872999497427</v>
      </c>
      <c r="D91" s="5">
        <v>96.531555311521515</v>
      </c>
      <c r="E91" s="5">
        <v>411.28562948014593</v>
      </c>
      <c r="F91" s="5">
        <v>417.46600597910583</v>
      </c>
      <c r="G91" s="5">
        <v>886.09878635406494</v>
      </c>
      <c r="H91" s="5">
        <v>1.1930747609585524</v>
      </c>
      <c r="I91">
        <v>2432.56</v>
      </c>
      <c r="J91" s="5">
        <f>liquidity_data[[#This Row],[w_m]]+liquidity_data[[#This Row],[c_m]]+liquidity_data[[#This Row],[cf_m]]+liquidity_data[[#This Row],[kf_m]]+liquidity_data[[#This Row],[equity]]</f>
        <v>12418.663271095475</v>
      </c>
      <c r="K91" s="5">
        <f>liquidity_data[[#This Row],[kf_d]]+liquidity_data[[#This Row],[cf_d]]</f>
        <v>418.65908074006438</v>
      </c>
      <c r="L91" s="5">
        <f>liquidity_data[[#This Row],[TOTAL_M]]-liquidity_data[[#This Row],[TOTAL_D]]</f>
        <v>12000.00419035541</v>
      </c>
      <c r="M91" s="6">
        <f>liquidity_data[[#This Row],[M-D]]/L90-1</f>
        <v>4.3681276351570375E-7</v>
      </c>
    </row>
    <row r="92" spans="1:13" x14ac:dyDescent="0.25">
      <c r="A92" s="7" t="s">
        <v>146</v>
      </c>
      <c r="B92">
        <v>91</v>
      </c>
      <c r="C92" s="5">
        <v>8617.6989429073146</v>
      </c>
      <c r="D92" s="5">
        <v>93.135667802533135</v>
      </c>
      <c r="E92" s="5">
        <v>407.57181244250387</v>
      </c>
      <c r="F92" s="5">
        <v>400.20621508173645</v>
      </c>
      <c r="G92" s="5">
        <v>896.55410003662109</v>
      </c>
      <c r="H92" s="5">
        <v>1.133421026635915</v>
      </c>
      <c r="I92">
        <v>2386.38</v>
      </c>
      <c r="J92" s="5">
        <f>liquidity_data[[#This Row],[w_m]]+liquidity_data[[#This Row],[c_m]]+liquidity_data[[#This Row],[cf_m]]+liquidity_data[[#This Row],[kf_m]]+liquidity_data[[#This Row],[equity]]</f>
        <v>12401.340523188974</v>
      </c>
      <c r="K92" s="5">
        <f>liquidity_data[[#This Row],[kf_d]]+liquidity_data[[#This Row],[cf_d]]</f>
        <v>401.33963610837236</v>
      </c>
      <c r="L92" s="5">
        <f>liquidity_data[[#This Row],[TOTAL_M]]-liquidity_data[[#This Row],[TOTAL_D]]</f>
        <v>12000.000887080601</v>
      </c>
      <c r="M92" s="6">
        <f>liquidity_data[[#This Row],[M-D]]/L91-1</f>
        <v>-2.7527280466177473E-7</v>
      </c>
    </row>
    <row r="93" spans="1:13" x14ac:dyDescent="0.25">
      <c r="A93" s="7" t="s">
        <v>146</v>
      </c>
      <c r="B93">
        <v>92</v>
      </c>
      <c r="C93" s="5">
        <v>8643.6224035384366</v>
      </c>
      <c r="D93" s="5">
        <v>93.098241979256272</v>
      </c>
      <c r="E93" s="5">
        <v>384.19252863852307</v>
      </c>
      <c r="F93" s="5">
        <v>400.9701443426311</v>
      </c>
      <c r="G93" s="5">
        <v>914.58069801330566</v>
      </c>
      <c r="H93" s="5">
        <v>1.0767499729990959</v>
      </c>
      <c r="I93">
        <v>2366.5500000000002</v>
      </c>
      <c r="J93" s="5">
        <f>liquidity_data[[#This Row],[w_m]]+liquidity_data[[#This Row],[c_m]]+liquidity_data[[#This Row],[cf_m]]+liquidity_data[[#This Row],[kf_m]]+liquidity_data[[#This Row],[equity]]</f>
        <v>12402.043872169521</v>
      </c>
      <c r="K93" s="5">
        <f>liquidity_data[[#This Row],[kf_d]]+liquidity_data[[#This Row],[cf_d]]</f>
        <v>402.0468943156302</v>
      </c>
      <c r="L93" s="5">
        <f>liquidity_data[[#This Row],[TOTAL_M]]-liquidity_data[[#This Row],[TOTAL_D]]</f>
        <v>11999.996977853891</v>
      </c>
      <c r="M93" s="6">
        <f>liquidity_data[[#This Row],[M-D]]/L92-1</f>
        <v>-3.2576886843660446E-7</v>
      </c>
    </row>
    <row r="94" spans="1:13" x14ac:dyDescent="0.25">
      <c r="A94" s="7" t="s">
        <v>146</v>
      </c>
      <c r="B94">
        <v>93</v>
      </c>
      <c r="C94" s="5">
        <v>8673.8331166622229</v>
      </c>
      <c r="D94" s="5">
        <v>93.477985084289685</v>
      </c>
      <c r="E94" s="5">
        <v>375.48616308346391</v>
      </c>
      <c r="F94" s="5">
        <v>406.83583756443113</v>
      </c>
      <c r="G94" s="5">
        <v>931.70707702636719</v>
      </c>
      <c r="H94" s="5">
        <v>1.0229124701581895</v>
      </c>
      <c r="I94">
        <v>2333.35</v>
      </c>
      <c r="J94" s="5">
        <f>liquidity_data[[#This Row],[w_m]]+liquidity_data[[#This Row],[c_m]]+liquidity_data[[#This Row],[cf_m]]+liquidity_data[[#This Row],[kf_m]]+liquidity_data[[#This Row],[equity]]</f>
        <v>12407.854341856344</v>
      </c>
      <c r="K94" s="5">
        <f>liquidity_data[[#This Row],[kf_d]]+liquidity_data[[#This Row],[cf_d]]</f>
        <v>407.85875003458932</v>
      </c>
      <c r="L94" s="5">
        <f>liquidity_data[[#This Row],[TOTAL_M]]-liquidity_data[[#This Row],[TOTAL_D]]</f>
        <v>11999.995591821755</v>
      </c>
      <c r="M94" s="6">
        <f>liquidity_data[[#This Row],[M-D]]/L93-1</f>
        <v>-1.1550270706539578E-7</v>
      </c>
    </row>
    <row r="95" spans="1:13" x14ac:dyDescent="0.25">
      <c r="A95" s="7" t="s">
        <v>146</v>
      </c>
      <c r="B95">
        <v>94</v>
      </c>
      <c r="C95" s="5">
        <v>8700.3083902020007</v>
      </c>
      <c r="D95" s="5">
        <v>95.420852327952161</v>
      </c>
      <c r="E95" s="5">
        <v>359.87131772562861</v>
      </c>
      <c r="F95" s="5">
        <v>423.78731741011143</v>
      </c>
      <c r="G95" s="5">
        <v>961.55629730224609</v>
      </c>
      <c r="H95" s="5">
        <v>0.97176686907187104</v>
      </c>
      <c r="I95">
        <v>2307.6</v>
      </c>
      <c r="J95" s="5">
        <f>liquidity_data[[#This Row],[w_m]]+liquidity_data[[#This Row],[c_m]]+liquidity_data[[#This Row],[cf_m]]+liquidity_data[[#This Row],[kf_m]]+liquidity_data[[#This Row],[equity]]</f>
        <v>12424.756857557828</v>
      </c>
      <c r="K95" s="5">
        <f>liquidity_data[[#This Row],[kf_d]]+liquidity_data[[#This Row],[cf_d]]</f>
        <v>424.7590842791833</v>
      </c>
      <c r="L95" s="5">
        <f>liquidity_data[[#This Row],[TOTAL_M]]-liquidity_data[[#This Row],[TOTAL_D]]</f>
        <v>11999.997773278645</v>
      </c>
      <c r="M95" s="6">
        <f>liquidity_data[[#This Row],[M-D]]/L94-1</f>
        <v>1.8178814098490648E-7</v>
      </c>
    </row>
    <row r="96" spans="1:13" x14ac:dyDescent="0.25">
      <c r="A96" s="7" t="s">
        <v>146</v>
      </c>
      <c r="B96">
        <v>95</v>
      </c>
      <c r="C96" s="5">
        <v>8729.4184480644763</v>
      </c>
      <c r="D96" s="5">
        <v>94.356900608749129</v>
      </c>
      <c r="E96" s="5">
        <v>359.09416621550918</v>
      </c>
      <c r="F96" s="5">
        <v>416.26679854281247</v>
      </c>
      <c r="G96" s="5">
        <v>982.28861236572266</v>
      </c>
      <c r="H96" s="5">
        <v>0.9231784981675446</v>
      </c>
      <c r="I96">
        <v>2252.0300000000002</v>
      </c>
      <c r="J96" s="5">
        <f>liquidity_data[[#This Row],[w_m]]+liquidity_data[[#This Row],[c_m]]+liquidity_data[[#This Row],[cf_m]]+liquidity_data[[#This Row],[kf_m]]+liquidity_data[[#This Row],[equity]]</f>
        <v>12417.188127254458</v>
      </c>
      <c r="K96" s="5">
        <f>liquidity_data[[#This Row],[kf_d]]+liquidity_data[[#This Row],[cf_d]]</f>
        <v>417.18997704098001</v>
      </c>
      <c r="L96" s="5">
        <f>liquidity_data[[#This Row],[TOTAL_M]]-liquidity_data[[#This Row],[TOTAL_D]]</f>
        <v>11999.998150213478</v>
      </c>
      <c r="M96" s="6">
        <f>liquidity_data[[#This Row],[M-D]]/L95-1</f>
        <v>3.141124182981514E-8</v>
      </c>
    </row>
    <row r="97" spans="1:13" x14ac:dyDescent="0.25">
      <c r="A97" s="7" t="s">
        <v>146</v>
      </c>
      <c r="B97">
        <v>96</v>
      </c>
      <c r="C97" s="5">
        <v>8763.8071359316818</v>
      </c>
      <c r="D97" s="5">
        <v>92.571721016429365</v>
      </c>
      <c r="E97" s="5">
        <v>362.88662836782169</v>
      </c>
      <c r="F97" s="5">
        <v>421.45030172541738</v>
      </c>
      <c r="G97" s="5">
        <v>990.18102836608887</v>
      </c>
      <c r="H97" s="5">
        <v>0.87701958464458585</v>
      </c>
      <c r="I97">
        <v>2212.88</v>
      </c>
      <c r="J97" s="5">
        <f>liquidity_data[[#This Row],[w_m]]+liquidity_data[[#This Row],[c_m]]+liquidity_data[[#This Row],[cf_m]]+liquidity_data[[#This Row],[kf_m]]+liquidity_data[[#This Row],[equity]]</f>
        <v>12422.326513682023</v>
      </c>
      <c r="K97" s="5">
        <f>liquidity_data[[#This Row],[kf_d]]+liquidity_data[[#This Row],[cf_d]]</f>
        <v>422.32732131006196</v>
      </c>
      <c r="L97" s="5">
        <f>liquidity_data[[#This Row],[TOTAL_M]]-liquidity_data[[#This Row],[TOTAL_D]]</f>
        <v>11999.999192371961</v>
      </c>
      <c r="M97" s="6">
        <f>liquidity_data[[#This Row],[M-D]]/L96-1</f>
        <v>8.6846553726260822E-8</v>
      </c>
    </row>
    <row r="98" spans="1:13" x14ac:dyDescent="0.25">
      <c r="A98" s="7" t="s">
        <v>146</v>
      </c>
      <c r="B98">
        <v>97</v>
      </c>
      <c r="C98" s="5">
        <v>8793.9865647112019</v>
      </c>
      <c r="D98" s="5">
        <v>94.095869733020663</v>
      </c>
      <c r="E98" s="5">
        <v>341.50922934152186</v>
      </c>
      <c r="F98" s="5">
        <v>437.69956655055285</v>
      </c>
      <c r="G98" s="5">
        <v>1016.0959062576294</v>
      </c>
      <c r="H98" s="5">
        <v>0.83316860906779766</v>
      </c>
      <c r="I98">
        <v>2192.85</v>
      </c>
      <c r="J98" s="5">
        <f>liquidity_data[[#This Row],[w_m]]+liquidity_data[[#This Row],[c_m]]+liquidity_data[[#This Row],[cf_m]]+liquidity_data[[#This Row],[kf_m]]+liquidity_data[[#This Row],[equity]]</f>
        <v>12438.537570043374</v>
      </c>
      <c r="K98" s="5">
        <f>liquidity_data[[#This Row],[kf_d]]+liquidity_data[[#This Row],[cf_d]]</f>
        <v>438.53273515962064</v>
      </c>
      <c r="L98" s="5">
        <f>liquidity_data[[#This Row],[TOTAL_M]]-liquidity_data[[#This Row],[TOTAL_D]]</f>
        <v>12000.004834883754</v>
      </c>
      <c r="M98" s="6">
        <f>liquidity_data[[#This Row],[M-D]]/L97-1</f>
        <v>4.7020934768049472E-7</v>
      </c>
    </row>
    <row r="99" spans="1:13" x14ac:dyDescent="0.25">
      <c r="A99" s="7" t="s">
        <v>146</v>
      </c>
      <c r="B99">
        <v>98</v>
      </c>
      <c r="C99" s="5">
        <v>8819.9754545725882</v>
      </c>
      <c r="D99" s="5">
        <v>93.953439040109515</v>
      </c>
      <c r="E99" s="5">
        <v>338.73705175146461</v>
      </c>
      <c r="F99" s="5">
        <v>430.11588709335774</v>
      </c>
      <c r="G99" s="5">
        <v>1037.5839309692383</v>
      </c>
      <c r="H99" s="5">
        <v>0.79151015356183052</v>
      </c>
      <c r="I99">
        <v>2140.66</v>
      </c>
      <c r="J99" s="5">
        <f>liquidity_data[[#This Row],[w_m]]+liquidity_data[[#This Row],[c_m]]+liquidity_data[[#This Row],[cf_m]]+liquidity_data[[#This Row],[kf_m]]+liquidity_data[[#This Row],[equity]]</f>
        <v>12430.9098763334</v>
      </c>
      <c r="K99" s="5">
        <f>liquidity_data[[#This Row],[kf_d]]+liquidity_data[[#This Row],[cf_d]]</f>
        <v>430.90739724691957</v>
      </c>
      <c r="L99" s="5">
        <f>liquidity_data[[#This Row],[TOTAL_M]]-liquidity_data[[#This Row],[TOTAL_D]]</f>
        <v>12000.002479086481</v>
      </c>
      <c r="M99" s="6">
        <f>liquidity_data[[#This Row],[M-D]]/L98-1</f>
        <v>-1.9631636027916954E-7</v>
      </c>
    </row>
    <row r="100" spans="1:13" x14ac:dyDescent="0.25">
      <c r="A100" s="7" t="s">
        <v>146</v>
      </c>
      <c r="B100">
        <v>99</v>
      </c>
      <c r="C100" s="5">
        <v>8849.7863763296045</v>
      </c>
      <c r="D100" s="5">
        <v>96.120606446638703</v>
      </c>
      <c r="E100" s="5">
        <v>314.95217994600534</v>
      </c>
      <c r="F100" s="5">
        <v>422.34138551354408</v>
      </c>
      <c r="G100" s="5">
        <v>1063.6483182907104</v>
      </c>
      <c r="H100" s="5">
        <v>0.75193466641940176</v>
      </c>
      <c r="I100">
        <v>2098.59</v>
      </c>
      <c r="J100" s="5">
        <f>liquidity_data[[#This Row],[w_m]]+liquidity_data[[#This Row],[c_m]]+liquidity_data[[#This Row],[cf_m]]+liquidity_data[[#This Row],[kf_m]]+liquidity_data[[#This Row],[equity]]</f>
        <v>12423.097481012959</v>
      </c>
      <c r="K100" s="5">
        <f>liquidity_data[[#This Row],[kf_d]]+liquidity_data[[#This Row],[cf_d]]</f>
        <v>423.09332017996348</v>
      </c>
      <c r="L100" s="5">
        <f>liquidity_data[[#This Row],[TOTAL_M]]-liquidity_data[[#This Row],[TOTAL_D]]</f>
        <v>12000.004160832996</v>
      </c>
      <c r="M100" s="6">
        <f>liquidity_data[[#This Row],[M-D]]/L99-1</f>
        <v>1.4014551386054563E-7</v>
      </c>
    </row>
    <row r="101" spans="1:13" x14ac:dyDescent="0.25">
      <c r="A101" s="7" t="s">
        <v>146</v>
      </c>
      <c r="B101">
        <v>100</v>
      </c>
      <c r="C101" s="5">
        <v>8875.857058784808</v>
      </c>
      <c r="D101" s="5">
        <v>98.455746872350574</v>
      </c>
      <c r="E101" s="5">
        <v>320.61546626593918</v>
      </c>
      <c r="F101" s="5">
        <v>421.13903322815895</v>
      </c>
      <c r="G101" s="5">
        <v>1079.8742446899414</v>
      </c>
      <c r="H101" s="5">
        <v>0.71433795103803277</v>
      </c>
      <c r="I101">
        <v>2047.05</v>
      </c>
      <c r="J101" s="5">
        <f>liquidity_data[[#This Row],[w_m]]+liquidity_data[[#This Row],[c_m]]+liquidity_data[[#This Row],[cf_m]]+liquidity_data[[#This Row],[kf_m]]+liquidity_data[[#This Row],[equity]]</f>
        <v>12421.852516613038</v>
      </c>
      <c r="K101" s="5">
        <f>liquidity_data[[#This Row],[kf_d]]+liquidity_data[[#This Row],[cf_d]]</f>
        <v>421.85337117919698</v>
      </c>
      <c r="L101" s="5">
        <f>liquidity_data[[#This Row],[TOTAL_M]]-liquidity_data[[#This Row],[TOTAL_D]]</f>
        <v>11999.999145433841</v>
      </c>
      <c r="M101" s="6">
        <f>liquidity_data[[#This Row],[M-D]]/L100-1</f>
        <v>-4.1794978455911291E-7</v>
      </c>
    </row>
    <row r="102" spans="1:13" x14ac:dyDescent="0.25">
      <c r="A102" s="7" t="s">
        <v>146</v>
      </c>
      <c r="B102">
        <v>101</v>
      </c>
      <c r="C102" s="5">
        <v>8898.7674738508649</v>
      </c>
      <c r="D102" s="5">
        <v>100.55432368442416</v>
      </c>
      <c r="E102" s="5">
        <v>308.98486104793847</v>
      </c>
      <c r="F102" s="5">
        <v>435.51784472353756</v>
      </c>
      <c r="G102" s="5">
        <v>1100.6413612365723</v>
      </c>
      <c r="H102" s="5">
        <v>0.67862105881795287</v>
      </c>
      <c r="I102">
        <v>2027.25</v>
      </c>
      <c r="J102" s="5">
        <f>liquidity_data[[#This Row],[w_m]]+liquidity_data[[#This Row],[c_m]]+liquidity_data[[#This Row],[cf_m]]+liquidity_data[[#This Row],[kf_m]]+liquidity_data[[#This Row],[equity]]</f>
        <v>12436.1980198198</v>
      </c>
      <c r="K102" s="5">
        <f>liquidity_data[[#This Row],[kf_d]]+liquidity_data[[#This Row],[cf_d]]</f>
        <v>436.19646578235552</v>
      </c>
      <c r="L102" s="5">
        <f>liquidity_data[[#This Row],[TOTAL_M]]-liquidity_data[[#This Row],[TOTAL_D]]</f>
        <v>12000.001554037444</v>
      </c>
      <c r="M102" s="6">
        <f>liquidity_data[[#This Row],[M-D]]/L101-1</f>
        <v>2.0071698125789794E-7</v>
      </c>
    </row>
    <row r="103" spans="1:13" x14ac:dyDescent="0.25">
      <c r="A103" s="7" t="s">
        <v>146</v>
      </c>
      <c r="B103">
        <v>102</v>
      </c>
      <c r="C103" s="5">
        <v>8927.7991126412526</v>
      </c>
      <c r="D103" s="5">
        <v>103.63399908412248</v>
      </c>
      <c r="E103" s="5">
        <v>282.93090268597007</v>
      </c>
      <c r="F103" s="5">
        <v>429.79401067458093</v>
      </c>
      <c r="G103" s="5">
        <v>1128.5215148925781</v>
      </c>
      <c r="H103" s="5">
        <v>0.64468998298980296</v>
      </c>
      <c r="I103">
        <v>1987.55</v>
      </c>
      <c r="J103" s="5">
        <f>liquidity_data[[#This Row],[w_m]]+liquidity_data[[#This Row],[c_m]]+liquidity_data[[#This Row],[cf_m]]+liquidity_data[[#This Row],[kf_m]]+liquidity_data[[#This Row],[equity]]</f>
        <v>12430.435529303923</v>
      </c>
      <c r="K103" s="5">
        <f>liquidity_data[[#This Row],[kf_d]]+liquidity_data[[#This Row],[cf_d]]</f>
        <v>430.43870065757073</v>
      </c>
      <c r="L103" s="5">
        <f>liquidity_data[[#This Row],[TOTAL_M]]-liquidity_data[[#This Row],[TOTAL_D]]</f>
        <v>11999.996828646352</v>
      </c>
      <c r="M103" s="6">
        <f>liquidity_data[[#This Row],[M-D]]/L102-1</f>
        <v>-3.9378254002020441E-7</v>
      </c>
    </row>
    <row r="104" spans="1:13" x14ac:dyDescent="0.25">
      <c r="A104" s="7" t="s">
        <v>146</v>
      </c>
      <c r="B104">
        <v>103</v>
      </c>
      <c r="C104" s="5">
        <v>8955.7229273482226</v>
      </c>
      <c r="D104" s="5">
        <v>106.40751791000366</v>
      </c>
      <c r="E104" s="5">
        <v>277.45323771610856</v>
      </c>
      <c r="F104" s="5">
        <v>430.63984213024378</v>
      </c>
      <c r="G104" s="5">
        <v>1152.7452449798584</v>
      </c>
      <c r="H104" s="5">
        <v>0.61245548794977367</v>
      </c>
      <c r="I104">
        <v>1938.92</v>
      </c>
      <c r="J104" s="5">
        <f>liquidity_data[[#This Row],[w_m]]+liquidity_data[[#This Row],[c_m]]+liquidity_data[[#This Row],[cf_m]]+liquidity_data[[#This Row],[kf_m]]+liquidity_data[[#This Row],[equity]]</f>
        <v>12431.248927954193</v>
      </c>
      <c r="K104" s="5">
        <f>liquidity_data[[#This Row],[kf_d]]+liquidity_data[[#This Row],[cf_d]]</f>
        <v>431.25229761819355</v>
      </c>
      <c r="L104" s="5">
        <f>liquidity_data[[#This Row],[TOTAL_M]]-liquidity_data[[#This Row],[TOTAL_D]]</f>
        <v>11999.996630336</v>
      </c>
      <c r="M104" s="6">
        <f>liquidity_data[[#This Row],[M-D]]/L103-1</f>
        <v>-1.6525867008176931E-8</v>
      </c>
    </row>
    <row r="105" spans="1:13" x14ac:dyDescent="0.25">
      <c r="A105" s="7" t="s">
        <v>146</v>
      </c>
      <c r="B105">
        <v>104</v>
      </c>
      <c r="C105" s="5">
        <v>8981.7503128410317</v>
      </c>
      <c r="D105" s="5">
        <v>105.88709798268974</v>
      </c>
      <c r="E105" s="5">
        <v>274.73312396131223</v>
      </c>
      <c r="F105" s="5">
        <v>417.60310107888654</v>
      </c>
      <c r="G105" s="5">
        <v>1172.6849117279053</v>
      </c>
      <c r="H105" s="5">
        <v>0.58183272485621274</v>
      </c>
      <c r="I105">
        <v>1883.13</v>
      </c>
      <c r="J105" s="5">
        <f>liquidity_data[[#This Row],[w_m]]+liquidity_data[[#This Row],[c_m]]+liquidity_data[[#This Row],[cf_m]]+liquidity_data[[#This Row],[kf_m]]+liquidity_data[[#This Row],[equity]]</f>
        <v>12418.18544651294</v>
      </c>
      <c r="K105" s="5">
        <f>liquidity_data[[#This Row],[kf_d]]+liquidity_data[[#This Row],[cf_d]]</f>
        <v>418.18493380374275</v>
      </c>
      <c r="L105" s="5">
        <f>liquidity_data[[#This Row],[TOTAL_M]]-liquidity_data[[#This Row],[TOTAL_D]]</f>
        <v>12000.000512709197</v>
      </c>
      <c r="M105" s="6">
        <f>liquidity_data[[#This Row],[M-D]]/L104-1</f>
        <v>3.2353119072681125E-7</v>
      </c>
    </row>
    <row r="106" spans="1:13" x14ac:dyDescent="0.25">
      <c r="A106" s="7" t="s">
        <v>146</v>
      </c>
      <c r="B106">
        <v>105</v>
      </c>
      <c r="C106" s="5">
        <v>9006.5126782786101</v>
      </c>
      <c r="D106" s="5">
        <v>109.90043069422245</v>
      </c>
      <c r="E106" s="5">
        <v>261.77780409343541</v>
      </c>
      <c r="F106" s="5">
        <v>424.99800764024258</v>
      </c>
      <c r="G106" s="5">
        <v>1202.7441577911377</v>
      </c>
      <c r="H106" s="5">
        <v>0.55274108028970659</v>
      </c>
      <c r="I106">
        <v>1844.62</v>
      </c>
      <c r="J106" s="5">
        <f>liquidity_data[[#This Row],[w_m]]+liquidity_data[[#This Row],[c_m]]+liquidity_data[[#This Row],[cf_m]]+liquidity_data[[#This Row],[kf_m]]+liquidity_data[[#This Row],[equity]]</f>
        <v>12425.555070857405</v>
      </c>
      <c r="K106" s="5">
        <f>liquidity_data[[#This Row],[kf_d]]+liquidity_data[[#This Row],[cf_d]]</f>
        <v>425.55074872053228</v>
      </c>
      <c r="L106" s="5">
        <f>liquidity_data[[#This Row],[TOTAL_M]]-liquidity_data[[#This Row],[TOTAL_D]]</f>
        <v>12000.004322136872</v>
      </c>
      <c r="M106" s="6">
        <f>liquidity_data[[#This Row],[M-D]]/L105-1</f>
        <v>3.1745229267521324E-7</v>
      </c>
    </row>
    <row r="107" spans="1:13" x14ac:dyDescent="0.25">
      <c r="A107" s="7" t="s">
        <v>146</v>
      </c>
      <c r="B107">
        <v>106</v>
      </c>
      <c r="C107" s="5">
        <v>9034.3454472329468</v>
      </c>
      <c r="D107" s="5">
        <v>110.50781420245767</v>
      </c>
      <c r="E107" s="5">
        <v>249.17229586839676</v>
      </c>
      <c r="F107" s="5">
        <v>414.03064832091331</v>
      </c>
      <c r="G107" s="5">
        <v>1223.3280372619629</v>
      </c>
      <c r="H107" s="5">
        <v>0.52510402142070234</v>
      </c>
      <c r="I107">
        <v>1797.2</v>
      </c>
      <c r="J107" s="5">
        <f>liquidity_data[[#This Row],[w_m]]+liquidity_data[[#This Row],[c_m]]+liquidity_data[[#This Row],[cf_m]]+liquidity_data[[#This Row],[kf_m]]+liquidity_data[[#This Row],[equity]]</f>
        <v>12414.553594565765</v>
      </c>
      <c r="K107" s="5">
        <f>liquidity_data[[#This Row],[kf_d]]+liquidity_data[[#This Row],[cf_d]]</f>
        <v>414.55575234233402</v>
      </c>
      <c r="L107" s="5">
        <f>liquidity_data[[#This Row],[TOTAL_M]]-liquidity_data[[#This Row],[TOTAL_D]]</f>
        <v>11999.997842223431</v>
      </c>
      <c r="M107" s="6">
        <f>liquidity_data[[#This Row],[M-D]]/L106-1</f>
        <v>-5.3999259230774754E-7</v>
      </c>
    </row>
    <row r="108" spans="1:13" x14ac:dyDescent="0.25">
      <c r="A108" s="7" t="s">
        <v>146</v>
      </c>
      <c r="B108">
        <v>107</v>
      </c>
      <c r="C108" s="5">
        <v>9055.2054620268755</v>
      </c>
      <c r="D108" s="5">
        <v>112.83881218731403</v>
      </c>
      <c r="E108" s="5">
        <v>235.87635863409378</v>
      </c>
      <c r="F108" s="5">
        <v>419.46831458806992</v>
      </c>
      <c r="G108" s="5">
        <v>1258.6221332550049</v>
      </c>
      <c r="H108" s="5">
        <v>0.49884882383048534</v>
      </c>
      <c r="I108">
        <v>1757.42</v>
      </c>
      <c r="J108" s="5">
        <f>liquidity_data[[#This Row],[w_m]]+liquidity_data[[#This Row],[c_m]]+liquidity_data[[#This Row],[cf_m]]+liquidity_data[[#This Row],[kf_m]]+liquidity_data[[#This Row],[equity]]</f>
        <v>12419.962766103288</v>
      </c>
      <c r="K108" s="5">
        <f>liquidity_data[[#This Row],[kf_d]]+liquidity_data[[#This Row],[cf_d]]</f>
        <v>419.9671634119004</v>
      </c>
      <c r="L108" s="5">
        <f>liquidity_data[[#This Row],[TOTAL_M]]-liquidity_data[[#This Row],[TOTAL_D]]</f>
        <v>11999.995602691388</v>
      </c>
      <c r="M108" s="6">
        <f>liquidity_data[[#This Row],[M-D]]/L107-1</f>
        <v>-1.8662770384647587E-7</v>
      </c>
    </row>
    <row r="109" spans="1:13" x14ac:dyDescent="0.25">
      <c r="A109" s="7" t="s">
        <v>146</v>
      </c>
      <c r="B109">
        <v>108</v>
      </c>
      <c r="C109" s="5">
        <v>9070.6542933941819</v>
      </c>
      <c r="D109" s="5">
        <v>113.2213194295764</v>
      </c>
      <c r="E109" s="5">
        <v>250.83292029588483</v>
      </c>
      <c r="F109" s="5">
        <v>400.71302944421768</v>
      </c>
      <c r="G109" s="5">
        <v>1274.3883495330811</v>
      </c>
      <c r="H109" s="5">
        <v>0.47390638361684978</v>
      </c>
      <c r="I109">
        <v>1692.09</v>
      </c>
      <c r="J109" s="5">
        <f>liquidity_data[[#This Row],[w_m]]+liquidity_data[[#This Row],[c_m]]+liquidity_data[[#This Row],[cf_m]]+liquidity_data[[#This Row],[kf_m]]+liquidity_data[[#This Row],[equity]]</f>
        <v>12401.186882652724</v>
      </c>
      <c r="K109" s="5">
        <f>liquidity_data[[#This Row],[kf_d]]+liquidity_data[[#This Row],[cf_d]]</f>
        <v>401.18693582783453</v>
      </c>
      <c r="L109" s="5">
        <f>liquidity_data[[#This Row],[TOTAL_M]]-liquidity_data[[#This Row],[TOTAL_D]]</f>
        <v>11999.99994682489</v>
      </c>
      <c r="M109" s="6">
        <f>liquidity_data[[#This Row],[M-D]]/L108-1</f>
        <v>3.6201125785950694E-7</v>
      </c>
    </row>
    <row r="110" spans="1:13" x14ac:dyDescent="0.25">
      <c r="A110" s="7" t="s">
        <v>146</v>
      </c>
      <c r="B110">
        <v>109</v>
      </c>
      <c r="C110" s="5">
        <v>9089.6645412826911</v>
      </c>
      <c r="D110" s="5">
        <v>112.84932889044285</v>
      </c>
      <c r="E110" s="5">
        <v>235.11182569339871</v>
      </c>
      <c r="F110" s="5">
        <v>399.16336604952812</v>
      </c>
      <c r="G110" s="5">
        <v>1295.2634029388428</v>
      </c>
      <c r="H110" s="5">
        <v>0.4502110683824867</v>
      </c>
      <c r="I110">
        <v>1666.72</v>
      </c>
      <c r="J110" s="5">
        <f>liquidity_data[[#This Row],[w_m]]+liquidity_data[[#This Row],[c_m]]+liquidity_data[[#This Row],[cf_m]]+liquidity_data[[#This Row],[kf_m]]+liquidity_data[[#This Row],[equity]]</f>
        <v>12399.609098805375</v>
      </c>
      <c r="K110" s="5">
        <f>liquidity_data[[#This Row],[kf_d]]+liquidity_data[[#This Row],[cf_d]]</f>
        <v>399.61357711791061</v>
      </c>
      <c r="L110" s="5">
        <f>liquidity_data[[#This Row],[TOTAL_M]]-liquidity_data[[#This Row],[TOTAL_D]]</f>
        <v>11999.995521687464</v>
      </c>
      <c r="M110" s="6">
        <f>liquidity_data[[#This Row],[M-D]]/L109-1</f>
        <v>-3.6876145381725678E-7</v>
      </c>
    </row>
    <row r="111" spans="1:13" x14ac:dyDescent="0.25">
      <c r="A111" s="7" t="s">
        <v>146</v>
      </c>
      <c r="B111">
        <v>110</v>
      </c>
      <c r="C111" s="5">
        <v>9112.1107767769718</v>
      </c>
      <c r="D111" s="5">
        <v>114.74899466335773</v>
      </c>
      <c r="E111" s="5">
        <v>211.17530222318601</v>
      </c>
      <c r="F111" s="5">
        <v>400.65393108129501</v>
      </c>
      <c r="G111" s="5">
        <v>1324.275520324707</v>
      </c>
      <c r="H111" s="5">
        <v>0.42770050652325153</v>
      </c>
      <c r="I111">
        <v>1638.77</v>
      </c>
      <c r="J111" s="5">
        <f>liquidity_data[[#This Row],[w_m]]+liquidity_data[[#This Row],[c_m]]+liquidity_data[[#This Row],[cf_m]]+liquidity_data[[#This Row],[kf_m]]+liquidity_data[[#This Row],[equity]]</f>
        <v>12401.080593988223</v>
      </c>
      <c r="K111" s="5">
        <f>liquidity_data[[#This Row],[kf_d]]+liquidity_data[[#This Row],[cf_d]]</f>
        <v>401.08163158781826</v>
      </c>
      <c r="L111" s="5">
        <f>liquidity_data[[#This Row],[TOTAL_M]]-liquidity_data[[#This Row],[TOTAL_D]]</f>
        <v>11999.998962400405</v>
      </c>
      <c r="M111" s="6">
        <f>liquidity_data[[#This Row],[M-D]]/L110-1</f>
        <v>2.8672618546110584E-7</v>
      </c>
    </row>
    <row r="112" spans="1:13" x14ac:dyDescent="0.25">
      <c r="A112" s="7" t="s">
        <v>146</v>
      </c>
      <c r="B112">
        <v>111</v>
      </c>
      <c r="C112" s="5">
        <v>9133.3119839690989</v>
      </c>
      <c r="D112" s="5">
        <v>115.0417063087225</v>
      </c>
      <c r="E112" s="5">
        <v>222.30270216241479</v>
      </c>
      <c r="F112" s="5">
        <v>395.00632691383362</v>
      </c>
      <c r="G112" s="5">
        <v>1343.3683757781982</v>
      </c>
      <c r="H112" s="5">
        <v>0.40631549060344696</v>
      </c>
      <c r="I112">
        <v>1581.39</v>
      </c>
      <c r="J112" s="5">
        <f>liquidity_data[[#This Row],[w_m]]+liquidity_data[[#This Row],[c_m]]+liquidity_data[[#This Row],[cf_m]]+liquidity_data[[#This Row],[kf_m]]+liquidity_data[[#This Row],[equity]]</f>
        <v>12395.414768218434</v>
      </c>
      <c r="K112" s="5">
        <f>liquidity_data[[#This Row],[kf_d]]+liquidity_data[[#This Row],[cf_d]]</f>
        <v>395.41264240443707</v>
      </c>
      <c r="L112" s="5">
        <f>liquidity_data[[#This Row],[TOTAL_M]]-liquidity_data[[#This Row],[TOTAL_D]]</f>
        <v>12000.002125813997</v>
      </c>
      <c r="M112" s="6">
        <f>liquidity_data[[#This Row],[M-D]]/L111-1</f>
        <v>2.6361782223816022E-7</v>
      </c>
    </row>
    <row r="113" spans="1:13" x14ac:dyDescent="0.25">
      <c r="A113" s="7" t="s">
        <v>146</v>
      </c>
      <c r="B113">
        <v>112</v>
      </c>
      <c r="C113" s="5">
        <v>9156.5893654258398</v>
      </c>
      <c r="D113" s="5">
        <v>118.07667237892747</v>
      </c>
      <c r="E113" s="5">
        <v>185.37959212157875</v>
      </c>
      <c r="F113" s="5">
        <v>391.02916759252548</v>
      </c>
      <c r="G113" s="5">
        <v>1380.7061195373535</v>
      </c>
      <c r="H113" s="5">
        <v>0.38599970028735697</v>
      </c>
      <c r="I113">
        <v>1550.66</v>
      </c>
      <c r="J113" s="5">
        <f>liquidity_data[[#This Row],[w_m]]+liquidity_data[[#This Row],[c_m]]+liquidity_data[[#This Row],[cf_m]]+liquidity_data[[#This Row],[kf_m]]+liquidity_data[[#This Row],[equity]]</f>
        <v>12391.411749463699</v>
      </c>
      <c r="K113" s="5">
        <f>liquidity_data[[#This Row],[kf_d]]+liquidity_data[[#This Row],[cf_d]]</f>
        <v>391.41516729281284</v>
      </c>
      <c r="L113" s="5">
        <f>liquidity_data[[#This Row],[TOTAL_M]]-liquidity_data[[#This Row],[TOTAL_D]]</f>
        <v>11999.996582170887</v>
      </c>
      <c r="M113" s="6">
        <f>liquidity_data[[#This Row],[M-D]]/L112-1</f>
        <v>-4.6197017733451418E-7</v>
      </c>
    </row>
    <row r="114" spans="1:13" x14ac:dyDescent="0.25">
      <c r="A114" s="7" t="s">
        <v>146</v>
      </c>
      <c r="B114">
        <v>113</v>
      </c>
      <c r="C114" s="5">
        <v>9186.5971498057188</v>
      </c>
      <c r="D114" s="5">
        <v>116.1984776686877</v>
      </c>
      <c r="E114" s="5">
        <v>188.80210805591196</v>
      </c>
      <c r="F114" s="5">
        <v>379.27649434655905</v>
      </c>
      <c r="G114" s="5">
        <v>1402.4539222717285</v>
      </c>
      <c r="H114" s="5">
        <v>0.36669972504023463</v>
      </c>
      <c r="I114">
        <v>1485.59</v>
      </c>
      <c r="J114" s="5">
        <f>liquidity_data[[#This Row],[w_m]]+liquidity_data[[#This Row],[c_m]]+liquidity_data[[#This Row],[cf_m]]+liquidity_data[[#This Row],[kf_m]]+liquidity_data[[#This Row],[equity]]</f>
        <v>12379.641657802047</v>
      </c>
      <c r="K114" s="5">
        <f>liquidity_data[[#This Row],[kf_d]]+liquidity_data[[#This Row],[cf_d]]</f>
        <v>379.64319407159928</v>
      </c>
      <c r="L114" s="5">
        <f>liquidity_data[[#This Row],[TOTAL_M]]-liquidity_data[[#This Row],[TOTAL_D]]</f>
        <v>11999.998463730448</v>
      </c>
      <c r="M114" s="6">
        <f>liquidity_data[[#This Row],[M-D]]/L113-1</f>
        <v>1.5679667475509973E-7</v>
      </c>
    </row>
    <row r="115" spans="1:13" x14ac:dyDescent="0.25">
      <c r="A115" s="7" t="s">
        <v>146</v>
      </c>
      <c r="B115">
        <v>114</v>
      </c>
      <c r="C115" s="5">
        <v>9213.3330149932299</v>
      </c>
      <c r="D115" s="5">
        <v>117.86417491734028</v>
      </c>
      <c r="E115" s="5">
        <v>177.40086899977177</v>
      </c>
      <c r="F115" s="5">
        <v>372.08937948197126</v>
      </c>
      <c r="G115" s="5">
        <v>1433.5990676879883</v>
      </c>
      <c r="H115" s="5">
        <v>0.34836474107578397</v>
      </c>
      <c r="I115">
        <v>1430.24</v>
      </c>
      <c r="J115" s="5">
        <f>liquidity_data[[#This Row],[w_m]]+liquidity_data[[#This Row],[c_m]]+liquidity_data[[#This Row],[cf_m]]+liquidity_data[[#This Row],[kf_m]]+liquidity_data[[#This Row],[equity]]</f>
        <v>12372.43712659833</v>
      </c>
      <c r="K115" s="5">
        <f>liquidity_data[[#This Row],[kf_d]]+liquidity_data[[#This Row],[cf_d]]</f>
        <v>372.43774422304705</v>
      </c>
      <c r="L115" s="5">
        <f>liquidity_data[[#This Row],[TOTAL_M]]-liquidity_data[[#This Row],[TOTAL_D]]</f>
        <v>11999.999382375283</v>
      </c>
      <c r="M115" s="6">
        <f>liquidity_data[[#This Row],[M-D]]/L114-1</f>
        <v>7.6553746009011547E-8</v>
      </c>
    </row>
    <row r="116" spans="1:13" x14ac:dyDescent="0.25">
      <c r="A116" s="7" t="s">
        <v>146</v>
      </c>
      <c r="B116">
        <v>115</v>
      </c>
      <c r="C116" s="5">
        <v>9239.333935506409</v>
      </c>
      <c r="D116" s="5">
        <v>121.16693851351738</v>
      </c>
      <c r="E116" s="5">
        <v>154.08035690209363</v>
      </c>
      <c r="F116" s="5">
        <v>360.63006895780563</v>
      </c>
      <c r="G116" s="5">
        <v>1475.7606506347656</v>
      </c>
      <c r="H116" s="5">
        <v>0.33094649971462786</v>
      </c>
      <c r="I116">
        <v>1370.62</v>
      </c>
      <c r="J116" s="5">
        <f>liquidity_data[[#This Row],[w_m]]+liquidity_data[[#This Row],[c_m]]+liquidity_data[[#This Row],[cf_m]]+liquidity_data[[#This Row],[kf_m]]+liquidity_data[[#This Row],[equity]]</f>
        <v>12360.961881556785</v>
      </c>
      <c r="K116" s="5">
        <f>liquidity_data[[#This Row],[kf_d]]+liquidity_data[[#This Row],[cf_d]]</f>
        <v>360.96101545752026</v>
      </c>
      <c r="L116" s="5">
        <f>liquidity_data[[#This Row],[TOTAL_M]]-liquidity_data[[#This Row],[TOTAL_D]]</f>
        <v>12000.000866099264</v>
      </c>
      <c r="M116" s="6">
        <f>liquidity_data[[#This Row],[M-D]]/L115-1</f>
        <v>1.2364367152351008E-7</v>
      </c>
    </row>
    <row r="117" spans="1:13" x14ac:dyDescent="0.25">
      <c r="A117" s="7" t="s">
        <v>146</v>
      </c>
      <c r="B117">
        <v>116</v>
      </c>
      <c r="C117" s="5">
        <v>9267.3248417610303</v>
      </c>
      <c r="D117" s="5">
        <v>120.90956831723452</v>
      </c>
      <c r="E117" s="5">
        <v>159.01455100812018</v>
      </c>
      <c r="F117" s="5">
        <v>354.18863180279732</v>
      </c>
      <c r="G117" s="5">
        <v>1508.5587978363037</v>
      </c>
      <c r="H117" s="5">
        <v>0.31439917313400656</v>
      </c>
      <c r="I117">
        <v>1298.7</v>
      </c>
      <c r="J117" s="5">
        <f>liquidity_data[[#This Row],[w_m]]+liquidity_data[[#This Row],[c_m]]+liquidity_data[[#This Row],[cf_m]]+liquidity_data[[#This Row],[kf_m]]+liquidity_data[[#This Row],[equity]]</f>
        <v>12354.507758922689</v>
      </c>
      <c r="K117" s="5">
        <f>liquidity_data[[#This Row],[kf_d]]+liquidity_data[[#This Row],[cf_d]]</f>
        <v>354.50303097593132</v>
      </c>
      <c r="L117" s="5">
        <f>liquidity_data[[#This Row],[TOTAL_M]]-liquidity_data[[#This Row],[TOTAL_D]]</f>
        <v>12000.004727946758</v>
      </c>
      <c r="M117" s="6">
        <f>liquidity_data[[#This Row],[M-D]]/L116-1</f>
        <v>3.2182060127894374E-7</v>
      </c>
    </row>
    <row r="118" spans="1:13" x14ac:dyDescent="0.25">
      <c r="A118" s="7" t="s">
        <v>146</v>
      </c>
      <c r="B118">
        <v>117</v>
      </c>
      <c r="C118" s="5">
        <v>9295.6778199481778</v>
      </c>
      <c r="D118" s="5">
        <v>120.07174851000309</v>
      </c>
      <c r="E118" s="5">
        <v>169.37502374034375</v>
      </c>
      <c r="F118" s="5">
        <v>342.68786138296127</v>
      </c>
      <c r="G118" s="5">
        <v>1525.1579151153564</v>
      </c>
      <c r="H118" s="5">
        <v>0.29867921164259315</v>
      </c>
      <c r="I118">
        <v>1232.7</v>
      </c>
      <c r="J118" s="5">
        <f>liquidity_data[[#This Row],[w_m]]+liquidity_data[[#This Row],[c_m]]+liquidity_data[[#This Row],[cf_m]]+liquidity_data[[#This Row],[kf_m]]+liquidity_data[[#This Row],[equity]]</f>
        <v>12342.982507313882</v>
      </c>
      <c r="K118" s="5">
        <f>liquidity_data[[#This Row],[kf_d]]+liquidity_data[[#This Row],[cf_d]]</f>
        <v>342.98654059460387</v>
      </c>
      <c r="L118" s="5">
        <f>liquidity_data[[#This Row],[TOTAL_M]]-liquidity_data[[#This Row],[TOTAL_D]]</f>
        <v>11999.995966719278</v>
      </c>
      <c r="M118" s="6">
        <f>liquidity_data[[#This Row],[M-D]]/L117-1</f>
        <v>-7.3010200229983724E-7</v>
      </c>
    </row>
    <row r="119" spans="1:13" x14ac:dyDescent="0.25">
      <c r="A119" s="7" t="s">
        <v>146</v>
      </c>
      <c r="B119">
        <v>118</v>
      </c>
      <c r="C119" s="5">
        <v>9328.9118105424568</v>
      </c>
      <c r="D119" s="5">
        <v>124.75158261880279</v>
      </c>
      <c r="E119" s="5">
        <v>117.71499191783369</v>
      </c>
      <c r="F119" s="5">
        <v>330.89262002706528</v>
      </c>
      <c r="G119" s="5">
        <v>1573.2668056488037</v>
      </c>
      <c r="H119" s="5">
        <v>0.28374525252729654</v>
      </c>
      <c r="I119">
        <v>1186.53</v>
      </c>
      <c r="J119" s="5">
        <f>liquidity_data[[#This Row],[w_m]]+liquidity_data[[#This Row],[c_m]]+liquidity_data[[#This Row],[cf_m]]+liquidity_data[[#This Row],[kf_m]]+liquidity_data[[#This Row],[equity]]</f>
        <v>12331.175190727898</v>
      </c>
      <c r="K119" s="5">
        <f>liquidity_data[[#This Row],[kf_d]]+liquidity_data[[#This Row],[cf_d]]</f>
        <v>331.17636527959257</v>
      </c>
      <c r="L119" s="5">
        <f>liquidity_data[[#This Row],[TOTAL_M]]-liquidity_data[[#This Row],[TOTAL_D]]</f>
        <v>11999.998825448305</v>
      </c>
      <c r="M119" s="6">
        <f>liquidity_data[[#This Row],[M-D]]/L118-1</f>
        <v>2.3822749906088347E-7</v>
      </c>
    </row>
    <row r="120" spans="1:13" x14ac:dyDescent="0.25">
      <c r="A120" s="7" t="s">
        <v>146</v>
      </c>
      <c r="B120">
        <v>119</v>
      </c>
      <c r="C120" s="5">
        <v>9358.342387507204</v>
      </c>
      <c r="D120" s="5">
        <v>126.91369958221912</v>
      </c>
      <c r="E120" s="5">
        <v>128.90513433143497</v>
      </c>
      <c r="F120" s="5">
        <v>305.00386297702789</v>
      </c>
      <c r="G120" s="5">
        <v>1601.5834465026855</v>
      </c>
      <c r="H120" s="5">
        <v>0.269557990366593</v>
      </c>
      <c r="I120">
        <v>1089.53</v>
      </c>
      <c r="J120" s="5">
        <f>liquidity_data[[#This Row],[w_m]]+liquidity_data[[#This Row],[c_m]]+liquidity_data[[#This Row],[cf_m]]+liquidity_data[[#This Row],[kf_m]]+liquidity_data[[#This Row],[equity]]</f>
        <v>12305.274667923544</v>
      </c>
      <c r="K120" s="5">
        <f>liquidity_data[[#This Row],[kf_d]]+liquidity_data[[#This Row],[cf_d]]</f>
        <v>305.27342096739449</v>
      </c>
      <c r="L120" s="5">
        <f>liquidity_data[[#This Row],[TOTAL_M]]-liquidity_data[[#This Row],[TOTAL_D]]</f>
        <v>12000.00124695615</v>
      </c>
      <c r="M120" s="6">
        <f>liquidity_data[[#This Row],[M-D]]/L119-1</f>
        <v>2.017923401709254E-7</v>
      </c>
    </row>
    <row r="121" spans="1:13" x14ac:dyDescent="0.25">
      <c r="A121" s="7" t="s">
        <v>146</v>
      </c>
      <c r="B121">
        <v>120</v>
      </c>
      <c r="C121" s="5">
        <v>9387.8483237384644</v>
      </c>
      <c r="D121" s="5">
        <v>131.49667861312628</v>
      </c>
      <c r="E121" s="5">
        <v>110.82190977409482</v>
      </c>
      <c r="F121" s="5">
        <v>286.64863604307175</v>
      </c>
      <c r="G121" s="5">
        <v>1638.3073444366455</v>
      </c>
      <c r="H121" s="5">
        <v>0.25608009612187743</v>
      </c>
      <c r="I121">
        <v>1018.43</v>
      </c>
      <c r="J121" s="5">
        <f>liquidity_data[[#This Row],[w_m]]+liquidity_data[[#This Row],[c_m]]+liquidity_data[[#This Row],[cf_m]]+liquidity_data[[#This Row],[kf_m]]+liquidity_data[[#This Row],[equity]]</f>
        <v>12286.904256562331</v>
      </c>
      <c r="K121" s="5">
        <f>liquidity_data[[#This Row],[kf_d]]+liquidity_data[[#This Row],[cf_d]]</f>
        <v>286.90471613919362</v>
      </c>
      <c r="L121" s="5">
        <f>liquidity_data[[#This Row],[TOTAL_M]]-liquidity_data[[#This Row],[TOTAL_D]]</f>
        <v>11999.999540423138</v>
      </c>
      <c r="M121" s="6">
        <f>liquidity_data[[#This Row],[M-D]]/L120-1</f>
        <v>-1.4221106958700602E-7</v>
      </c>
    </row>
    <row r="122" spans="1:13" x14ac:dyDescent="0.25">
      <c r="A122" s="7" t="s">
        <v>146</v>
      </c>
      <c r="B122">
        <v>121</v>
      </c>
      <c r="C122" s="5">
        <v>9411.2277027235832</v>
      </c>
      <c r="D122" s="5">
        <v>133.83116620033979</v>
      </c>
      <c r="E122" s="5">
        <v>102.08022071048617</v>
      </c>
      <c r="F122" s="5">
        <v>267.79340809583664</v>
      </c>
      <c r="G122" s="5">
        <v>1670.9955902099609</v>
      </c>
      <c r="H122" s="5">
        <v>0.24327609094325453</v>
      </c>
      <c r="I122">
        <v>949.90200000000004</v>
      </c>
      <c r="J122" s="5">
        <f>liquidity_data[[#This Row],[w_m]]+liquidity_data[[#This Row],[c_m]]+liquidity_data[[#This Row],[cf_m]]+liquidity_data[[#This Row],[kf_m]]+liquidity_data[[#This Row],[equity]]</f>
        <v>12268.03667984437</v>
      </c>
      <c r="K122" s="5">
        <f>liquidity_data[[#This Row],[kf_d]]+liquidity_data[[#This Row],[cf_d]]</f>
        <v>268.03668418677989</v>
      </c>
      <c r="L122" s="5">
        <f>liquidity_data[[#This Row],[TOTAL_M]]-liquidity_data[[#This Row],[TOTAL_D]]</f>
        <v>11999.99999565759</v>
      </c>
      <c r="M122" s="6">
        <f>liquidity_data[[#This Row],[M-D]]/L121-1</f>
        <v>3.7936205732336248E-8</v>
      </c>
    </row>
    <row r="123" spans="1:13" x14ac:dyDescent="0.25">
      <c r="A123" s="7" t="s">
        <v>146</v>
      </c>
      <c r="B123">
        <v>122</v>
      </c>
      <c r="C123" s="5">
        <v>9426.9504790073261</v>
      </c>
      <c r="D123" s="5">
        <v>135.01979788392782</v>
      </c>
      <c r="E123" s="5">
        <v>100.7246631286107</v>
      </c>
      <c r="F123" s="5">
        <v>249.82286354340613</v>
      </c>
      <c r="G123" s="5">
        <v>1704.5127067565918</v>
      </c>
      <c r="H123" s="5">
        <v>0.23111228435300291</v>
      </c>
      <c r="I123">
        <v>882.846</v>
      </c>
      <c r="J123" s="5">
        <f>liquidity_data[[#This Row],[w_m]]+liquidity_data[[#This Row],[c_m]]+liquidity_data[[#This Row],[cf_m]]+liquidity_data[[#This Row],[kf_m]]+liquidity_data[[#This Row],[equity]]</f>
        <v>12250.053646776456</v>
      </c>
      <c r="K123" s="5">
        <f>liquidity_data[[#This Row],[kf_d]]+liquidity_data[[#This Row],[cf_d]]</f>
        <v>250.05397582775913</v>
      </c>
      <c r="L123" s="5">
        <f>liquidity_data[[#This Row],[TOTAL_M]]-liquidity_data[[#This Row],[TOTAL_D]]</f>
        <v>11999.999670948697</v>
      </c>
      <c r="M123" s="6">
        <f>liquidity_data[[#This Row],[M-D]]/L122-1</f>
        <v>-2.705907442557276E-8</v>
      </c>
    </row>
    <row r="124" spans="1:13" x14ac:dyDescent="0.25">
      <c r="A124" s="7" t="s">
        <v>146</v>
      </c>
      <c r="B124">
        <v>123</v>
      </c>
      <c r="C124" s="5">
        <v>9441.6188235430745</v>
      </c>
      <c r="D124" s="5">
        <v>136.93312239646912</v>
      </c>
      <c r="E124" s="5">
        <v>89.469241127371788</v>
      </c>
      <c r="F124" s="5">
        <v>233.23911624075845</v>
      </c>
      <c r="G124" s="5">
        <v>1744.4362354278564</v>
      </c>
      <c r="H124" s="5">
        <v>0.2195566714508459</v>
      </c>
      <c r="I124">
        <v>821.00099999999998</v>
      </c>
      <c r="J124" s="5">
        <f>liquidity_data[[#This Row],[w_m]]+liquidity_data[[#This Row],[c_m]]+liquidity_data[[#This Row],[cf_m]]+liquidity_data[[#This Row],[kf_m]]+liquidity_data[[#This Row],[equity]]</f>
        <v>12233.458422494772</v>
      </c>
      <c r="K124" s="5">
        <f>liquidity_data[[#This Row],[kf_d]]+liquidity_data[[#This Row],[cf_d]]</f>
        <v>233.45867291220929</v>
      </c>
      <c r="L124" s="5">
        <f>liquidity_data[[#This Row],[TOTAL_M]]-liquidity_data[[#This Row],[TOTAL_D]]</f>
        <v>11999.999749582563</v>
      </c>
      <c r="M124" s="6">
        <f>liquidity_data[[#This Row],[M-D]]/L123-1</f>
        <v>6.5528222847888173E-9</v>
      </c>
    </row>
    <row r="125" spans="1:13" x14ac:dyDescent="0.25">
      <c r="A125" s="7" t="s">
        <v>146</v>
      </c>
      <c r="B125">
        <v>124</v>
      </c>
      <c r="C125" s="5">
        <v>9448.245103037334</v>
      </c>
      <c r="D125" s="5">
        <v>137.14358998835087</v>
      </c>
      <c r="E125" s="5">
        <v>89.677827946841717</v>
      </c>
      <c r="F125" s="5">
        <v>215.67131798574701</v>
      </c>
      <c r="G125" s="5">
        <v>1783.806978225708</v>
      </c>
      <c r="H125" s="5">
        <v>0.20857883524149656</v>
      </c>
      <c r="I125">
        <v>757.00599999999997</v>
      </c>
      <c r="J125" s="5">
        <f>liquidity_data[[#This Row],[w_m]]+liquidity_data[[#This Row],[c_m]]+liquidity_data[[#This Row],[cf_m]]+liquidity_data[[#This Row],[kf_m]]+liquidity_data[[#This Row],[equity]]</f>
        <v>12215.879499198234</v>
      </c>
      <c r="K125" s="5">
        <f>liquidity_data[[#This Row],[kf_d]]+liquidity_data[[#This Row],[cf_d]]</f>
        <v>215.87989682098851</v>
      </c>
      <c r="L125" s="5">
        <f>liquidity_data[[#This Row],[TOTAL_M]]-liquidity_data[[#This Row],[TOTAL_D]]</f>
        <v>11999.999602377246</v>
      </c>
      <c r="M125" s="6">
        <f>liquidity_data[[#This Row],[M-D]]/L124-1</f>
        <v>-1.2267109994468228E-8</v>
      </c>
    </row>
    <row r="126" spans="1:13" x14ac:dyDescent="0.25">
      <c r="A126" s="7" t="s">
        <v>146</v>
      </c>
      <c r="B126">
        <v>125</v>
      </c>
      <c r="C126" s="5">
        <v>9461.9636755269021</v>
      </c>
      <c r="D126" s="5">
        <v>135.88458117842674</v>
      </c>
      <c r="E126" s="5">
        <v>96.334978820756078</v>
      </c>
      <c r="F126" s="5">
        <v>198.18839900568128</v>
      </c>
      <c r="G126" s="5">
        <v>1809.5950298309326</v>
      </c>
      <c r="H126" s="5">
        <v>0.19814989250153303</v>
      </c>
      <c r="I126">
        <v>694.60799999999995</v>
      </c>
      <c r="J126" s="5">
        <f>liquidity_data[[#This Row],[w_m]]+liquidity_data[[#This Row],[c_m]]+liquidity_data[[#This Row],[cf_m]]+liquidity_data[[#This Row],[kf_m]]+liquidity_data[[#This Row],[equity]]</f>
        <v>12198.386265357018</v>
      </c>
      <c r="K126" s="5">
        <f>liquidity_data[[#This Row],[kf_d]]+liquidity_data[[#This Row],[cf_d]]</f>
        <v>198.38654889818281</v>
      </c>
      <c r="L126" s="5">
        <f>liquidity_data[[#This Row],[TOTAL_M]]-liquidity_data[[#This Row],[TOTAL_D]]</f>
        <v>11999.999716458835</v>
      </c>
      <c r="M126" s="6">
        <f>liquidity_data[[#This Row],[M-D]]/L125-1</f>
        <v>9.5067993477471191E-9</v>
      </c>
    </row>
    <row r="127" spans="1:13" x14ac:dyDescent="0.25">
      <c r="A127" s="7" t="s">
        <v>146</v>
      </c>
      <c r="B127">
        <v>126</v>
      </c>
      <c r="C127" s="5">
        <v>9474.7088146671304</v>
      </c>
      <c r="D127" s="5">
        <v>138.12805071473122</v>
      </c>
      <c r="E127" s="5">
        <v>82.015072371810675</v>
      </c>
      <c r="F127" s="5">
        <v>186.03459972143173</v>
      </c>
      <c r="G127" s="5">
        <v>1841.5922412872314</v>
      </c>
      <c r="H127" s="5">
        <v>0.18824239657260478</v>
      </c>
      <c r="I127">
        <v>649.779</v>
      </c>
      <c r="J127" s="5">
        <f>liquidity_data[[#This Row],[w_m]]+liquidity_data[[#This Row],[c_m]]+liquidity_data[[#This Row],[cf_m]]+liquidity_data[[#This Row],[kf_m]]+liquidity_data[[#This Row],[equity]]</f>
        <v>12186.223179040904</v>
      </c>
      <c r="K127" s="5">
        <f>liquidity_data[[#This Row],[kf_d]]+liquidity_data[[#This Row],[cf_d]]</f>
        <v>186.22284211800434</v>
      </c>
      <c r="L127" s="5">
        <f>liquidity_data[[#This Row],[TOTAL_M]]-liquidity_data[[#This Row],[TOTAL_D]]</f>
        <v>12000.0003369229</v>
      </c>
      <c r="M127" s="6">
        <f>liquidity_data[[#This Row],[M-D]]/L126-1</f>
        <v>5.1705340009533529E-8</v>
      </c>
    </row>
    <row r="128" spans="1:13" x14ac:dyDescent="0.25">
      <c r="A128" s="7" t="s">
        <v>146</v>
      </c>
      <c r="B128">
        <v>127</v>
      </c>
      <c r="C128" s="5">
        <v>9486.4522985676886</v>
      </c>
      <c r="D128" s="5">
        <v>136.55525715649128</v>
      </c>
      <c r="E128" s="5">
        <v>94.351194830611348</v>
      </c>
      <c r="F128" s="5">
        <v>170.33580759167671</v>
      </c>
      <c r="G128" s="5">
        <v>1859.7935562133789</v>
      </c>
      <c r="H128" s="5">
        <v>0.17883027956122532</v>
      </c>
      <c r="I128">
        <v>593.36199999999997</v>
      </c>
      <c r="J128" s="5">
        <f>liquidity_data[[#This Row],[w_m]]+liquidity_data[[#This Row],[c_m]]+liquidity_data[[#This Row],[cf_m]]+liquidity_data[[#This Row],[kf_m]]+liquidity_data[[#This Row],[equity]]</f>
        <v>12170.514306768169</v>
      </c>
      <c r="K128" s="5">
        <f>liquidity_data[[#This Row],[kf_d]]+liquidity_data[[#This Row],[cf_d]]</f>
        <v>170.51463787123794</v>
      </c>
      <c r="L128" s="5">
        <f>liquidity_data[[#This Row],[TOTAL_M]]-liquidity_data[[#This Row],[TOTAL_D]]</f>
        <v>11999.999668896931</v>
      </c>
      <c r="M128" s="6">
        <f>liquidity_data[[#This Row],[M-D]]/L127-1</f>
        <v>-5.566882910201798E-8</v>
      </c>
    </row>
    <row r="129" spans="1:13" x14ac:dyDescent="0.25">
      <c r="A129" s="7" t="s">
        <v>146</v>
      </c>
      <c r="B129">
        <v>128</v>
      </c>
      <c r="C129" s="5">
        <v>9495.6962133189663</v>
      </c>
      <c r="D129" s="5">
        <v>143.60525572905317</v>
      </c>
      <c r="E129" s="5">
        <v>48.056911056861281</v>
      </c>
      <c r="F129" s="5">
        <v>161.2907548956573</v>
      </c>
      <c r="G129" s="5">
        <v>1915.5347728729248</v>
      </c>
      <c r="H129" s="5">
        <v>0.16988876671530306</v>
      </c>
      <c r="I129">
        <v>558.56799999999998</v>
      </c>
      <c r="J129" s="5">
        <f>liquidity_data[[#This Row],[w_m]]+liquidity_data[[#This Row],[c_m]]+liquidity_data[[#This Row],[cf_m]]+liquidity_data[[#This Row],[kf_m]]+liquidity_data[[#This Row],[equity]]</f>
        <v>12161.461152977805</v>
      </c>
      <c r="K129" s="5">
        <f>liquidity_data[[#This Row],[kf_d]]+liquidity_data[[#This Row],[cf_d]]</f>
        <v>161.4606436623726</v>
      </c>
      <c r="L129" s="5">
        <f>liquidity_data[[#This Row],[TOTAL_M]]-liquidity_data[[#This Row],[TOTAL_D]]</f>
        <v>12000.000509315432</v>
      </c>
      <c r="M129" s="6">
        <f>liquidity_data[[#This Row],[M-D]]/L128-1</f>
        <v>7.0034877008851026E-8</v>
      </c>
    </row>
    <row r="130" spans="1:13" x14ac:dyDescent="0.25">
      <c r="A130" s="7" t="s">
        <v>146</v>
      </c>
      <c r="B130">
        <v>129</v>
      </c>
      <c r="C130" s="5">
        <v>9504.0980824367143</v>
      </c>
      <c r="D130" s="5">
        <v>145.26270893216133</v>
      </c>
      <c r="E130" s="5">
        <v>65.585404954850674</v>
      </c>
      <c r="F130" s="5">
        <v>139.69068935513496</v>
      </c>
      <c r="G130" s="5">
        <v>1946.0046882629395</v>
      </c>
      <c r="H130" s="5">
        <v>0.16139432566706091</v>
      </c>
      <c r="I130">
        <v>478.90100000000001</v>
      </c>
      <c r="J130" s="5">
        <f>liquidity_data[[#This Row],[w_m]]+liquidity_data[[#This Row],[c_m]]+liquidity_data[[#This Row],[cf_m]]+liquidity_data[[#This Row],[kf_m]]+liquidity_data[[#This Row],[equity]]</f>
        <v>12139.851884586666</v>
      </c>
      <c r="K130" s="5">
        <f>liquidity_data[[#This Row],[kf_d]]+liquidity_data[[#This Row],[cf_d]]</f>
        <v>139.85208368080202</v>
      </c>
      <c r="L130" s="5">
        <f>liquidity_data[[#This Row],[TOTAL_M]]-liquidity_data[[#This Row],[TOTAL_D]]</f>
        <v>11999.999800905864</v>
      </c>
      <c r="M130" s="6">
        <f>liquidity_data[[#This Row],[M-D]]/L129-1</f>
        <v>-5.9034128252477558E-8</v>
      </c>
    </row>
    <row r="131" spans="1:13" x14ac:dyDescent="0.25">
      <c r="A131" s="7" t="s">
        <v>146</v>
      </c>
      <c r="B131">
        <v>130</v>
      </c>
      <c r="C131" s="5">
        <v>9507.9540325729176</v>
      </c>
      <c r="D131" s="5">
        <v>150.75359338521957</v>
      </c>
      <c r="E131" s="5">
        <v>46.400497806956992</v>
      </c>
      <c r="F131" s="5">
        <v>128.25382035970688</v>
      </c>
      <c r="G131" s="5">
        <v>1994.5057106018066</v>
      </c>
      <c r="H131" s="5">
        <v>0.15332461579237133</v>
      </c>
      <c r="I131">
        <v>428.79300000000001</v>
      </c>
      <c r="J131" s="5">
        <f>liquidity_data[[#This Row],[w_m]]+liquidity_data[[#This Row],[c_m]]+liquidity_data[[#This Row],[cf_m]]+liquidity_data[[#This Row],[kf_m]]+liquidity_data[[#This Row],[equity]]</f>
        <v>12128.406834366901</v>
      </c>
      <c r="K131" s="5">
        <f>liquidity_data[[#This Row],[kf_d]]+liquidity_data[[#This Row],[cf_d]]</f>
        <v>128.40714497549925</v>
      </c>
      <c r="L131" s="5">
        <f>liquidity_data[[#This Row],[TOTAL_M]]-liquidity_data[[#This Row],[TOTAL_D]]</f>
        <v>11999.999689391401</v>
      </c>
      <c r="M131" s="6">
        <f>liquidity_data[[#This Row],[M-D]]/L130-1</f>
        <v>-9.2928720274443322E-9</v>
      </c>
    </row>
    <row r="132" spans="1:13" x14ac:dyDescent="0.25">
      <c r="A132" s="7" t="s">
        <v>146</v>
      </c>
      <c r="B132">
        <v>131</v>
      </c>
      <c r="C132" s="5">
        <v>9523.7881932663731</v>
      </c>
      <c r="D132" s="5">
        <v>148.73362654447556</v>
      </c>
      <c r="E132" s="5">
        <v>51.471027694642544</v>
      </c>
      <c r="F132" s="5">
        <v>111.84885758161545</v>
      </c>
      <c r="G132" s="5">
        <v>2027.5329818725586</v>
      </c>
      <c r="H132" s="5">
        <v>0.14565838052658364</v>
      </c>
      <c r="I132">
        <v>360.46899999999999</v>
      </c>
      <c r="J132" s="5">
        <f>liquidity_data[[#This Row],[w_m]]+liquidity_data[[#This Row],[c_m]]+liquidity_data[[#This Row],[cf_m]]+liquidity_data[[#This Row],[kf_m]]+liquidity_data[[#This Row],[equity]]</f>
        <v>12111.994829378049</v>
      </c>
      <c r="K132" s="5">
        <f>liquidity_data[[#This Row],[kf_d]]+liquidity_data[[#This Row],[cf_d]]</f>
        <v>111.99451596214203</v>
      </c>
      <c r="L132" s="5">
        <f>liquidity_data[[#This Row],[TOTAL_M]]-liquidity_data[[#This Row],[TOTAL_D]]</f>
        <v>12000.000313415907</v>
      </c>
      <c r="M132" s="6">
        <f>liquidity_data[[#This Row],[M-D]]/L131-1</f>
        <v>5.2002043560150923E-8</v>
      </c>
    </row>
    <row r="133" spans="1:13" x14ac:dyDescent="0.25">
      <c r="A133" s="7" t="s">
        <v>146</v>
      </c>
      <c r="B133">
        <v>132</v>
      </c>
      <c r="C133" s="5">
        <v>9537.8120914513711</v>
      </c>
      <c r="D133" s="5">
        <v>145.94403919018805</v>
      </c>
      <c r="E133" s="5">
        <v>56.046415386430454</v>
      </c>
      <c r="F133" s="5">
        <v>97.52634608745575</v>
      </c>
      <c r="G133" s="5">
        <v>2058.85227394104</v>
      </c>
      <c r="H133" s="5">
        <v>0.13837546401191503</v>
      </c>
      <c r="I133">
        <v>299.01</v>
      </c>
      <c r="J133" s="5">
        <f>liquidity_data[[#This Row],[w_m]]+liquidity_data[[#This Row],[c_m]]+liquidity_data[[#This Row],[cf_m]]+liquidity_data[[#This Row],[kf_m]]+liquidity_data[[#This Row],[equity]]</f>
        <v>12097.66481996903</v>
      </c>
      <c r="K133" s="5">
        <f>liquidity_data[[#This Row],[kf_d]]+liquidity_data[[#This Row],[cf_d]]</f>
        <v>97.664721551467665</v>
      </c>
      <c r="L133" s="5">
        <f>liquidity_data[[#This Row],[TOTAL_M]]-liquidity_data[[#This Row],[TOTAL_D]]</f>
        <v>12000.000098417562</v>
      </c>
      <c r="M133" s="6">
        <f>liquidity_data[[#This Row],[M-D]]/L132-1</f>
        <v>-1.7916528260997211E-8</v>
      </c>
    </row>
    <row r="134" spans="1:13" x14ac:dyDescent="0.25">
      <c r="A134" s="7" t="s">
        <v>146</v>
      </c>
      <c r="B134">
        <v>133</v>
      </c>
      <c r="C134" s="5">
        <v>9542.5672071543522</v>
      </c>
      <c r="D134" s="5">
        <v>147.41666102409363</v>
      </c>
      <c r="E134" s="5">
        <v>59.258456352516077</v>
      </c>
      <c r="F134" s="5">
        <v>84.517828702926636</v>
      </c>
      <c r="G134" s="5">
        <v>2095.1914806365967</v>
      </c>
      <c r="H134" s="5">
        <v>0.13145669002551585</v>
      </c>
      <c r="I134">
        <v>240.215</v>
      </c>
      <c r="J134" s="5">
        <f>liquidity_data[[#This Row],[w_m]]+liquidity_data[[#This Row],[c_m]]+liquidity_data[[#This Row],[cf_m]]+liquidity_data[[#This Row],[kf_m]]+liquidity_data[[#This Row],[equity]]</f>
        <v>12084.648805167559</v>
      </c>
      <c r="K134" s="5">
        <f>liquidity_data[[#This Row],[kf_d]]+liquidity_data[[#This Row],[cf_d]]</f>
        <v>84.649285392952152</v>
      </c>
      <c r="L134" s="5">
        <f>liquidity_data[[#This Row],[TOTAL_M]]-liquidity_data[[#This Row],[TOTAL_D]]</f>
        <v>11999.999519774607</v>
      </c>
      <c r="M134" s="6">
        <f>liquidity_data[[#This Row],[M-D]]/L133-1</f>
        <v>-4.8220245907337755E-8</v>
      </c>
    </row>
    <row r="135" spans="1:13" x14ac:dyDescent="0.25">
      <c r="A135" s="7" t="s">
        <v>146</v>
      </c>
      <c r="B135">
        <v>134</v>
      </c>
      <c r="C135" s="5">
        <v>9548.1672351190355</v>
      </c>
      <c r="D135" s="5">
        <v>148.06699681282043</v>
      </c>
      <c r="E135" s="5">
        <v>56.952181198634207</v>
      </c>
      <c r="F135" s="5">
        <v>70.652788132429123</v>
      </c>
      <c r="G135" s="5">
        <v>2140.8315544128418</v>
      </c>
      <c r="H135" s="5">
        <v>0.12488385272445157</v>
      </c>
      <c r="I135">
        <v>176.76</v>
      </c>
      <c r="J135" s="5">
        <f>liquidity_data[[#This Row],[w_m]]+liquidity_data[[#This Row],[c_m]]+liquidity_data[[#This Row],[cf_m]]+liquidity_data[[#This Row],[kf_m]]+liquidity_data[[#This Row],[equity]]</f>
        <v>12070.777967543332</v>
      </c>
      <c r="K135" s="5">
        <f>liquidity_data[[#This Row],[kf_d]]+liquidity_data[[#This Row],[cf_d]]</f>
        <v>70.777671985153574</v>
      </c>
      <c r="L135" s="5">
        <f>liquidity_data[[#This Row],[TOTAL_M]]-liquidity_data[[#This Row],[TOTAL_D]]</f>
        <v>12000.000295558179</v>
      </c>
      <c r="M135" s="6">
        <f>liquidity_data[[#This Row],[M-D]]/L134-1</f>
        <v>6.4648633557595758E-8</v>
      </c>
    </row>
    <row r="136" spans="1:13" x14ac:dyDescent="0.25">
      <c r="A136" s="7" t="s">
        <v>146</v>
      </c>
      <c r="B136">
        <v>135</v>
      </c>
      <c r="C136" s="5">
        <v>9554.268966644071</v>
      </c>
      <c r="D136" s="5">
        <v>148.61314219236374</v>
      </c>
      <c r="E136" s="5">
        <v>80.386204842478037</v>
      </c>
      <c r="F136" s="5">
        <v>54.919148772954941</v>
      </c>
      <c r="G136" s="5">
        <v>2168.5920028686523</v>
      </c>
      <c r="H136" s="5">
        <v>0.11863966443343088</v>
      </c>
      <c r="I136">
        <v>103.17700000000001</v>
      </c>
      <c r="J136" s="5">
        <f>liquidity_data[[#This Row],[w_m]]+liquidity_data[[#This Row],[c_m]]+liquidity_data[[#This Row],[cf_m]]+liquidity_data[[#This Row],[kf_m]]+liquidity_data[[#This Row],[equity]]</f>
        <v>12055.037316547565</v>
      </c>
      <c r="K136" s="5">
        <f>liquidity_data[[#This Row],[kf_d]]+liquidity_data[[#This Row],[cf_d]]</f>
        <v>55.037788437388372</v>
      </c>
      <c r="L136" s="5">
        <f>liquidity_data[[#This Row],[TOTAL_M]]-liquidity_data[[#This Row],[TOTAL_D]]</f>
        <v>11999.999528110176</v>
      </c>
      <c r="M136" s="6">
        <f>liquidity_data[[#This Row],[M-D]]/L135-1</f>
        <v>-6.3953998652444E-8</v>
      </c>
    </row>
    <row r="137" spans="1:13" x14ac:dyDescent="0.25">
      <c r="A137" s="7" t="s">
        <v>146</v>
      </c>
      <c r="B137">
        <v>136</v>
      </c>
      <c r="C137" s="5">
        <v>9560.3087538047694</v>
      </c>
      <c r="D137" s="5">
        <v>151.63841105997562</v>
      </c>
      <c r="E137" s="5">
        <v>73.126986389688682</v>
      </c>
      <c r="F137" s="5">
        <v>39.996483724564314</v>
      </c>
      <c r="G137" s="5">
        <v>2206.6540241241455</v>
      </c>
      <c r="H137" s="5">
        <v>0.11270767997484654</v>
      </c>
      <c r="I137">
        <v>48.381</v>
      </c>
      <c r="J137" s="5">
        <f>liquidity_data[[#This Row],[w_m]]+liquidity_data[[#This Row],[c_m]]+liquidity_data[[#This Row],[cf_m]]+liquidity_data[[#This Row],[kf_m]]+liquidity_data[[#This Row],[equity]]</f>
        <v>12040.109175378579</v>
      </c>
      <c r="K137" s="5">
        <f>liquidity_data[[#This Row],[kf_d]]+liquidity_data[[#This Row],[cf_d]]</f>
        <v>40.10919140453916</v>
      </c>
      <c r="L137" s="5">
        <f>liquidity_data[[#This Row],[TOTAL_M]]-liquidity_data[[#This Row],[TOTAL_D]]</f>
        <v>11999.999983974039</v>
      </c>
      <c r="M137" s="6">
        <f>liquidity_data[[#This Row],[M-D]]/L136-1</f>
        <v>3.7988656664822429E-8</v>
      </c>
    </row>
    <row r="138" spans="1:13" x14ac:dyDescent="0.25">
      <c r="A138" s="7" t="s">
        <v>146</v>
      </c>
      <c r="B138">
        <v>137</v>
      </c>
      <c r="C138" s="5">
        <v>9570.3365909428103</v>
      </c>
      <c r="D138" s="5">
        <v>156.2687414996326</v>
      </c>
      <c r="E138" s="5">
        <v>59.971198369166814</v>
      </c>
      <c r="F138" s="5">
        <v>29.646352805197239</v>
      </c>
      <c r="G138" s="5">
        <v>2261.0871906280518</v>
      </c>
      <c r="H138" s="5">
        <v>0.10707229573745281</v>
      </c>
      <c r="I138">
        <v>-17.910299999999999</v>
      </c>
      <c r="J138" s="5">
        <f>liquidity_data[[#This Row],[w_m]]+liquidity_data[[#This Row],[c_m]]+liquidity_data[[#This Row],[cf_m]]+liquidity_data[[#This Row],[kf_m]]+liquidity_data[[#This Row],[equity]]</f>
        <v>12029.753421439662</v>
      </c>
      <c r="K138" s="5">
        <f>liquidity_data[[#This Row],[kf_d]]+liquidity_data[[#This Row],[cf_d]]</f>
        <v>29.753425100934692</v>
      </c>
      <c r="L138" s="5">
        <f>liquidity_data[[#This Row],[TOTAL_M]]-liquidity_data[[#This Row],[TOTAL_D]]</f>
        <v>11999.999996338727</v>
      </c>
      <c r="M138" s="6">
        <f>liquidity_data[[#This Row],[M-D]]/L137-1</f>
        <v>1.0303906616826453E-9</v>
      </c>
    </row>
    <row r="139" spans="1:13" x14ac:dyDescent="0.25">
      <c r="A139" s="7" t="s">
        <v>146</v>
      </c>
      <c r="B139">
        <v>138</v>
      </c>
      <c r="C139" s="5">
        <v>9583.1212125886232</v>
      </c>
      <c r="D139" s="5">
        <v>154.13221479905769</v>
      </c>
      <c r="E139" s="5">
        <v>111.37964295456186</v>
      </c>
      <c r="F139" s="5">
        <v>20.933826811611652</v>
      </c>
      <c r="G139" s="5">
        <v>2279.2014923095703</v>
      </c>
      <c r="H139" s="5">
        <v>0.10171868180623278</v>
      </c>
      <c r="I139">
        <v>-106.79900000000001</v>
      </c>
      <c r="J139" s="5">
        <f>liquidity_data[[#This Row],[w_m]]+liquidity_data[[#This Row],[c_m]]+liquidity_data[[#This Row],[cf_m]]+liquidity_data[[#This Row],[kf_m]]+liquidity_data[[#This Row],[equity]]</f>
        <v>12021.035562651812</v>
      </c>
      <c r="K139" s="5">
        <f>liquidity_data[[#This Row],[kf_d]]+liquidity_data[[#This Row],[cf_d]]</f>
        <v>21.035545493417885</v>
      </c>
      <c r="L139" s="5">
        <f>liquidity_data[[#This Row],[TOTAL_M]]-liquidity_data[[#This Row],[TOTAL_D]]</f>
        <v>12000.000017158394</v>
      </c>
      <c r="M139" s="6">
        <f>liquidity_data[[#This Row],[M-D]]/L138-1</f>
        <v>1.7349721659343231E-9</v>
      </c>
    </row>
    <row r="140" spans="1:13" x14ac:dyDescent="0.25">
      <c r="A140" s="7" t="s">
        <v>146</v>
      </c>
      <c r="B140">
        <v>139</v>
      </c>
      <c r="C140" s="5">
        <v>9588.4286032163072</v>
      </c>
      <c r="D140" s="5">
        <v>159.67357669095509</v>
      </c>
      <c r="E140" s="5">
        <v>86.370082087814808</v>
      </c>
      <c r="F140" s="5">
        <v>17.561247482895851</v>
      </c>
      <c r="G140" s="5">
        <v>2338.0457401275635</v>
      </c>
      <c r="H140" s="5">
        <v>9.663274441845715E-2</v>
      </c>
      <c r="I140">
        <v>-154.86000000000001</v>
      </c>
      <c r="J140" s="5">
        <f>liquidity_data[[#This Row],[w_m]]+liquidity_data[[#This Row],[c_m]]+liquidity_data[[#This Row],[cf_m]]+liquidity_data[[#This Row],[kf_m]]+liquidity_data[[#This Row],[equity]]</f>
        <v>12017.65800212264</v>
      </c>
      <c r="K140" s="5">
        <f>liquidity_data[[#This Row],[kf_d]]+liquidity_data[[#This Row],[cf_d]]</f>
        <v>17.657880227314308</v>
      </c>
      <c r="L140" s="5">
        <f>liquidity_data[[#This Row],[TOTAL_M]]-liquidity_data[[#This Row],[TOTAL_D]]</f>
        <v>12000.000121895326</v>
      </c>
      <c r="M140" s="6">
        <f>liquidity_data[[#This Row],[M-D]]/L139-1</f>
        <v>8.7280775940001831E-9</v>
      </c>
    </row>
    <row r="141" spans="1:13" x14ac:dyDescent="0.25">
      <c r="A141" s="7" t="s">
        <v>146</v>
      </c>
      <c r="B141">
        <v>140</v>
      </c>
      <c r="C141" s="5">
        <v>9597.483512729872</v>
      </c>
      <c r="D141" s="5">
        <v>159.82111855293624</v>
      </c>
      <c r="E141" s="5">
        <v>124.18324614828452</v>
      </c>
      <c r="F141" s="5">
        <v>12.462242130190134</v>
      </c>
      <c r="G141" s="5">
        <v>2369.0359420776367</v>
      </c>
      <c r="H141" s="5">
        <v>9.1801109549123794E-2</v>
      </c>
      <c r="I141">
        <v>-237.97</v>
      </c>
      <c r="J141" s="5">
        <f>liquidity_data[[#This Row],[w_m]]+liquidity_data[[#This Row],[c_m]]+liquidity_data[[#This Row],[cf_m]]+liquidity_data[[#This Row],[kf_m]]+liquidity_data[[#This Row],[equity]]</f>
        <v>12012.55381950873</v>
      </c>
      <c r="K141" s="5">
        <f>liquidity_data[[#This Row],[kf_d]]+liquidity_data[[#This Row],[cf_d]]</f>
        <v>12.554043239739258</v>
      </c>
      <c r="L141" s="5">
        <f>liquidity_data[[#This Row],[TOTAL_M]]-liquidity_data[[#This Row],[TOTAL_D]]</f>
        <v>11999.999776268991</v>
      </c>
      <c r="M141" s="6">
        <f>liquidity_data[[#This Row],[M-D]]/L140-1</f>
        <v>-2.8802194296240202E-8</v>
      </c>
    </row>
    <row r="142" spans="1:13" x14ac:dyDescent="0.25">
      <c r="A142" s="7" t="s">
        <v>146</v>
      </c>
      <c r="B142">
        <v>141</v>
      </c>
      <c r="C142" s="5">
        <v>9608.2361069186591</v>
      </c>
      <c r="D142" s="5">
        <v>159.42873168434016</v>
      </c>
      <c r="E142" s="5">
        <v>124.58327295887284</v>
      </c>
      <c r="F142" s="5">
        <v>9.807415559887886</v>
      </c>
      <c r="G142" s="5">
        <v>2402.8769073486328</v>
      </c>
      <c r="H142" s="5">
        <v>8.7211054807994515E-2</v>
      </c>
      <c r="I142">
        <v>-285.23</v>
      </c>
      <c r="J142" s="5">
        <f>liquidity_data[[#This Row],[w_m]]+liquidity_data[[#This Row],[c_m]]+liquidity_data[[#This Row],[cf_m]]+liquidity_data[[#This Row],[kf_m]]+liquidity_data[[#This Row],[equity]]</f>
        <v>12009.895018910505</v>
      </c>
      <c r="K142" s="5">
        <f>liquidity_data[[#This Row],[kf_d]]+liquidity_data[[#This Row],[cf_d]]</f>
        <v>9.8946266146958806</v>
      </c>
      <c r="L142" s="5">
        <f>liquidity_data[[#This Row],[TOTAL_M]]-liquidity_data[[#This Row],[TOTAL_D]]</f>
        <v>12000.000392295809</v>
      </c>
      <c r="M142" s="6">
        <f>liquidity_data[[#This Row],[M-D]]/L141-1</f>
        <v>5.1335569128951875E-8</v>
      </c>
    </row>
    <row r="143" spans="1:13" x14ac:dyDescent="0.25">
      <c r="A143" s="7" t="s">
        <v>146</v>
      </c>
      <c r="B143">
        <v>142</v>
      </c>
      <c r="C143" s="5">
        <v>9610.6873601830303</v>
      </c>
      <c r="D143" s="5">
        <v>164.64306459500222</v>
      </c>
      <c r="E143" s="5">
        <v>119.74561281688511</v>
      </c>
      <c r="F143" s="5">
        <v>7.9896443784236908</v>
      </c>
      <c r="G143" s="5">
        <v>2457.1888465881348</v>
      </c>
      <c r="H143" s="5">
        <v>8.285050094127655E-2</v>
      </c>
      <c r="I143">
        <v>-344.19200000000001</v>
      </c>
      <c r="J143" s="5">
        <f>liquidity_data[[#This Row],[w_m]]+liquidity_data[[#This Row],[c_m]]+liquidity_data[[#This Row],[cf_m]]+liquidity_data[[#This Row],[kf_m]]+liquidity_data[[#This Row],[equity]]</f>
        <v>12008.072884183053</v>
      </c>
      <c r="K143" s="5">
        <f>liquidity_data[[#This Row],[kf_d]]+liquidity_data[[#This Row],[cf_d]]</f>
        <v>8.0724948793649673</v>
      </c>
      <c r="L143" s="5">
        <f>liquidity_data[[#This Row],[TOTAL_M]]-liquidity_data[[#This Row],[TOTAL_D]]</f>
        <v>12000.000389303688</v>
      </c>
      <c r="M143" s="6">
        <f>liquidity_data[[#This Row],[M-D]]/L142-1</f>
        <v>-2.4934343478832943E-10</v>
      </c>
    </row>
    <row r="144" spans="1:13" x14ac:dyDescent="0.25">
      <c r="A144" s="7" t="s">
        <v>146</v>
      </c>
      <c r="B144">
        <v>143</v>
      </c>
      <c r="C144" s="5">
        <v>9613.729388301188</v>
      </c>
      <c r="D144" s="5">
        <v>167.37972975667799</v>
      </c>
      <c r="E144" s="5">
        <v>142.74279804783873</v>
      </c>
      <c r="F144" s="5">
        <v>6.3135308139026165</v>
      </c>
      <c r="G144" s="5">
        <v>2494.2596740722656</v>
      </c>
      <c r="H144" s="5">
        <v>7.8707974869757891E-2</v>
      </c>
      <c r="I144">
        <v>-411.71899999999999</v>
      </c>
      <c r="J144" s="5">
        <f>liquidity_data[[#This Row],[w_m]]+liquidity_data[[#This Row],[c_m]]+liquidity_data[[#This Row],[cf_m]]+liquidity_data[[#This Row],[kf_m]]+liquidity_data[[#This Row],[equity]]</f>
        <v>12006.392590177971</v>
      </c>
      <c r="K144" s="5">
        <f>liquidity_data[[#This Row],[kf_d]]+liquidity_data[[#This Row],[cf_d]]</f>
        <v>6.3922387887723744</v>
      </c>
      <c r="L144" s="5">
        <f>liquidity_data[[#This Row],[TOTAL_M]]-liquidity_data[[#This Row],[TOTAL_D]]</f>
        <v>12000.000351389199</v>
      </c>
      <c r="M144" s="6">
        <f>liquidity_data[[#This Row],[M-D]]/L143-1</f>
        <v>-3.1595406291273775E-9</v>
      </c>
    </row>
    <row r="145" spans="1:13" x14ac:dyDescent="0.25">
      <c r="A145" s="7" t="s">
        <v>146</v>
      </c>
      <c r="B145">
        <v>144</v>
      </c>
      <c r="C145" s="5">
        <v>9618.1925897385081</v>
      </c>
      <c r="D145" s="5">
        <v>169.03580853063613</v>
      </c>
      <c r="E145" s="5">
        <v>148.8420506878756</v>
      </c>
      <c r="F145" s="5">
        <v>5.2111942544579506</v>
      </c>
      <c r="G145" s="5">
        <v>2539.8896141052246</v>
      </c>
      <c r="H145" s="5">
        <v>7.4772578111151233E-2</v>
      </c>
      <c r="I145">
        <v>-470.67399999999998</v>
      </c>
      <c r="J145" s="5">
        <f>liquidity_data[[#This Row],[w_m]]+liquidity_data[[#This Row],[c_m]]+liquidity_data[[#This Row],[cf_m]]+liquidity_data[[#This Row],[kf_m]]+liquidity_data[[#This Row],[equity]]</f>
        <v>12005.286063062245</v>
      </c>
      <c r="K145" s="5">
        <f>liquidity_data[[#This Row],[kf_d]]+liquidity_data[[#This Row],[cf_d]]</f>
        <v>5.2859668325691018</v>
      </c>
      <c r="L145" s="5">
        <f>liquidity_data[[#This Row],[TOTAL_M]]-liquidity_data[[#This Row],[TOTAL_D]]</f>
        <v>12000.000096229676</v>
      </c>
      <c r="M145" s="6">
        <f>liquidity_data[[#This Row],[M-D]]/L144-1</f>
        <v>-2.1263292904194486E-8</v>
      </c>
    </row>
    <row r="146" spans="1:13" x14ac:dyDescent="0.25">
      <c r="A146" s="7" t="s">
        <v>146</v>
      </c>
      <c r="B146">
        <v>145</v>
      </c>
      <c r="C146" s="5">
        <v>9625.3733883147215</v>
      </c>
      <c r="D146" s="5">
        <v>167.47682185843587</v>
      </c>
      <c r="E146" s="5">
        <v>161.38147487863898</v>
      </c>
      <c r="F146" s="5">
        <v>4.6353211551904678</v>
      </c>
      <c r="G146" s="5">
        <v>2580.7702941894531</v>
      </c>
      <c r="H146" s="5">
        <v>7.1033949236152694E-2</v>
      </c>
      <c r="I146">
        <v>-530.29600000000005</v>
      </c>
      <c r="J146" s="5">
        <f>liquidity_data[[#This Row],[w_m]]+liquidity_data[[#This Row],[c_m]]+liquidity_data[[#This Row],[cf_m]]+liquidity_data[[#This Row],[kf_m]]+liquidity_data[[#This Row],[equity]]</f>
        <v>12004.705979241249</v>
      </c>
      <c r="K146" s="5">
        <f>liquidity_data[[#This Row],[kf_d]]+liquidity_data[[#This Row],[cf_d]]</f>
        <v>4.7063551044266205</v>
      </c>
      <c r="L146" s="5">
        <f>liquidity_data[[#This Row],[TOTAL_M]]-liquidity_data[[#This Row],[TOTAL_D]]</f>
        <v>11999.999624136823</v>
      </c>
      <c r="M146" s="6">
        <f>liquidity_data[[#This Row],[M-D]]/L145-1</f>
        <v>-3.9341070845466675E-8</v>
      </c>
    </row>
    <row r="147" spans="1:13" x14ac:dyDescent="0.25">
      <c r="A147" s="7" t="s">
        <v>146</v>
      </c>
      <c r="B147">
        <v>146</v>
      </c>
      <c r="C147" s="5">
        <v>9628.5465486381436</v>
      </c>
      <c r="D147" s="5">
        <v>173.51166653027758</v>
      </c>
      <c r="E147" s="5">
        <v>164.92716904403642</v>
      </c>
      <c r="F147" s="5">
        <v>3.5316329039633274</v>
      </c>
      <c r="G147" s="5">
        <v>2635.6940307617188</v>
      </c>
      <c r="H147" s="5">
        <v>6.748225013143383E-2</v>
      </c>
      <c r="I147">
        <v>-599.08000000000004</v>
      </c>
      <c r="J147" s="5">
        <f>liquidity_data[[#This Row],[w_m]]+liquidity_data[[#This Row],[c_m]]+liquidity_data[[#This Row],[cf_m]]+liquidity_data[[#This Row],[kf_m]]+liquidity_data[[#This Row],[equity]]</f>
        <v>12003.599414974176</v>
      </c>
      <c r="K147" s="5">
        <f>liquidity_data[[#This Row],[kf_d]]+liquidity_data[[#This Row],[cf_d]]</f>
        <v>3.5991151540947612</v>
      </c>
      <c r="L147" s="5">
        <f>liquidity_data[[#This Row],[TOTAL_M]]-liquidity_data[[#This Row],[TOTAL_D]]</f>
        <v>12000.000299820082</v>
      </c>
      <c r="M147" s="6">
        <f>liquidity_data[[#This Row],[M-D]]/L146-1</f>
        <v>5.6306939999473116E-8</v>
      </c>
    </row>
    <row r="148" spans="1:13" x14ac:dyDescent="0.25">
      <c r="A148" s="7" t="s">
        <v>146</v>
      </c>
      <c r="B148">
        <v>147</v>
      </c>
      <c r="C148" s="5">
        <v>9629.2359222802334</v>
      </c>
      <c r="D148" s="5">
        <v>181.62049809994642</v>
      </c>
      <c r="E148" s="5">
        <v>168.64239821955562</v>
      </c>
      <c r="F148" s="5">
        <v>2.964263379573822</v>
      </c>
      <c r="G148" s="5">
        <v>2683.7902221679688</v>
      </c>
      <c r="H148" s="5">
        <v>6.4108136633876711E-2</v>
      </c>
      <c r="I148">
        <v>-660.26099999999997</v>
      </c>
      <c r="J148" s="5">
        <f>liquidity_data[[#This Row],[w_m]]+liquidity_data[[#This Row],[c_m]]+liquidity_data[[#This Row],[cf_m]]+liquidity_data[[#This Row],[kf_m]]+liquidity_data[[#This Row],[equity]]</f>
        <v>12003.028040767704</v>
      </c>
      <c r="K148" s="5">
        <f>liquidity_data[[#This Row],[kf_d]]+liquidity_data[[#This Row],[cf_d]]</f>
        <v>3.0283715162076987</v>
      </c>
      <c r="L148" s="5">
        <f>liquidity_data[[#This Row],[TOTAL_M]]-liquidity_data[[#This Row],[TOTAL_D]]</f>
        <v>11999.999669251496</v>
      </c>
      <c r="M148" s="6">
        <f>liquidity_data[[#This Row],[M-D]]/L147-1</f>
        <v>-5.2547380779977004E-8</v>
      </c>
    </row>
    <row r="149" spans="1:13" x14ac:dyDescent="0.25">
      <c r="A149" s="7" t="s">
        <v>146</v>
      </c>
      <c r="B149">
        <v>148</v>
      </c>
      <c r="C149" s="5">
        <v>9631.8650727692002</v>
      </c>
      <c r="D149" s="5">
        <v>185.68283751048148</v>
      </c>
      <c r="E149" s="5">
        <v>164.44071236718446</v>
      </c>
      <c r="F149" s="5">
        <v>2.1110554486513138</v>
      </c>
      <c r="G149" s="5">
        <v>2734.745777130127</v>
      </c>
      <c r="H149" s="5">
        <v>6.0902731522219256E-2</v>
      </c>
      <c r="I149">
        <v>-714.56200000000001</v>
      </c>
      <c r="J149" s="5">
        <f>liquidity_data[[#This Row],[w_m]]+liquidity_data[[#This Row],[c_m]]+liquidity_data[[#This Row],[cf_m]]+liquidity_data[[#This Row],[kf_m]]+liquidity_data[[#This Row],[equity]]</f>
        <v>12002.172399776993</v>
      </c>
      <c r="K149" s="5">
        <f>liquidity_data[[#This Row],[kf_d]]+liquidity_data[[#This Row],[cf_d]]</f>
        <v>2.171958180173533</v>
      </c>
      <c r="L149" s="5">
        <f>liquidity_data[[#This Row],[TOTAL_M]]-liquidity_data[[#This Row],[TOTAL_D]]</f>
        <v>12000.00044159682</v>
      </c>
      <c r="M149" s="6">
        <f>liquidity_data[[#This Row],[M-D]]/L148-1</f>
        <v>6.4362112084381806E-8</v>
      </c>
    </row>
    <row r="150" spans="1:13" x14ac:dyDescent="0.25">
      <c r="A150" s="7" t="s">
        <v>146</v>
      </c>
      <c r="B150">
        <v>149</v>
      </c>
      <c r="C150" s="5">
        <v>9636.2886016806588</v>
      </c>
      <c r="D150" s="5">
        <v>182.91169387311675</v>
      </c>
      <c r="E150" s="5">
        <v>200.8399037886411</v>
      </c>
      <c r="F150" s="5">
        <v>1.8020273894071579</v>
      </c>
      <c r="G150" s="5">
        <v>2764.1626243591309</v>
      </c>
      <c r="H150" s="5">
        <v>5.7857593696098775E-2</v>
      </c>
      <c r="I150">
        <v>-782.34299999999996</v>
      </c>
      <c r="J150" s="5">
        <f>liquidity_data[[#This Row],[w_m]]+liquidity_data[[#This Row],[c_m]]+liquidity_data[[#This Row],[cf_m]]+liquidity_data[[#This Row],[kf_m]]+liquidity_data[[#This Row],[equity]]</f>
        <v>12001.859823701547</v>
      </c>
      <c r="K150" s="5">
        <f>liquidity_data[[#This Row],[kf_d]]+liquidity_data[[#This Row],[cf_d]]</f>
        <v>1.8598849831032567</v>
      </c>
      <c r="L150" s="5">
        <f>liquidity_data[[#This Row],[TOTAL_M]]-liquidity_data[[#This Row],[TOTAL_D]]</f>
        <v>11999.999938718443</v>
      </c>
      <c r="M150" s="6">
        <f>liquidity_data[[#This Row],[M-D]]/L149-1</f>
        <v>-4.1906529801849501E-8</v>
      </c>
    </row>
    <row r="151" spans="1:13" x14ac:dyDescent="0.25">
      <c r="A151" s="7" t="s">
        <v>146</v>
      </c>
      <c r="B151">
        <v>150</v>
      </c>
      <c r="C151" s="5">
        <v>9640.469957733294</v>
      </c>
      <c r="D151" s="5">
        <v>182.60136081994278</v>
      </c>
      <c r="E151" s="5">
        <v>216.95093119889498</v>
      </c>
      <c r="F151" s="5">
        <v>1.2137366160750389</v>
      </c>
      <c r="G151" s="5">
        <v>2799.1670341491699</v>
      </c>
      <c r="H151" s="5">
        <v>5.4964714916422963E-2</v>
      </c>
      <c r="I151">
        <v>-837.92100000000005</v>
      </c>
      <c r="J151" s="5">
        <f>liquidity_data[[#This Row],[w_m]]+liquidity_data[[#This Row],[c_m]]+liquidity_data[[#This Row],[cf_m]]+liquidity_data[[#This Row],[kf_m]]+liquidity_data[[#This Row],[equity]]</f>
        <v>12001.268283901301</v>
      </c>
      <c r="K151" s="5">
        <f>liquidity_data[[#This Row],[kf_d]]+liquidity_data[[#This Row],[cf_d]]</f>
        <v>1.2687013309914619</v>
      </c>
      <c r="L151" s="5">
        <f>liquidity_data[[#This Row],[TOTAL_M]]-liquidity_data[[#This Row],[TOTAL_D]]</f>
        <v>11999.99958257031</v>
      </c>
      <c r="M151" s="6">
        <f>liquidity_data[[#This Row],[M-D]]/L150-1</f>
        <v>-2.9679011248617826E-8</v>
      </c>
    </row>
    <row r="152" spans="1:13" x14ac:dyDescent="0.25">
      <c r="A152" s="7" t="s">
        <v>146</v>
      </c>
      <c r="B152">
        <v>151</v>
      </c>
      <c r="C152" s="5">
        <v>9641.0994636677206</v>
      </c>
      <c r="D152" s="5">
        <v>186.34961305576144</v>
      </c>
      <c r="E152" s="5">
        <v>201.84363230038434</v>
      </c>
      <c r="F152" s="5">
        <v>1.0242406614124775</v>
      </c>
      <c r="G152" s="5">
        <v>2864.9711303710938</v>
      </c>
      <c r="H152" s="5">
        <v>5.2216479904018342E-2</v>
      </c>
      <c r="I152">
        <v>-893.18700000000001</v>
      </c>
      <c r="J152" s="5">
        <f>liquidity_data[[#This Row],[w_m]]+liquidity_data[[#This Row],[c_m]]+liquidity_data[[#This Row],[cf_m]]+liquidity_data[[#This Row],[kf_m]]+liquidity_data[[#This Row],[equity]]</f>
        <v>12001.07683939496</v>
      </c>
      <c r="K152" s="5">
        <f>liquidity_data[[#This Row],[kf_d]]+liquidity_data[[#This Row],[cf_d]]</f>
        <v>1.0764571413164958</v>
      </c>
      <c r="L152" s="5">
        <f>liquidity_data[[#This Row],[TOTAL_M]]-liquidity_data[[#This Row],[TOTAL_D]]</f>
        <v>12000.000382253644</v>
      </c>
      <c r="M152" s="6">
        <f>liquidity_data[[#This Row],[M-D]]/L151-1</f>
        <v>6.6640280182994616E-8</v>
      </c>
    </row>
    <row r="153" spans="1:13" x14ac:dyDescent="0.25">
      <c r="A153" s="7" t="s">
        <v>146</v>
      </c>
      <c r="B153">
        <v>152</v>
      </c>
      <c r="C153" s="5">
        <v>9640.529627131531</v>
      </c>
      <c r="D153" s="5">
        <v>192.00315310584847</v>
      </c>
      <c r="E153" s="5">
        <v>200.72618568316102</v>
      </c>
      <c r="F153" s="5">
        <v>0.79857400804758072</v>
      </c>
      <c r="G153" s="5">
        <v>2921.3729667663574</v>
      </c>
      <c r="H153" s="5">
        <v>4.96056548145134E-2</v>
      </c>
      <c r="I153">
        <v>-953.78399999999999</v>
      </c>
      <c r="J153" s="5">
        <f>liquidity_data[[#This Row],[w_m]]+liquidity_data[[#This Row],[c_m]]+liquidity_data[[#This Row],[cf_m]]+liquidity_data[[#This Row],[kf_m]]+liquidity_data[[#This Row],[equity]]</f>
        <v>12000.847932686898</v>
      </c>
      <c r="K153" s="5">
        <f>liquidity_data[[#This Row],[kf_d]]+liquidity_data[[#This Row],[cf_d]]</f>
        <v>0.84817966286209412</v>
      </c>
      <c r="L153" s="5">
        <f>liquidity_data[[#This Row],[TOTAL_M]]-liquidity_data[[#This Row],[TOTAL_D]]</f>
        <v>11999.999753024036</v>
      </c>
      <c r="M153" s="6">
        <f>liquidity_data[[#This Row],[M-D]]/L152-1</f>
        <v>-5.2435798925110078E-8</v>
      </c>
    </row>
    <row r="154" spans="1:13" x14ac:dyDescent="0.25">
      <c r="A154" s="7" t="s">
        <v>146</v>
      </c>
      <c r="B154">
        <v>153</v>
      </c>
      <c r="C154" s="5">
        <v>9644.3208940781187</v>
      </c>
      <c r="D154" s="5">
        <v>195.91178118262906</v>
      </c>
      <c r="E154" s="5">
        <v>193.68494543246925</v>
      </c>
      <c r="F154" s="5">
        <v>0.75864532217383385</v>
      </c>
      <c r="G154" s="5">
        <v>2978.7070808410645</v>
      </c>
      <c r="H154" s="5">
        <v>4.7125372308073565E-2</v>
      </c>
      <c r="I154">
        <v>-1011.82</v>
      </c>
      <c r="J154" s="5">
        <f>liquidity_data[[#This Row],[w_m]]+liquidity_data[[#This Row],[c_m]]+liquidity_data[[#This Row],[cf_m]]+liquidity_data[[#This Row],[kf_m]]+liquidity_data[[#This Row],[equity]]</f>
        <v>12000.804701534282</v>
      </c>
      <c r="K154" s="5">
        <f>liquidity_data[[#This Row],[kf_d]]+liquidity_data[[#This Row],[cf_d]]</f>
        <v>0.80577069448190741</v>
      </c>
      <c r="L154" s="5">
        <f>liquidity_data[[#This Row],[TOTAL_M]]-liquidity_data[[#This Row],[TOTAL_D]]</f>
        <v>11999.9989308398</v>
      </c>
      <c r="M154" s="6">
        <f>liquidity_data[[#This Row],[M-D]]/L153-1</f>
        <v>-6.8515354390008554E-8</v>
      </c>
    </row>
    <row r="155" spans="1:13" x14ac:dyDescent="0.25">
      <c r="A155" s="7" t="s">
        <v>146</v>
      </c>
      <c r="B155">
        <v>154</v>
      </c>
      <c r="C155" s="5">
        <v>9648.5344111056766</v>
      </c>
      <c r="D155" s="5">
        <v>193.48898776737042</v>
      </c>
      <c r="E155" s="5">
        <v>213.65337519627064</v>
      </c>
      <c r="F155" s="5">
        <v>0.720713060349226</v>
      </c>
      <c r="G155" s="5">
        <v>3020.2794456481934</v>
      </c>
      <c r="H155" s="5">
        <v>4.4769104672013782E-2</v>
      </c>
      <c r="I155">
        <v>-1075.19</v>
      </c>
      <c r="J155" s="5">
        <f>liquidity_data[[#This Row],[w_m]]+liquidity_data[[#This Row],[c_m]]+liquidity_data[[#This Row],[cf_m]]+liquidity_data[[#This Row],[kf_m]]+liquidity_data[[#This Row],[equity]]</f>
        <v>12000.76621971751</v>
      </c>
      <c r="K155" s="5">
        <f>liquidity_data[[#This Row],[kf_d]]+liquidity_data[[#This Row],[cf_d]]</f>
        <v>0.76548216502123978</v>
      </c>
      <c r="L155" s="5">
        <f>liquidity_data[[#This Row],[TOTAL_M]]-liquidity_data[[#This Row],[TOTAL_D]]</f>
        <v>12000.000737552489</v>
      </c>
      <c r="M155" s="6">
        <f>liquidity_data[[#This Row],[M-D]]/L154-1</f>
        <v>1.5055940427721737E-7</v>
      </c>
    </row>
    <row r="156" spans="1:13" x14ac:dyDescent="0.25">
      <c r="A156" s="7" t="s">
        <v>146</v>
      </c>
      <c r="B156">
        <v>155</v>
      </c>
      <c r="C156" s="5">
        <v>9651.8188499165117</v>
      </c>
      <c r="D156" s="5">
        <v>193.9366391900985</v>
      </c>
      <c r="E156" s="5">
        <v>213.67830308154225</v>
      </c>
      <c r="F156" s="5">
        <v>0.68467739596962929</v>
      </c>
      <c r="G156" s="5">
        <v>3074.8004417419434</v>
      </c>
      <c r="H156" s="5">
        <v>4.2530649065156467E-2</v>
      </c>
      <c r="I156">
        <v>-1133.51</v>
      </c>
      <c r="J156" s="5">
        <f>liquidity_data[[#This Row],[w_m]]+liquidity_data[[#This Row],[c_m]]+liquidity_data[[#This Row],[cf_m]]+liquidity_data[[#This Row],[kf_m]]+liquidity_data[[#This Row],[equity]]</f>
        <v>12000.724233930096</v>
      </c>
      <c r="K156" s="5">
        <f>liquidity_data[[#This Row],[kf_d]]+liquidity_data[[#This Row],[cf_d]]</f>
        <v>0.72720804503478575</v>
      </c>
      <c r="L156" s="5">
        <f>liquidity_data[[#This Row],[TOTAL_M]]-liquidity_data[[#This Row],[TOTAL_D]]</f>
        <v>11999.997025885061</v>
      </c>
      <c r="M156" s="6">
        <f>liquidity_data[[#This Row],[M-D]]/L155-1</f>
        <v>-3.0930560002140339E-7</v>
      </c>
    </row>
    <row r="157" spans="1:13" x14ac:dyDescent="0.25">
      <c r="A157" s="7" t="s">
        <v>146</v>
      </c>
      <c r="B157">
        <v>156</v>
      </c>
      <c r="C157" s="5">
        <v>9652.2717216623132</v>
      </c>
      <c r="D157" s="5">
        <v>195.77870377342333</v>
      </c>
      <c r="E157" s="5">
        <v>237.69737672246993</v>
      </c>
      <c r="F157" s="5">
        <v>0.40018479898571968</v>
      </c>
      <c r="G157" s="5">
        <v>3116.0864753723145</v>
      </c>
      <c r="H157" s="5">
        <v>4.0404116691206582E-2</v>
      </c>
      <c r="I157">
        <v>-1201.3900000000001</v>
      </c>
      <c r="J157" s="5">
        <f>liquidity_data[[#This Row],[w_m]]+liquidity_data[[#This Row],[c_m]]+liquidity_data[[#This Row],[cf_m]]+liquidity_data[[#This Row],[kf_m]]+liquidity_data[[#This Row],[equity]]</f>
        <v>12000.444277530522</v>
      </c>
      <c r="K157" s="5">
        <f>liquidity_data[[#This Row],[kf_d]]+liquidity_data[[#This Row],[cf_d]]</f>
        <v>0.44058891567692626</v>
      </c>
      <c r="L157" s="5">
        <f>liquidity_data[[#This Row],[TOTAL_M]]-liquidity_data[[#This Row],[TOTAL_D]]</f>
        <v>12000.003688614845</v>
      </c>
      <c r="M157" s="6">
        <f>liquidity_data[[#This Row],[M-D]]/L156-1</f>
        <v>5.5522761965853817E-7</v>
      </c>
    </row>
    <row r="158" spans="1:13" x14ac:dyDescent="0.25">
      <c r="A158" s="7" t="s">
        <v>146</v>
      </c>
      <c r="B158">
        <v>157</v>
      </c>
      <c r="C158" s="5">
        <v>9658.3051779864472</v>
      </c>
      <c r="D158" s="5">
        <v>198.66651265136898</v>
      </c>
      <c r="E158" s="5">
        <v>212.04505126085132</v>
      </c>
      <c r="F158" s="5">
        <v>0.38017556443810463</v>
      </c>
      <c r="G158" s="5">
        <v>3170.2193641662598</v>
      </c>
      <c r="H158" s="5">
        <v>3.838391081080772E-2</v>
      </c>
      <c r="I158">
        <v>-1238.82</v>
      </c>
      <c r="J158" s="5">
        <f>liquidity_data[[#This Row],[w_m]]+liquidity_data[[#This Row],[c_m]]+liquidity_data[[#This Row],[cf_m]]+liquidity_data[[#This Row],[kf_m]]+liquidity_data[[#This Row],[equity]]</f>
        <v>12000.416106064928</v>
      </c>
      <c r="K158" s="5">
        <f>liquidity_data[[#This Row],[kf_d]]+liquidity_data[[#This Row],[cf_d]]</f>
        <v>0.41855947524891235</v>
      </c>
      <c r="L158" s="5">
        <f>liquidity_data[[#This Row],[TOTAL_M]]-liquidity_data[[#This Row],[TOTAL_D]]</f>
        <v>11999.997546589679</v>
      </c>
      <c r="M158" s="6">
        <f>liquidity_data[[#This Row],[M-D]]/L157-1</f>
        <v>-5.1183527316478461E-7</v>
      </c>
    </row>
    <row r="159" spans="1:13" x14ac:dyDescent="0.25">
      <c r="A159" s="7" t="s">
        <v>146</v>
      </c>
      <c r="B159">
        <v>158</v>
      </c>
      <c r="C159" s="5">
        <v>9659.4885106292204</v>
      </c>
      <c r="D159" s="5">
        <v>203.87437668989878</v>
      </c>
      <c r="E159" s="5">
        <v>212.22295949608088</v>
      </c>
      <c r="F159" s="5">
        <v>0.36116677522659302</v>
      </c>
      <c r="G159" s="5">
        <v>3229.5836753845215</v>
      </c>
      <c r="H159" s="5">
        <v>3.6464714343310334E-2</v>
      </c>
      <c r="I159">
        <v>-1304.77</v>
      </c>
      <c r="J159" s="5">
        <f>liquidity_data[[#This Row],[w_m]]+liquidity_data[[#This Row],[c_m]]+liquidity_data[[#This Row],[cf_m]]+liquidity_data[[#This Row],[kf_m]]+liquidity_data[[#This Row],[equity]]</f>
        <v>12000.399522199721</v>
      </c>
      <c r="K159" s="5">
        <f>liquidity_data[[#This Row],[kf_d]]+liquidity_data[[#This Row],[cf_d]]</f>
        <v>0.39763148956990335</v>
      </c>
      <c r="L159" s="5">
        <f>liquidity_data[[#This Row],[TOTAL_M]]-liquidity_data[[#This Row],[TOTAL_D]]</f>
        <v>12000.001890710151</v>
      </c>
      <c r="M159" s="6">
        <f>liquidity_data[[#This Row],[M-D]]/L158-1</f>
        <v>3.6201011344161316E-7</v>
      </c>
    </row>
    <row r="160" spans="1:13" x14ac:dyDescent="0.25">
      <c r="A160" s="7" t="s">
        <v>146</v>
      </c>
      <c r="B160">
        <v>159</v>
      </c>
      <c r="C160" s="5">
        <v>9659.5416553504765</v>
      </c>
      <c r="D160" s="5">
        <v>201.81501406477764</v>
      </c>
      <c r="E160" s="5">
        <v>237.83421974908561</v>
      </c>
      <c r="F160" s="5">
        <v>0.20776677504181862</v>
      </c>
      <c r="G160" s="5">
        <v>3265.0653686523438</v>
      </c>
      <c r="H160" s="5">
        <v>3.464148000057321E-2</v>
      </c>
      <c r="I160">
        <v>-1364.01</v>
      </c>
      <c r="J160" s="5">
        <f>liquidity_data[[#This Row],[w_m]]+liquidity_data[[#This Row],[c_m]]+liquidity_data[[#This Row],[cf_m]]+liquidity_data[[#This Row],[kf_m]]+liquidity_data[[#This Row],[equity]]</f>
        <v>12000.246257816683</v>
      </c>
      <c r="K160" s="5">
        <f>liquidity_data[[#This Row],[kf_d]]+liquidity_data[[#This Row],[cf_d]]</f>
        <v>0.24240825504239183</v>
      </c>
      <c r="L160" s="5">
        <f>liquidity_data[[#This Row],[TOTAL_M]]-liquidity_data[[#This Row],[TOTAL_D]]</f>
        <v>12000.003849561641</v>
      </c>
      <c r="M160" s="6">
        <f>liquidity_data[[#This Row],[M-D]]/L159-1</f>
        <v>1.6323759832737039E-7</v>
      </c>
    </row>
    <row r="161" spans="1:13" x14ac:dyDescent="0.25">
      <c r="A161" s="7" t="s">
        <v>146</v>
      </c>
      <c r="B161">
        <v>160</v>
      </c>
      <c r="C161" s="5">
        <v>9654.535728989169</v>
      </c>
      <c r="D161" s="5">
        <v>204.52583097713068</v>
      </c>
      <c r="E161" s="5">
        <v>238.61347416949866</v>
      </c>
      <c r="F161" s="5">
        <v>0.19737843796610832</v>
      </c>
      <c r="G161" s="5">
        <v>3312.5437202453613</v>
      </c>
      <c r="H161" s="5">
        <v>3.290940512670204E-2</v>
      </c>
      <c r="I161">
        <v>-1409.99</v>
      </c>
      <c r="J161" s="5">
        <f>liquidity_data[[#This Row],[w_m]]+liquidity_data[[#This Row],[c_m]]+liquidity_data[[#This Row],[cf_m]]+liquidity_data[[#This Row],[kf_m]]+liquidity_data[[#This Row],[equity]]</f>
        <v>12000.22875438116</v>
      </c>
      <c r="K161" s="5">
        <f>liquidity_data[[#This Row],[kf_d]]+liquidity_data[[#This Row],[cf_d]]</f>
        <v>0.23028784309281036</v>
      </c>
      <c r="L161" s="5">
        <f>liquidity_data[[#This Row],[TOTAL_M]]-liquidity_data[[#This Row],[TOTAL_D]]</f>
        <v>11999.998466538067</v>
      </c>
      <c r="M161" s="6">
        <f>liquidity_data[[#This Row],[M-D]]/L160-1</f>
        <v>-4.4858515391155152E-7</v>
      </c>
    </row>
    <row r="162" spans="1:13" x14ac:dyDescent="0.25">
      <c r="A162" s="7" t="s">
        <v>146</v>
      </c>
      <c r="B162">
        <v>161</v>
      </c>
      <c r="C162" s="5">
        <v>9650.9372139924672</v>
      </c>
      <c r="D162" s="5">
        <v>211.76325701983296</v>
      </c>
      <c r="E162" s="5">
        <v>218.77612155489624</v>
      </c>
      <c r="F162" s="5">
        <v>0.11038676276803017</v>
      </c>
      <c r="G162" s="5">
        <v>3373.1533012390137</v>
      </c>
      <c r="H162" s="5">
        <v>3.1263935030438006E-2</v>
      </c>
      <c r="I162">
        <v>-1454.49</v>
      </c>
      <c r="J162" s="5">
        <f>liquidity_data[[#This Row],[w_m]]+liquidity_data[[#This Row],[c_m]]+liquidity_data[[#This Row],[cf_m]]+liquidity_data[[#This Row],[kf_m]]+liquidity_data[[#This Row],[equity]]</f>
        <v>12000.13989380621</v>
      </c>
      <c r="K162" s="5">
        <f>liquidity_data[[#This Row],[kf_d]]+liquidity_data[[#This Row],[cf_d]]</f>
        <v>0.14165069779846817</v>
      </c>
      <c r="L162" s="5">
        <f>liquidity_data[[#This Row],[TOTAL_M]]-liquidity_data[[#This Row],[TOTAL_D]]</f>
        <v>11999.998243108412</v>
      </c>
      <c r="M162" s="6">
        <f>liquidity_data[[#This Row],[M-D]]/L161-1</f>
        <v>-1.8619140340625506E-8</v>
      </c>
    </row>
    <row r="163" spans="1:13" x14ac:dyDescent="0.25">
      <c r="A163" s="7" t="s">
        <v>146</v>
      </c>
      <c r="B163">
        <v>162</v>
      </c>
      <c r="C163" s="5">
        <v>9646.0446899924427</v>
      </c>
      <c r="D163" s="5">
        <v>217.86881281575188</v>
      </c>
      <c r="E163" s="5">
        <v>229.3787464145571</v>
      </c>
      <c r="F163" s="5">
        <v>0.10486742481589317</v>
      </c>
      <c r="G163" s="5">
        <v>3440.2450675964355</v>
      </c>
      <c r="H163" s="5">
        <v>2.9700737999519333E-2</v>
      </c>
      <c r="I163">
        <v>-1533.4</v>
      </c>
      <c r="J163" s="5">
        <f>liquidity_data[[#This Row],[w_m]]+liquidity_data[[#This Row],[c_m]]+liquidity_data[[#This Row],[cf_m]]+liquidity_data[[#This Row],[kf_m]]+liquidity_data[[#This Row],[equity]]</f>
        <v>12000.137316819188</v>
      </c>
      <c r="K163" s="5">
        <f>liquidity_data[[#This Row],[kf_d]]+liquidity_data[[#This Row],[cf_d]]</f>
        <v>0.13456816281541251</v>
      </c>
      <c r="L163" s="5">
        <f>liquidity_data[[#This Row],[TOTAL_M]]-liquidity_data[[#This Row],[TOTAL_D]]</f>
        <v>12000.002748656372</v>
      </c>
      <c r="M163" s="6">
        <f>liquidity_data[[#This Row],[M-D]]/L162-1</f>
        <v>3.7546238496055651E-7</v>
      </c>
    </row>
    <row r="164" spans="1:13" x14ac:dyDescent="0.25">
      <c r="A164" s="7" t="s">
        <v>146</v>
      </c>
      <c r="B164">
        <v>163</v>
      </c>
      <c r="C164" s="5">
        <v>9646.9478663904592</v>
      </c>
      <c r="D164" s="5">
        <v>216.62889884965261</v>
      </c>
      <c r="E164" s="5">
        <v>240.26918532047421</v>
      </c>
      <c r="F164" s="5">
        <v>9.962405264377594E-2</v>
      </c>
      <c r="G164" s="5">
        <v>3492.4266586303711</v>
      </c>
      <c r="H164" s="5">
        <v>2.8215701095177792E-2</v>
      </c>
      <c r="I164">
        <v>-1596.14</v>
      </c>
      <c r="J164" s="5">
        <f>liquidity_data[[#This Row],[w_m]]+liquidity_data[[#This Row],[c_m]]+liquidity_data[[#This Row],[cf_m]]+liquidity_data[[#This Row],[kf_m]]+liquidity_data[[#This Row],[equity]]</f>
        <v>12000.132609190958</v>
      </c>
      <c r="K164" s="5">
        <f>liquidity_data[[#This Row],[kf_d]]+liquidity_data[[#This Row],[cf_d]]</f>
        <v>0.12783975373895373</v>
      </c>
      <c r="L164" s="5">
        <f>liquidity_data[[#This Row],[TOTAL_M]]-liquidity_data[[#This Row],[TOTAL_D]]</f>
        <v>12000.004769437219</v>
      </c>
      <c r="M164" s="6">
        <f>liquidity_data[[#This Row],[M-D]]/L163-1</f>
        <v>1.6839836525228691E-7</v>
      </c>
    </row>
    <row r="165" spans="1:13" x14ac:dyDescent="0.25">
      <c r="A165" s="7" t="s">
        <v>146</v>
      </c>
      <c r="B165">
        <v>164</v>
      </c>
      <c r="C165" s="5">
        <v>9650.1100626583211</v>
      </c>
      <c r="D165" s="5">
        <v>213.75635442743078</v>
      </c>
      <c r="E165" s="5">
        <v>262.02366142906249</v>
      </c>
      <c r="F165" s="5">
        <v>9.4642855226993561E-2</v>
      </c>
      <c r="G165" s="5">
        <v>3530.0782623291016</v>
      </c>
      <c r="H165" s="5">
        <v>2.6804915818502195E-2</v>
      </c>
      <c r="I165">
        <v>-1655.85</v>
      </c>
      <c r="J165" s="5">
        <f>liquidity_data[[#This Row],[w_m]]+liquidity_data[[#This Row],[c_m]]+liquidity_data[[#This Row],[cf_m]]+liquidity_data[[#This Row],[kf_m]]+liquidity_data[[#This Row],[equity]]</f>
        <v>12000.118340843916</v>
      </c>
      <c r="K165" s="5">
        <f>liquidity_data[[#This Row],[kf_d]]+liquidity_data[[#This Row],[cf_d]]</f>
        <v>0.12144777104549576</v>
      </c>
      <c r="L165" s="5">
        <f>liquidity_data[[#This Row],[TOTAL_M]]-liquidity_data[[#This Row],[TOTAL_D]]</f>
        <v>11999.99689307287</v>
      </c>
      <c r="M165" s="6">
        <f>liquidity_data[[#This Row],[M-D]]/L164-1</f>
        <v>-6.5636343482555759E-7</v>
      </c>
    </row>
    <row r="166" spans="1:13" x14ac:dyDescent="0.25">
      <c r="A166" s="7" t="s">
        <v>146</v>
      </c>
      <c r="B166">
        <v>165</v>
      </c>
      <c r="C166" s="5">
        <v>9645.6524706417695</v>
      </c>
      <c r="D166" s="5">
        <v>215.52209253096953</v>
      </c>
      <c r="E166" s="5">
        <v>267.27271311357617</v>
      </c>
      <c r="F166" s="5">
        <v>8.9910712093114853E-2</v>
      </c>
      <c r="G166" s="5">
        <v>3585.4619483947754</v>
      </c>
      <c r="H166" s="5">
        <v>2.5464670587098226E-2</v>
      </c>
      <c r="I166">
        <v>-1713.79</v>
      </c>
      <c r="J166" s="5">
        <f>liquidity_data[[#This Row],[w_m]]+liquidity_data[[#This Row],[c_m]]+liquidity_data[[#This Row],[cf_m]]+liquidity_data[[#This Row],[kf_m]]+liquidity_data[[#This Row],[equity]]</f>
        <v>12000.11922468109</v>
      </c>
      <c r="K166" s="5">
        <f>liquidity_data[[#This Row],[kf_d]]+liquidity_data[[#This Row],[cf_d]]</f>
        <v>0.11537538268021308</v>
      </c>
      <c r="L166" s="5">
        <f>liquidity_data[[#This Row],[TOTAL_M]]-liquidity_data[[#This Row],[TOTAL_D]]</f>
        <v>12000.003849298409</v>
      </c>
      <c r="M166" s="6">
        <f>liquidity_data[[#This Row],[M-D]]/L165-1</f>
        <v>5.7968561173460387E-7</v>
      </c>
    </row>
    <row r="167" spans="1:13" x14ac:dyDescent="0.25">
      <c r="A167" s="7" t="s">
        <v>146</v>
      </c>
      <c r="B167">
        <v>166</v>
      </c>
      <c r="C167" s="5">
        <v>9643.1687525917077</v>
      </c>
      <c r="D167" s="5">
        <v>218.55153999710456</v>
      </c>
      <c r="E167" s="5">
        <v>248.86007473466452</v>
      </c>
      <c r="F167" s="5">
        <v>8.5415173321962357E-2</v>
      </c>
      <c r="G167" s="5">
        <v>3646.5371894836426</v>
      </c>
      <c r="H167" s="5">
        <v>2.4191436808905564E-2</v>
      </c>
      <c r="I167">
        <v>-1757.01</v>
      </c>
      <c r="J167" s="5">
        <f>liquidity_data[[#This Row],[w_m]]+liquidity_data[[#This Row],[c_m]]+liquidity_data[[#This Row],[cf_m]]+liquidity_data[[#This Row],[kf_m]]+liquidity_data[[#This Row],[equity]]</f>
        <v>12000.107556807119</v>
      </c>
      <c r="K167" s="5">
        <f>liquidity_data[[#This Row],[kf_d]]+liquidity_data[[#This Row],[cf_d]]</f>
        <v>0.10960661013086792</v>
      </c>
      <c r="L167" s="5">
        <f>liquidity_data[[#This Row],[TOTAL_M]]-liquidity_data[[#This Row],[TOTAL_D]]</f>
        <v>11999.997950196988</v>
      </c>
      <c r="M167" s="6">
        <f>liquidity_data[[#This Row],[M-D]]/L166-1</f>
        <v>-4.9159162740508577E-7</v>
      </c>
    </row>
    <row r="168" spans="1:13" x14ac:dyDescent="0.25">
      <c r="A168" s="7" t="s">
        <v>146</v>
      </c>
      <c r="B168">
        <v>167</v>
      </c>
      <c r="C168" s="5">
        <v>9642.9526345494669</v>
      </c>
      <c r="D168" s="5">
        <v>221.70176790514961</v>
      </c>
      <c r="E168" s="5">
        <v>253.0746047059074</v>
      </c>
      <c r="F168" s="5">
        <v>8.1144414842128754E-2</v>
      </c>
      <c r="G168" s="5">
        <v>3713.0175170898438</v>
      </c>
      <c r="H168" s="5">
        <v>2.298186542611802E-2</v>
      </c>
      <c r="I168">
        <v>-1830.64</v>
      </c>
      <c r="J168" s="5">
        <f>liquidity_data[[#This Row],[w_m]]+liquidity_data[[#This Row],[c_m]]+liquidity_data[[#This Row],[cf_m]]+liquidity_data[[#This Row],[kf_m]]+liquidity_data[[#This Row],[equity]]</f>
        <v>12000.106524250368</v>
      </c>
      <c r="K168" s="5">
        <f>liquidity_data[[#This Row],[kf_d]]+liquidity_data[[#This Row],[cf_d]]</f>
        <v>0.10412628026824677</v>
      </c>
      <c r="L168" s="5">
        <f>liquidity_data[[#This Row],[TOTAL_M]]-liquidity_data[[#This Row],[TOTAL_D]]</f>
        <v>12000.0023979701</v>
      </c>
      <c r="M168" s="6">
        <f>liquidity_data[[#This Row],[M-D]]/L167-1</f>
        <v>3.7064782265616714E-7</v>
      </c>
    </row>
    <row r="169" spans="1:13" x14ac:dyDescent="0.25">
      <c r="A169" s="7" t="s">
        <v>146</v>
      </c>
      <c r="B169">
        <v>168</v>
      </c>
      <c r="C169" s="5">
        <v>9644.3126045784447</v>
      </c>
      <c r="D169" s="5">
        <v>224.41414658608846</v>
      </c>
      <c r="E169" s="5">
        <v>240.4607694982551</v>
      </c>
      <c r="F169" s="5">
        <v>7.7087195590138435E-2</v>
      </c>
      <c r="G169" s="5">
        <v>3772.9615783691406</v>
      </c>
      <c r="H169" s="5">
        <v>2.183277204312617E-2</v>
      </c>
      <c r="I169">
        <v>-1882.05</v>
      </c>
      <c r="J169" s="5">
        <f>liquidity_data[[#This Row],[w_m]]+liquidity_data[[#This Row],[c_m]]+liquidity_data[[#This Row],[cf_m]]+liquidity_data[[#This Row],[kf_m]]+liquidity_data[[#This Row],[equity]]</f>
        <v>12000.09909903193</v>
      </c>
      <c r="K169" s="5">
        <f>liquidity_data[[#This Row],[kf_d]]+liquidity_data[[#This Row],[cf_d]]</f>
        <v>9.8919967633264605E-2</v>
      </c>
      <c r="L169" s="5">
        <f>liquidity_data[[#This Row],[TOTAL_M]]-liquidity_data[[#This Row],[TOTAL_D]]</f>
        <v>12000.000179064296</v>
      </c>
      <c r="M169" s="6">
        <f>liquidity_data[[#This Row],[M-D]]/L168-1</f>
        <v>-1.849087800653848E-7</v>
      </c>
    </row>
    <row r="170" spans="1:13" x14ac:dyDescent="0.25">
      <c r="A170" s="7" t="s">
        <v>146</v>
      </c>
      <c r="B170">
        <v>169</v>
      </c>
      <c r="C170" s="5">
        <v>9642.3198175203288</v>
      </c>
      <c r="D170" s="5">
        <v>224.20593387889676</v>
      </c>
      <c r="E170" s="5">
        <v>272.05683352681808</v>
      </c>
      <c r="F170" s="5">
        <v>7.3232835158705711E-2</v>
      </c>
      <c r="G170" s="5">
        <v>3810.8366394042969</v>
      </c>
      <c r="H170" s="5">
        <v>2.0741132626426406E-2</v>
      </c>
      <c r="I170">
        <v>-1949.33</v>
      </c>
      <c r="J170" s="5">
        <f>liquidity_data[[#This Row],[w_m]]+liquidity_data[[#This Row],[c_m]]+liquidity_data[[#This Row],[cf_m]]+liquidity_data[[#This Row],[kf_m]]+liquidity_data[[#This Row],[equity]]</f>
        <v>12000.089224330341</v>
      </c>
      <c r="K170" s="5">
        <f>liquidity_data[[#This Row],[kf_d]]+liquidity_data[[#This Row],[cf_d]]</f>
        <v>9.3973967785132118E-2</v>
      </c>
      <c r="L170" s="5">
        <f>liquidity_data[[#This Row],[TOTAL_M]]-liquidity_data[[#This Row],[TOTAL_D]]</f>
        <v>11999.995250362555</v>
      </c>
      <c r="M170" s="6">
        <f>liquidity_data[[#This Row],[M-D]]/L169-1</f>
        <v>-4.1072513889961471E-7</v>
      </c>
    </row>
    <row r="171" spans="1:13" x14ac:dyDescent="0.25">
      <c r="A171" s="7" t="s">
        <v>146</v>
      </c>
      <c r="B171">
        <v>170</v>
      </c>
      <c r="C171" s="5">
        <v>9647.7968038250692</v>
      </c>
      <c r="D171" s="5">
        <v>225.13620621222071</v>
      </c>
      <c r="E171" s="5">
        <v>261.99079442908987</v>
      </c>
      <c r="F171" s="5">
        <v>6.9571191444993019E-2</v>
      </c>
      <c r="G171" s="5">
        <v>3865.5307502746582</v>
      </c>
      <c r="H171" s="5">
        <v>1.9704076432390139E-2</v>
      </c>
      <c r="I171">
        <v>-2000.37</v>
      </c>
      <c r="J171" s="5">
        <f>liquidity_data[[#This Row],[w_m]]+liquidity_data[[#This Row],[c_m]]+liquidity_data[[#This Row],[cf_m]]+liquidity_data[[#This Row],[kf_m]]+liquidity_data[[#This Row],[equity]]</f>
        <v>12000.084554741039</v>
      </c>
      <c r="K171" s="5">
        <f>liquidity_data[[#This Row],[kf_d]]+liquidity_data[[#This Row],[cf_d]]</f>
        <v>8.9275267877383158E-2</v>
      </c>
      <c r="L171" s="5">
        <f>liquidity_data[[#This Row],[TOTAL_M]]-liquidity_data[[#This Row],[TOTAL_D]]</f>
        <v>11999.995279473162</v>
      </c>
      <c r="M171" s="6">
        <f>liquidity_data[[#This Row],[M-D]]/L170-1</f>
        <v>2.425884826351421E-9</v>
      </c>
    </row>
    <row r="172" spans="1:13" x14ac:dyDescent="0.25">
      <c r="A172" s="7" t="s">
        <v>146</v>
      </c>
      <c r="B172">
        <v>171</v>
      </c>
      <c r="C172" s="5">
        <v>9647.3150818439899</v>
      </c>
      <c r="D172" s="5">
        <v>223.33722630678676</v>
      </c>
      <c r="E172" s="5">
        <v>266.94609184050933</v>
      </c>
      <c r="F172" s="5">
        <v>6.6092632710933685E-2</v>
      </c>
      <c r="G172" s="5">
        <v>3917.4394378662109</v>
      </c>
      <c r="H172" s="5">
        <v>1.8718872794124763E-2</v>
      </c>
      <c r="I172">
        <v>-2054.9499999999998</v>
      </c>
      <c r="J172" s="5">
        <f>liquidity_data[[#This Row],[w_m]]+liquidity_data[[#This Row],[c_m]]+liquidity_data[[#This Row],[cf_m]]+liquidity_data[[#This Row],[kf_m]]+liquidity_data[[#This Row],[equity]]</f>
        <v>12000.087837857496</v>
      </c>
      <c r="K172" s="5">
        <f>liquidity_data[[#This Row],[kf_d]]+liquidity_data[[#This Row],[cf_d]]</f>
        <v>8.4811505505058449E-2</v>
      </c>
      <c r="L172" s="5">
        <f>liquidity_data[[#This Row],[TOTAL_M]]-liquidity_data[[#This Row],[TOTAL_D]]</f>
        <v>12000.003026351991</v>
      </c>
      <c r="M172" s="6">
        <f>liquidity_data[[#This Row],[M-D]]/L171-1</f>
        <v>6.4557348977700713E-7</v>
      </c>
    </row>
    <row r="173" spans="1:13" x14ac:dyDescent="0.25">
      <c r="A173" s="7" t="s">
        <v>146</v>
      </c>
      <c r="B173">
        <v>172</v>
      </c>
      <c r="C173" s="5">
        <v>9645.5524419991998</v>
      </c>
      <c r="D173" s="5">
        <v>227.08514015632682</v>
      </c>
      <c r="E173" s="5">
        <v>276.37367295287549</v>
      </c>
      <c r="F173" s="5">
        <v>6.2788002192974091E-2</v>
      </c>
      <c r="G173" s="5">
        <v>3966.2700119018555</v>
      </c>
      <c r="H173" s="5">
        <v>1.778292909875745E-2</v>
      </c>
      <c r="I173">
        <v>-2115.1999999999998</v>
      </c>
      <c r="J173" s="5">
        <f>liquidity_data[[#This Row],[w_m]]+liquidity_data[[#This Row],[c_m]]+liquidity_data[[#This Row],[cf_m]]+liquidity_data[[#This Row],[kf_m]]+liquidity_data[[#This Row],[equity]]</f>
        <v>12000.081267010257</v>
      </c>
      <c r="K173" s="5">
        <f>liquidity_data[[#This Row],[kf_d]]+liquidity_data[[#This Row],[cf_d]]</f>
        <v>8.057093129173154E-2</v>
      </c>
      <c r="L173" s="5">
        <f>liquidity_data[[#This Row],[TOTAL_M]]-liquidity_data[[#This Row],[TOTAL_D]]</f>
        <v>12000.000696078965</v>
      </c>
      <c r="M173" s="6">
        <f>liquidity_data[[#This Row],[M-D]]/L172-1</f>
        <v>-1.9418936980653001E-7</v>
      </c>
    </row>
    <row r="174" spans="1:13" x14ac:dyDescent="0.25">
      <c r="A174" s="7" t="s">
        <v>146</v>
      </c>
      <c r="B174">
        <v>173</v>
      </c>
      <c r="C174" s="5">
        <v>9642.3076368660841</v>
      </c>
      <c r="D174" s="5">
        <v>230.67800091556273</v>
      </c>
      <c r="E174" s="5">
        <v>240.47392586246133</v>
      </c>
      <c r="F174" s="5">
        <v>5.9648601338267326E-2</v>
      </c>
      <c r="G174" s="5">
        <v>4038.3548927307129</v>
      </c>
      <c r="H174" s="5">
        <v>1.6893782616534736E-2</v>
      </c>
      <c r="I174">
        <v>-2151.7399999999998</v>
      </c>
      <c r="J174" s="5">
        <f>liquidity_data[[#This Row],[w_m]]+liquidity_data[[#This Row],[c_m]]+liquidity_data[[#This Row],[cf_m]]+liquidity_data[[#This Row],[kf_m]]+liquidity_data[[#This Row],[equity]]</f>
        <v>12000.074456374821</v>
      </c>
      <c r="K174" s="5">
        <f>liquidity_data[[#This Row],[kf_d]]+liquidity_data[[#This Row],[cf_d]]</f>
        <v>7.6542383954802062E-2</v>
      </c>
      <c r="L174" s="5">
        <f>liquidity_data[[#This Row],[TOTAL_M]]-liquidity_data[[#This Row],[TOTAL_D]]</f>
        <v>11999.997913990866</v>
      </c>
      <c r="M174" s="6">
        <f>liquidity_data[[#This Row],[M-D]]/L173-1</f>
        <v>-2.3184066144654736E-7</v>
      </c>
    </row>
    <row r="175" spans="1:13" x14ac:dyDescent="0.25">
      <c r="A175" s="7" t="s">
        <v>146</v>
      </c>
      <c r="B175">
        <v>174</v>
      </c>
      <c r="C175" s="5">
        <v>9641.6504663090454</v>
      </c>
      <c r="D175" s="5">
        <v>232.13782107783481</v>
      </c>
      <c r="E175" s="5">
        <v>258.59563476033509</v>
      </c>
      <c r="F175" s="5">
        <v>5.6666173040866852E-2</v>
      </c>
      <c r="G175" s="5">
        <v>4096.5376319885254</v>
      </c>
      <c r="H175" s="5">
        <v>1.6049093428591732E-2</v>
      </c>
      <c r="I175">
        <v>-2228.85</v>
      </c>
      <c r="J175" s="5">
        <f>liquidity_data[[#This Row],[w_m]]+liquidity_data[[#This Row],[c_m]]+liquidity_data[[#This Row],[cf_m]]+liquidity_data[[#This Row],[kf_m]]+liquidity_data[[#This Row],[equity]]</f>
        <v>12000.07155413574</v>
      </c>
      <c r="K175" s="5">
        <f>liquidity_data[[#This Row],[kf_d]]+liquidity_data[[#This Row],[cf_d]]</f>
        <v>7.2715266469458584E-2</v>
      </c>
      <c r="L175" s="5">
        <f>liquidity_data[[#This Row],[TOTAL_M]]-liquidity_data[[#This Row],[TOTAL_D]]</f>
        <v>11999.998838869271</v>
      </c>
      <c r="M175" s="6">
        <f>liquidity_data[[#This Row],[M-D]]/L174-1</f>
        <v>7.7073213811118535E-8</v>
      </c>
    </row>
    <row r="176" spans="1:13" x14ac:dyDescent="0.25">
      <c r="A176" s="7" t="s">
        <v>146</v>
      </c>
      <c r="B176">
        <v>175</v>
      </c>
      <c r="C176" s="5">
        <v>9641.7900236574933</v>
      </c>
      <c r="D176" s="5">
        <v>230.06378931284416</v>
      </c>
      <c r="E176" s="5">
        <v>267.25798753835261</v>
      </c>
      <c r="F176" s="5">
        <v>5.3832864388823509E-2</v>
      </c>
      <c r="G176" s="5">
        <v>4145.277027130127</v>
      </c>
      <c r="H176" s="5">
        <v>1.5246639035467524E-2</v>
      </c>
      <c r="I176">
        <v>-2284.3200000000002</v>
      </c>
      <c r="J176" s="5">
        <f>liquidity_data[[#This Row],[w_m]]+liquidity_data[[#This Row],[c_m]]+liquidity_data[[#This Row],[cf_m]]+liquidity_data[[#This Row],[kf_m]]+liquidity_data[[#This Row],[equity]]</f>
        <v>12000.068827638817</v>
      </c>
      <c r="K176" s="5">
        <f>liquidity_data[[#This Row],[kf_d]]+liquidity_data[[#This Row],[cf_d]]</f>
        <v>6.9079503424291033E-2</v>
      </c>
      <c r="L176" s="5">
        <f>liquidity_data[[#This Row],[TOTAL_M]]-liquidity_data[[#This Row],[TOTAL_D]]</f>
        <v>11999.999748135393</v>
      </c>
      <c r="M176" s="6">
        <f>liquidity_data[[#This Row],[M-D]]/L175-1</f>
        <v>7.5772184082723015E-8</v>
      </c>
    </row>
    <row r="177" spans="1:13" x14ac:dyDescent="0.25">
      <c r="A177" s="7" t="s">
        <v>146</v>
      </c>
      <c r="B177">
        <v>176</v>
      </c>
      <c r="C177" s="5">
        <v>9645.6819657620508</v>
      </c>
      <c r="D177" s="5">
        <v>233.82105210295413</v>
      </c>
      <c r="E177" s="5">
        <v>260.41527465730906</v>
      </c>
      <c r="F177" s="5">
        <v>4.3435759842395782E-2</v>
      </c>
      <c r="G177" s="5">
        <v>4204.4633255004883</v>
      </c>
      <c r="H177" s="5">
        <v>1.4484306688245852E-2</v>
      </c>
      <c r="I177">
        <v>-2344.3200000000002</v>
      </c>
      <c r="J177" s="5">
        <f>liquidity_data[[#This Row],[w_m]]+liquidity_data[[#This Row],[c_m]]+liquidity_data[[#This Row],[cf_m]]+liquidity_data[[#This Row],[kf_m]]+liquidity_data[[#This Row],[equity]]</f>
        <v>12000.061618022803</v>
      </c>
      <c r="K177" s="5">
        <f>liquidity_data[[#This Row],[kf_d]]+liquidity_data[[#This Row],[cf_d]]</f>
        <v>5.7920066530641634E-2</v>
      </c>
      <c r="L177" s="5">
        <f>liquidity_data[[#This Row],[TOTAL_M]]-liquidity_data[[#This Row],[TOTAL_D]]</f>
        <v>12000.003697956272</v>
      </c>
      <c r="M177" s="6">
        <f>liquidity_data[[#This Row],[M-D]]/L176-1</f>
        <v>3.2915174674741365E-7</v>
      </c>
    </row>
    <row r="178" spans="1:13" x14ac:dyDescent="0.25">
      <c r="A178" s="7" t="s">
        <v>146</v>
      </c>
      <c r="B178">
        <v>177</v>
      </c>
      <c r="C178" s="5">
        <v>9654.0469268907327</v>
      </c>
      <c r="D178" s="5">
        <v>231.47415235749213</v>
      </c>
      <c r="E178" s="5">
        <v>269.30815937090665</v>
      </c>
      <c r="F178" s="5">
        <v>4.1263971943408251E-2</v>
      </c>
      <c r="G178" s="5">
        <v>4263.4814071655273</v>
      </c>
      <c r="H178" s="5">
        <v>1.3760091584117617E-2</v>
      </c>
      <c r="I178">
        <v>-2418.2600000000002</v>
      </c>
      <c r="J178" s="5">
        <f>liquidity_data[[#This Row],[w_m]]+liquidity_data[[#This Row],[c_m]]+liquidity_data[[#This Row],[cf_m]]+liquidity_data[[#This Row],[kf_m]]+liquidity_data[[#This Row],[equity]]</f>
        <v>12000.050645784659</v>
      </c>
      <c r="K178" s="5">
        <f>liquidity_data[[#This Row],[kf_d]]+liquidity_data[[#This Row],[cf_d]]</f>
        <v>5.5024063527525868E-2</v>
      </c>
      <c r="L178" s="5">
        <f>liquidity_data[[#This Row],[TOTAL_M]]-liquidity_data[[#This Row],[TOTAL_D]]</f>
        <v>11999.995621721131</v>
      </c>
      <c r="M178" s="6">
        <f>liquidity_data[[#This Row],[M-D]]/L177-1</f>
        <v>-6.7301938766473057E-7</v>
      </c>
    </row>
    <row r="179" spans="1:13" x14ac:dyDescent="0.25">
      <c r="A179" s="7" t="s">
        <v>146</v>
      </c>
      <c r="B179">
        <v>178</v>
      </c>
      <c r="C179" s="5">
        <v>9662.3660462481203</v>
      </c>
      <c r="D179" s="5">
        <v>236.32532657543197</v>
      </c>
      <c r="E179" s="5">
        <v>271.98912177421153</v>
      </c>
      <c r="F179" s="5">
        <v>3.9200772065669298E-2</v>
      </c>
      <c r="G179" s="5">
        <v>4328.7486305236816</v>
      </c>
      <c r="H179" s="5">
        <v>1.3072086629108526E-2</v>
      </c>
      <c r="I179">
        <v>-2499.38</v>
      </c>
      <c r="J179" s="5">
        <f>liquidity_data[[#This Row],[w_m]]+liquidity_data[[#This Row],[c_m]]+liquidity_data[[#This Row],[cf_m]]+liquidity_data[[#This Row],[kf_m]]+liquidity_data[[#This Row],[equity]]</f>
        <v>12000.049125121444</v>
      </c>
      <c r="K179" s="5">
        <f>liquidity_data[[#This Row],[kf_d]]+liquidity_data[[#This Row],[cf_d]]</f>
        <v>5.2272858694777824E-2</v>
      </c>
      <c r="L179" s="5">
        <f>liquidity_data[[#This Row],[TOTAL_M]]-liquidity_data[[#This Row],[TOTAL_D]]</f>
        <v>11999.99685226275</v>
      </c>
      <c r="M179" s="6">
        <f>liquidity_data[[#This Row],[M-D]]/L178-1</f>
        <v>1.0254517235352978E-7</v>
      </c>
    </row>
    <row r="180" spans="1:13" x14ac:dyDescent="0.25">
      <c r="A180" s="7" t="s">
        <v>146</v>
      </c>
      <c r="B180">
        <v>179</v>
      </c>
      <c r="C180" s="5">
        <v>9660.7920880863676</v>
      </c>
      <c r="D180" s="5">
        <v>241.48047338193282</v>
      </c>
      <c r="E180" s="5">
        <v>271.92356921453029</v>
      </c>
      <c r="F180" s="5">
        <v>3.724073339253664E-2</v>
      </c>
      <c r="G180" s="5">
        <v>4400.3956031799316</v>
      </c>
      <c r="H180" s="5">
        <v>1.2418482416251209E-2</v>
      </c>
      <c r="I180">
        <v>-2574.54</v>
      </c>
      <c r="J180" s="5">
        <f>liquidity_data[[#This Row],[w_m]]+liquidity_data[[#This Row],[c_m]]+liquidity_data[[#This Row],[cf_m]]+liquidity_data[[#This Row],[kf_m]]+liquidity_data[[#This Row],[equity]]</f>
        <v>12000.051733862761</v>
      </c>
      <c r="K180" s="5">
        <f>liquidity_data[[#This Row],[kf_d]]+liquidity_data[[#This Row],[cf_d]]</f>
        <v>4.9659215808787849E-2</v>
      </c>
      <c r="L180" s="5">
        <f>liquidity_data[[#This Row],[TOTAL_M]]-liquidity_data[[#This Row],[TOTAL_D]]</f>
        <v>12000.002074646953</v>
      </c>
      <c r="M180" s="6">
        <f>liquidity_data[[#This Row],[M-D]]/L179-1</f>
        <v>4.3519879766584779E-7</v>
      </c>
    </row>
    <row r="181" spans="1:13" x14ac:dyDescent="0.25">
      <c r="A181" s="7" t="s">
        <v>146</v>
      </c>
      <c r="B181">
        <v>180</v>
      </c>
      <c r="C181" s="5">
        <v>9659.6303451855201</v>
      </c>
      <c r="D181" s="5">
        <v>238.94876671722159</v>
      </c>
      <c r="E181" s="5">
        <v>273.62756101391278</v>
      </c>
      <c r="F181" s="5">
        <v>3.5378697328269482E-2</v>
      </c>
      <c r="G181" s="5">
        <v>4466.3919525146484</v>
      </c>
      <c r="H181" s="5">
        <v>1.1797558425314492E-2</v>
      </c>
      <c r="I181">
        <v>-2638.55</v>
      </c>
      <c r="J181" s="5">
        <f>liquidity_data[[#This Row],[w_m]]+liquidity_data[[#This Row],[c_m]]+liquidity_data[[#This Row],[cf_m]]+liquidity_data[[#This Row],[kf_m]]+liquidity_data[[#This Row],[equity]]</f>
        <v>12000.048625431304</v>
      </c>
      <c r="K181" s="5">
        <f>liquidity_data[[#This Row],[kf_d]]+liquidity_data[[#This Row],[cf_d]]</f>
        <v>4.7176255753583973E-2</v>
      </c>
      <c r="L181" s="5">
        <f>liquidity_data[[#This Row],[TOTAL_M]]-liquidity_data[[#This Row],[TOTAL_D]]</f>
        <v>12000.00144917555</v>
      </c>
      <c r="M181" s="6">
        <f>liquidity_data[[#This Row],[M-D]]/L180-1</f>
        <v>-5.2122607896443185E-8</v>
      </c>
    </row>
    <row r="182" spans="1:13" x14ac:dyDescent="0.25">
      <c r="A182" s="7" t="s">
        <v>146</v>
      </c>
      <c r="B182">
        <v>181</v>
      </c>
      <c r="C182" s="5">
        <v>9661.194801848731</v>
      </c>
      <c r="D182" s="5">
        <v>245.43041920242831</v>
      </c>
      <c r="E182" s="5">
        <v>251.25083955656737</v>
      </c>
      <c r="F182" s="5">
        <v>3.3609761856496334E-2</v>
      </c>
      <c r="G182" s="5">
        <v>4543.3093338012695</v>
      </c>
      <c r="H182" s="5">
        <v>1.1207680690858979E-2</v>
      </c>
      <c r="I182">
        <v>-2701.14</v>
      </c>
      <c r="J182" s="5">
        <f>liquidity_data[[#This Row],[w_m]]+liquidity_data[[#This Row],[c_m]]+liquidity_data[[#This Row],[cf_m]]+liquidity_data[[#This Row],[kf_m]]+liquidity_data[[#This Row],[equity]]</f>
        <v>12000.045394408997</v>
      </c>
      <c r="K182" s="5">
        <f>liquidity_data[[#This Row],[kf_d]]+liquidity_data[[#This Row],[cf_d]]</f>
        <v>4.4817442547355313E-2</v>
      </c>
      <c r="L182" s="5">
        <f>liquidity_data[[#This Row],[TOTAL_M]]-liquidity_data[[#This Row],[TOTAL_D]]</f>
        <v>12000.000576966449</v>
      </c>
      <c r="M182" s="6">
        <f>liquidity_data[[#This Row],[M-D]]/L181-1</f>
        <v>-7.2684082974561193E-8</v>
      </c>
    </row>
    <row r="183" spans="1:13" x14ac:dyDescent="0.25">
      <c r="A183" s="7" t="s">
        <v>146</v>
      </c>
      <c r="B183">
        <v>182</v>
      </c>
      <c r="C183" s="5">
        <v>9664.4030174203217</v>
      </c>
      <c r="D183" s="5">
        <v>251.43444782414008</v>
      </c>
      <c r="E183" s="5">
        <v>260.3300954028964</v>
      </c>
      <c r="F183" s="5">
        <v>3.1929273158311844E-2</v>
      </c>
      <c r="G183" s="5">
        <v>4604.9891700744629</v>
      </c>
      <c r="H183" s="5">
        <v>1.0647296567185549E-2</v>
      </c>
      <c r="I183">
        <v>-2781.11</v>
      </c>
      <c r="J183" s="5">
        <f>liquidity_data[[#This Row],[w_m]]+liquidity_data[[#This Row],[c_m]]+liquidity_data[[#This Row],[cf_m]]+liquidity_data[[#This Row],[kf_m]]+liquidity_data[[#This Row],[equity]]</f>
        <v>12000.04673072182</v>
      </c>
      <c r="K183" s="5">
        <f>liquidity_data[[#This Row],[kf_d]]+liquidity_data[[#This Row],[cf_d]]</f>
        <v>4.2576569725497393E-2</v>
      </c>
      <c r="L183" s="5">
        <f>liquidity_data[[#This Row],[TOTAL_M]]-liquidity_data[[#This Row],[TOTAL_D]]</f>
        <v>12000.004154152095</v>
      </c>
      <c r="M183" s="6">
        <f>liquidity_data[[#This Row],[M-D]]/L182-1</f>
        <v>2.980987894307674E-7</v>
      </c>
    </row>
    <row r="184" spans="1:13" x14ac:dyDescent="0.25">
      <c r="A184" s="7" t="s">
        <v>146</v>
      </c>
      <c r="B184">
        <v>183</v>
      </c>
      <c r="C184" s="5">
        <v>9667.7731416521128</v>
      </c>
      <c r="D184" s="5">
        <v>252.69298775400966</v>
      </c>
      <c r="E184" s="5">
        <v>245.30499386391602</v>
      </c>
      <c r="F184" s="5">
        <v>5.3810109384357929E-3</v>
      </c>
      <c r="G184" s="5">
        <v>4672.7970886230469</v>
      </c>
      <c r="H184" s="5">
        <v>1.0114931486896239E-2</v>
      </c>
      <c r="I184">
        <v>-2838.55</v>
      </c>
      <c r="J184" s="5">
        <f>liquidity_data[[#This Row],[w_m]]+liquidity_data[[#This Row],[c_m]]+liquidity_data[[#This Row],[cf_m]]+liquidity_data[[#This Row],[kf_m]]+liquidity_data[[#This Row],[equity]]</f>
        <v>12000.018211893086</v>
      </c>
      <c r="K184" s="5">
        <f>liquidity_data[[#This Row],[kf_d]]+liquidity_data[[#This Row],[cf_d]]</f>
        <v>1.5495942425332032E-2</v>
      </c>
      <c r="L184" s="5">
        <f>liquidity_data[[#This Row],[TOTAL_M]]-liquidity_data[[#This Row],[TOTAL_D]]</f>
        <v>12000.002715950661</v>
      </c>
      <c r="M184" s="6">
        <f>liquidity_data[[#This Row],[M-D]]/L183-1</f>
        <v>-1.1985007797310487E-7</v>
      </c>
    </row>
    <row r="185" spans="1:13" x14ac:dyDescent="0.25">
      <c r="A185" s="7" t="s">
        <v>146</v>
      </c>
      <c r="B185">
        <v>184</v>
      </c>
      <c r="C185" s="5">
        <v>9666.2062891538953</v>
      </c>
      <c r="D185" s="5">
        <v>253.95993475243449</v>
      </c>
      <c r="E185" s="5">
        <v>270.15451925806701</v>
      </c>
      <c r="F185" s="5">
        <v>5.11196069419384E-3</v>
      </c>
      <c r="G185" s="5">
        <v>4736.0291061401367</v>
      </c>
      <c r="H185" s="5">
        <v>9.6091850282391533E-3</v>
      </c>
      <c r="I185">
        <v>-2926.34</v>
      </c>
      <c r="J185" s="5">
        <f>liquidity_data[[#This Row],[w_m]]+liquidity_data[[#This Row],[c_m]]+liquidity_data[[#This Row],[cf_m]]+liquidity_data[[#This Row],[kf_m]]+liquidity_data[[#This Row],[equity]]</f>
        <v>12000.009849304533</v>
      </c>
      <c r="K185" s="5">
        <f>liquidity_data[[#This Row],[kf_d]]+liquidity_data[[#This Row],[cf_d]]</f>
        <v>1.4721145722432993E-2</v>
      </c>
      <c r="L185" s="5">
        <f>liquidity_data[[#This Row],[TOTAL_M]]-liquidity_data[[#This Row],[TOTAL_D]]</f>
        <v>11999.995128158811</v>
      </c>
      <c r="M185" s="6">
        <f>liquidity_data[[#This Row],[M-D]]/L184-1</f>
        <v>-6.3231584435108346E-7</v>
      </c>
    </row>
    <row r="186" spans="1:13" x14ac:dyDescent="0.25">
      <c r="A186" s="7" t="s">
        <v>146</v>
      </c>
      <c r="B186">
        <v>185</v>
      </c>
      <c r="C186" s="5">
        <v>9663.8264954360202</v>
      </c>
      <c r="D186" s="5">
        <v>252.61834233812988</v>
      </c>
      <c r="E186" s="5">
        <v>295.65821036603302</v>
      </c>
      <c r="F186" s="5">
        <v>4.8563624732196331E-3</v>
      </c>
      <c r="G186" s="5">
        <v>4785.7609252929688</v>
      </c>
      <c r="H186" s="5">
        <v>9.1287258219381329E-3</v>
      </c>
      <c r="I186">
        <v>-2997.85</v>
      </c>
      <c r="J186" s="5">
        <f>liquidity_data[[#This Row],[w_m]]+liquidity_data[[#This Row],[c_m]]+liquidity_data[[#This Row],[cf_m]]+liquidity_data[[#This Row],[kf_m]]+liquidity_data[[#This Row],[equity]]</f>
        <v>12000.013973433151</v>
      </c>
      <c r="K186" s="5">
        <f>liquidity_data[[#This Row],[kf_d]]+liquidity_data[[#This Row],[cf_d]]</f>
        <v>1.3985088295157766E-2</v>
      </c>
      <c r="L186" s="5">
        <f>liquidity_data[[#This Row],[TOTAL_M]]-liquidity_data[[#This Row],[TOTAL_D]]</f>
        <v>11999.999988344856</v>
      </c>
      <c r="M186" s="6">
        <f>liquidity_data[[#This Row],[M-D]]/L185-1</f>
        <v>4.0501566811457224E-7</v>
      </c>
    </row>
    <row r="187" spans="1:13" x14ac:dyDescent="0.25">
      <c r="A187" s="7" t="s">
        <v>146</v>
      </c>
      <c r="B187">
        <v>186</v>
      </c>
      <c r="C187" s="5">
        <v>9663.7784502988216</v>
      </c>
      <c r="D187" s="5">
        <v>251.12099580280483</v>
      </c>
      <c r="E187" s="5">
        <v>296.28432399500161</v>
      </c>
      <c r="F187" s="5">
        <v>4.6135443262755871E-3</v>
      </c>
      <c r="G187" s="5">
        <v>4850.5093688964844</v>
      </c>
      <c r="H187" s="5">
        <v>8.6722896521678194E-3</v>
      </c>
      <c r="I187">
        <v>-3061.68</v>
      </c>
      <c r="J187" s="5">
        <f>liquidity_data[[#This Row],[w_m]]+liquidity_data[[#This Row],[c_m]]+liquidity_data[[#This Row],[cf_m]]+liquidity_data[[#This Row],[kf_m]]+liquidity_data[[#This Row],[equity]]</f>
        <v>12000.013138993112</v>
      </c>
      <c r="K187" s="5">
        <f>liquidity_data[[#This Row],[kf_d]]+liquidity_data[[#This Row],[cf_d]]</f>
        <v>1.3285833978443407E-2</v>
      </c>
      <c r="L187" s="5">
        <f>liquidity_data[[#This Row],[TOTAL_M]]-liquidity_data[[#This Row],[TOTAL_D]]</f>
        <v>11999.999853159134</v>
      </c>
      <c r="M187" s="6">
        <f>liquidity_data[[#This Row],[M-D]]/L186-1</f>
        <v>-1.1265476884680936E-8</v>
      </c>
    </row>
    <row r="188" spans="1:13" x14ac:dyDescent="0.25">
      <c r="A188" s="7" t="s">
        <v>146</v>
      </c>
      <c r="B188">
        <v>187</v>
      </c>
      <c r="C188" s="5">
        <v>9669.8781200111844</v>
      </c>
      <c r="D188" s="5">
        <v>252.03990963473916</v>
      </c>
      <c r="E188" s="5">
        <v>282.29434403311461</v>
      </c>
      <c r="F188" s="5">
        <v>4.3828669004142284E-3</v>
      </c>
      <c r="G188" s="5">
        <v>4927.7734527587891</v>
      </c>
      <c r="H188" s="5">
        <v>8.2386750545992982E-3</v>
      </c>
      <c r="I188">
        <v>-3131.97</v>
      </c>
      <c r="J188" s="5">
        <f>liquidity_data[[#This Row],[w_m]]+liquidity_data[[#This Row],[c_m]]+liquidity_data[[#This Row],[cf_m]]+liquidity_data[[#This Row],[kf_m]]+liquidity_data[[#This Row],[equity]]</f>
        <v>12000.015826437828</v>
      </c>
      <c r="K188" s="5">
        <f>liquidity_data[[#This Row],[kf_d]]+liquidity_data[[#This Row],[cf_d]]</f>
        <v>1.2621541955013527E-2</v>
      </c>
      <c r="L188" s="5">
        <f>liquidity_data[[#This Row],[TOTAL_M]]-liquidity_data[[#This Row],[TOTAL_D]]</f>
        <v>12000.003204895873</v>
      </c>
      <c r="M188" s="6">
        <f>liquidity_data[[#This Row],[M-D]]/L187-1</f>
        <v>2.7931139845449593E-7</v>
      </c>
    </row>
    <row r="189" spans="1:13" x14ac:dyDescent="0.25">
      <c r="A189" s="7" t="s">
        <v>146</v>
      </c>
      <c r="B189">
        <v>188</v>
      </c>
      <c r="C189" s="5">
        <v>9665.5647307648323</v>
      </c>
      <c r="D189" s="5">
        <v>259.29449066147208</v>
      </c>
      <c r="E189" s="5">
        <v>289.62798897409812</v>
      </c>
      <c r="F189" s="5">
        <v>4.1637239046394825E-3</v>
      </c>
      <c r="G189" s="5">
        <v>4994.4466400146484</v>
      </c>
      <c r="H189" s="5">
        <v>7.8267411117849406E-3</v>
      </c>
      <c r="I189">
        <v>-3208.92</v>
      </c>
      <c r="J189" s="5">
        <f>liquidity_data[[#This Row],[w_m]]+liquidity_data[[#This Row],[c_m]]+liquidity_data[[#This Row],[cf_m]]+liquidity_data[[#This Row],[kf_m]]+liquidity_data[[#This Row],[equity]]</f>
        <v>12000.013850415051</v>
      </c>
      <c r="K189" s="5">
        <f>liquidity_data[[#This Row],[kf_d]]+liquidity_data[[#This Row],[cf_d]]</f>
        <v>1.1990465016424423E-2</v>
      </c>
      <c r="L189" s="5">
        <f>liquidity_data[[#This Row],[TOTAL_M]]-liquidity_data[[#This Row],[TOTAL_D]]</f>
        <v>12000.001859950034</v>
      </c>
      <c r="M189" s="6">
        <f>liquidity_data[[#This Row],[M-D]]/L188-1</f>
        <v>-1.1207878991559284E-7</v>
      </c>
    </row>
    <row r="190" spans="1:13" x14ac:dyDescent="0.25">
      <c r="A190" s="7" t="s">
        <v>146</v>
      </c>
      <c r="B190">
        <v>189</v>
      </c>
      <c r="C190" s="5">
        <v>9669.6429762457265</v>
      </c>
      <c r="D190" s="5">
        <v>262.41549982503057</v>
      </c>
      <c r="E190" s="5">
        <v>263.39598820742685</v>
      </c>
      <c r="F190" s="5">
        <v>3.9555374532938004E-3</v>
      </c>
      <c r="G190" s="5">
        <v>5081.0041732788086</v>
      </c>
      <c r="H190" s="5">
        <v>7.4354041025799233E-3</v>
      </c>
      <c r="I190">
        <v>-3276.45</v>
      </c>
      <c r="J190" s="5">
        <f>liquidity_data[[#This Row],[w_m]]+liquidity_data[[#This Row],[c_m]]+liquidity_data[[#This Row],[cf_m]]+liquidity_data[[#This Row],[kf_m]]+liquidity_data[[#This Row],[equity]]</f>
        <v>12000.008637556992</v>
      </c>
      <c r="K190" s="5">
        <f>liquidity_data[[#This Row],[kf_d]]+liquidity_data[[#This Row],[cf_d]]</f>
        <v>1.1390941555873724E-2</v>
      </c>
      <c r="L190" s="5">
        <f>liquidity_data[[#This Row],[TOTAL_M]]-liquidity_data[[#This Row],[TOTAL_D]]</f>
        <v>11999.997246615436</v>
      </c>
      <c r="M190" s="6">
        <f>liquidity_data[[#This Row],[M-D]]/L189-1</f>
        <v>-3.8444449024233052E-7</v>
      </c>
    </row>
    <row r="191" spans="1:13" x14ac:dyDescent="0.25">
      <c r="A191" s="7" t="s">
        <v>146</v>
      </c>
      <c r="B191">
        <v>190</v>
      </c>
      <c r="C191" s="5">
        <v>9678.3294090959243</v>
      </c>
      <c r="D191" s="5">
        <v>265.56881270743906</v>
      </c>
      <c r="E191" s="5">
        <v>247.04339468572289</v>
      </c>
      <c r="F191" s="5">
        <v>3.7577606271952391E-3</v>
      </c>
      <c r="G191" s="5">
        <v>5168.663215637207</v>
      </c>
      <c r="H191" s="5">
        <v>7.0636338023177814E-3</v>
      </c>
      <c r="I191">
        <v>-3359.59</v>
      </c>
      <c r="J191" s="5">
        <f>liquidity_data[[#This Row],[w_m]]+liquidity_data[[#This Row],[c_m]]+liquidity_data[[#This Row],[cf_m]]+liquidity_data[[#This Row],[kf_m]]+liquidity_data[[#This Row],[equity]]</f>
        <v>12000.014832126293</v>
      </c>
      <c r="K191" s="5">
        <f>liquidity_data[[#This Row],[kf_d]]+liquidity_data[[#This Row],[cf_d]]</f>
        <v>1.082139442951302E-2</v>
      </c>
      <c r="L191" s="5">
        <f>liquidity_data[[#This Row],[TOTAL_M]]-liquidity_data[[#This Row],[TOTAL_D]]</f>
        <v>12000.004010731864</v>
      </c>
      <c r="M191" s="6">
        <f>liquidity_data[[#This Row],[M-D]]/L190-1</f>
        <v>5.6367649836630562E-7</v>
      </c>
    </row>
    <row r="192" spans="1:13" x14ac:dyDescent="0.25">
      <c r="A192" s="7" t="s">
        <v>146</v>
      </c>
      <c r="B192">
        <v>191</v>
      </c>
      <c r="C192" s="5">
        <v>9685.2921880767972</v>
      </c>
      <c r="D192" s="5">
        <v>270.33885101415217</v>
      </c>
      <c r="E192" s="5">
        <v>230.22311733290553</v>
      </c>
      <c r="F192" s="5">
        <v>3.5698725841939449E-3</v>
      </c>
      <c r="G192" s="5">
        <v>5247.0482635498047</v>
      </c>
      <c r="H192" s="5">
        <v>6.7104524132446386E-3</v>
      </c>
      <c r="I192">
        <v>-3432.89</v>
      </c>
      <c r="J192" s="5">
        <f>liquidity_data[[#This Row],[w_m]]+liquidity_data[[#This Row],[c_m]]+liquidity_data[[#This Row],[cf_m]]+liquidity_data[[#This Row],[kf_m]]+liquidity_data[[#This Row],[equity]]</f>
        <v>12000.01241997366</v>
      </c>
      <c r="K192" s="5">
        <f>liquidity_data[[#This Row],[kf_d]]+liquidity_data[[#This Row],[cf_d]]</f>
        <v>1.0280324997438584E-2</v>
      </c>
      <c r="L192" s="5">
        <f>liquidity_data[[#This Row],[TOTAL_M]]-liquidity_data[[#This Row],[TOTAL_D]]</f>
        <v>12000.002139648663</v>
      </c>
      <c r="M192" s="6">
        <f>liquidity_data[[#This Row],[M-D]]/L191-1</f>
        <v>-1.5592354796201136E-7</v>
      </c>
    </row>
    <row r="193" spans="1:13" x14ac:dyDescent="0.25">
      <c r="A193" s="7" t="s">
        <v>146</v>
      </c>
      <c r="B193">
        <v>192</v>
      </c>
      <c r="C193" s="5">
        <v>9696.9518248867244</v>
      </c>
      <c r="D193" s="5">
        <v>272.37692205049098</v>
      </c>
      <c r="E193" s="5">
        <v>244.93446857761592</v>
      </c>
      <c r="F193" s="5">
        <v>3.3913790248334408E-3</v>
      </c>
      <c r="G193" s="5">
        <v>5316.7025299072266</v>
      </c>
      <c r="H193" s="5">
        <v>6.3749296750756912E-3</v>
      </c>
      <c r="I193">
        <v>-3530.96</v>
      </c>
      <c r="J193" s="5">
        <f>liquidity_data[[#This Row],[w_m]]+liquidity_data[[#This Row],[c_m]]+liquidity_data[[#This Row],[cf_m]]+liquidity_data[[#This Row],[kf_m]]+liquidity_data[[#This Row],[equity]]</f>
        <v>12000.005745422059</v>
      </c>
      <c r="K193" s="5">
        <f>liquidity_data[[#This Row],[kf_d]]+liquidity_data[[#This Row],[cf_d]]</f>
        <v>9.766308699909132E-3</v>
      </c>
      <c r="L193" s="5">
        <f>liquidity_data[[#This Row],[TOTAL_M]]-liquidity_data[[#This Row],[TOTAL_D]]</f>
        <v>11999.995979113359</v>
      </c>
      <c r="M193" s="6">
        <f>liquidity_data[[#This Row],[M-D]]/L192-1</f>
        <v>-5.1337785045291184E-7</v>
      </c>
    </row>
    <row r="194" spans="1:13" x14ac:dyDescent="0.25">
      <c r="A194" s="7" t="s">
        <v>146</v>
      </c>
      <c r="B194">
        <v>193</v>
      </c>
      <c r="C194" s="5">
        <v>9705.5399118196219</v>
      </c>
      <c r="D194" s="5">
        <v>278.91571910795756</v>
      </c>
      <c r="E194" s="5">
        <v>225.93893042393029</v>
      </c>
      <c r="F194" s="5">
        <v>3.2218100968748331E-3</v>
      </c>
      <c r="G194" s="5">
        <v>5408.8004913330078</v>
      </c>
      <c r="H194" s="5">
        <v>6.0561832906387281E-3</v>
      </c>
      <c r="I194">
        <v>-3619.19</v>
      </c>
      <c r="J194" s="5">
        <f>liquidity_data[[#This Row],[w_m]]+liquidity_data[[#This Row],[c_m]]+liquidity_data[[#This Row],[cf_m]]+liquidity_data[[#This Row],[kf_m]]+liquidity_data[[#This Row],[equity]]</f>
        <v>12000.005052684517</v>
      </c>
      <c r="K194" s="5">
        <f>liquidity_data[[#This Row],[kf_d]]+liquidity_data[[#This Row],[cf_d]]</f>
        <v>9.2779933875135612E-3</v>
      </c>
      <c r="L194" s="5">
        <f>liquidity_data[[#This Row],[TOTAL_M]]-liquidity_data[[#This Row],[TOTAL_D]]</f>
        <v>11999.99577469113</v>
      </c>
      <c r="M194" s="6">
        <f>liquidity_data[[#This Row],[M-D]]/L193-1</f>
        <v>-1.7035191479664036E-8</v>
      </c>
    </row>
    <row r="195" spans="1:13" x14ac:dyDescent="0.25">
      <c r="A195" s="7" t="s">
        <v>146</v>
      </c>
      <c r="B195">
        <v>194</v>
      </c>
      <c r="C195" s="5">
        <v>9712.0476913701277</v>
      </c>
      <c r="D195" s="5">
        <v>286.40936750220135</v>
      </c>
      <c r="E195" s="5">
        <v>203.03883972828044</v>
      </c>
      <c r="F195" s="5">
        <v>3.0607194639742374E-3</v>
      </c>
      <c r="G195" s="5">
        <v>5509.8721389770508</v>
      </c>
      <c r="H195" s="5">
        <v>5.7533741182851372E-3</v>
      </c>
      <c r="I195">
        <v>-3711.36</v>
      </c>
      <c r="J195" s="5">
        <f>liquidity_data[[#This Row],[w_m]]+liquidity_data[[#This Row],[c_m]]+liquidity_data[[#This Row],[cf_m]]+liquidity_data[[#This Row],[kf_m]]+liquidity_data[[#This Row],[equity]]</f>
        <v>12000.00803757766</v>
      </c>
      <c r="K195" s="5">
        <f>liquidity_data[[#This Row],[kf_d]]+liquidity_data[[#This Row],[cf_d]]</f>
        <v>8.8140935822593747E-3</v>
      </c>
      <c r="L195" s="5">
        <f>liquidity_data[[#This Row],[TOTAL_M]]-liquidity_data[[#This Row],[TOTAL_D]]</f>
        <v>11999.999223484077</v>
      </c>
      <c r="M195" s="6">
        <f>liquidity_data[[#This Row],[M-D]]/L194-1</f>
        <v>2.8739951352108051E-7</v>
      </c>
    </row>
    <row r="196" spans="1:13" x14ac:dyDescent="0.25">
      <c r="A196" s="7" t="s">
        <v>146</v>
      </c>
      <c r="B196">
        <v>195</v>
      </c>
      <c r="C196" s="5">
        <v>9712.0255746424664</v>
      </c>
      <c r="D196" s="5">
        <v>292.77814321964979</v>
      </c>
      <c r="E196" s="5">
        <v>233.53986600227654</v>
      </c>
      <c r="F196" s="5">
        <v>2.9076836071908474E-3</v>
      </c>
      <c r="G196" s="5">
        <v>5584.2054824829102</v>
      </c>
      <c r="H196" s="5">
        <v>5.4657053351547802E-3</v>
      </c>
      <c r="I196">
        <v>-3822.54</v>
      </c>
      <c r="J196" s="5">
        <f>liquidity_data[[#This Row],[w_m]]+liquidity_data[[#This Row],[c_m]]+liquidity_data[[#This Row],[cf_m]]+liquidity_data[[#This Row],[kf_m]]+liquidity_data[[#This Row],[equity]]</f>
        <v>12000.009066347302</v>
      </c>
      <c r="K196" s="5">
        <f>liquidity_data[[#This Row],[kf_d]]+liquidity_data[[#This Row],[cf_d]]</f>
        <v>8.3733889423456276E-3</v>
      </c>
      <c r="L196" s="5">
        <f>liquidity_data[[#This Row],[TOTAL_M]]-liquidity_data[[#This Row],[TOTAL_D]]</f>
        <v>12000.00069295836</v>
      </c>
      <c r="M196" s="6">
        <f>liquidity_data[[#This Row],[M-D]]/L195-1</f>
        <v>1.2245619807060848E-7</v>
      </c>
    </row>
    <row r="197" spans="1:13" x14ac:dyDescent="0.25">
      <c r="A197" s="7" t="s">
        <v>146</v>
      </c>
      <c r="B197">
        <v>196</v>
      </c>
      <c r="C197" s="5">
        <v>9714.0782350958325</v>
      </c>
      <c r="D197" s="5">
        <v>296.84433251945302</v>
      </c>
      <c r="E197" s="5">
        <v>219.95640590041876</v>
      </c>
      <c r="F197" s="5">
        <v>2.7622994966804981E-3</v>
      </c>
      <c r="G197" s="5">
        <v>5678.2558670043945</v>
      </c>
      <c r="H197" s="5">
        <v>5.1924202252848772E-3</v>
      </c>
      <c r="I197">
        <v>-3909.13</v>
      </c>
      <c r="J197" s="5">
        <f>liquidity_data[[#This Row],[w_m]]+liquidity_data[[#This Row],[c_m]]+liquidity_data[[#This Row],[cf_m]]+liquidity_data[[#This Row],[kf_m]]+liquidity_data[[#This Row],[equity]]</f>
        <v>12000.004840520098</v>
      </c>
      <c r="K197" s="5">
        <f>liquidity_data[[#This Row],[kf_d]]+liquidity_data[[#This Row],[cf_d]]</f>
        <v>7.9547197219653754E-3</v>
      </c>
      <c r="L197" s="5">
        <f>liquidity_data[[#This Row],[TOTAL_M]]-liquidity_data[[#This Row],[TOTAL_D]]</f>
        <v>11999.996885800376</v>
      </c>
      <c r="M197" s="6">
        <f>liquidity_data[[#This Row],[M-D]]/L196-1</f>
        <v>-3.1726314697611002E-7</v>
      </c>
    </row>
    <row r="198" spans="1:13" x14ac:dyDescent="0.25">
      <c r="A198" s="7" t="s">
        <v>146</v>
      </c>
      <c r="B198">
        <v>197</v>
      </c>
      <c r="C198" s="5">
        <v>9710.9392381571233</v>
      </c>
      <c r="D198" s="5">
        <v>307.21763697033748</v>
      </c>
      <c r="E198" s="5">
        <v>229.62712820246816</v>
      </c>
      <c r="F198" s="5">
        <v>2.6241843588650227E-3</v>
      </c>
      <c r="G198" s="5">
        <v>5757.6127700805664</v>
      </c>
      <c r="H198" s="5">
        <v>4.9327991200698307E-3</v>
      </c>
      <c r="I198">
        <v>-4005.39</v>
      </c>
      <c r="J198" s="5">
        <f>liquidity_data[[#This Row],[w_m]]+liquidity_data[[#This Row],[c_m]]+liquidity_data[[#This Row],[cf_m]]+liquidity_data[[#This Row],[kf_m]]+liquidity_data[[#This Row],[equity]]</f>
        <v>12000.006773410496</v>
      </c>
      <c r="K198" s="5">
        <f>liquidity_data[[#This Row],[kf_d]]+liquidity_data[[#This Row],[cf_d]]</f>
        <v>7.5569834789348533E-3</v>
      </c>
      <c r="L198" s="5">
        <f>liquidity_data[[#This Row],[TOTAL_M]]-liquidity_data[[#This Row],[TOTAL_D]]</f>
        <v>11999.999216427017</v>
      </c>
      <c r="M198" s="6">
        <f>liquidity_data[[#This Row],[M-D]]/L197-1</f>
        <v>1.9421893715509952E-7</v>
      </c>
    </row>
    <row r="199" spans="1:13" x14ac:dyDescent="0.25">
      <c r="A199" s="7" t="s">
        <v>146</v>
      </c>
      <c r="B199">
        <v>198</v>
      </c>
      <c r="C199" s="5">
        <v>9711.3540789395774</v>
      </c>
      <c r="D199" s="5">
        <v>312.83247738447972</v>
      </c>
      <c r="E199" s="5">
        <v>223.28705111984164</v>
      </c>
      <c r="F199" s="5">
        <v>2.4929752107709646E-3</v>
      </c>
      <c r="G199" s="5">
        <v>5844.764892578125</v>
      </c>
      <c r="H199" s="5">
        <v>4.6861590981279733E-3</v>
      </c>
      <c r="I199">
        <v>-4092.23</v>
      </c>
      <c r="J199" s="5">
        <f>liquidity_data[[#This Row],[w_m]]+liquidity_data[[#This Row],[c_m]]+liquidity_data[[#This Row],[cf_m]]+liquidity_data[[#This Row],[kf_m]]+liquidity_data[[#This Row],[equity]]</f>
        <v>12000.008500022024</v>
      </c>
      <c r="K199" s="5">
        <f>liquidity_data[[#This Row],[kf_d]]+liquidity_data[[#This Row],[cf_d]]</f>
        <v>7.1791343088989379E-3</v>
      </c>
      <c r="L199" s="5">
        <f>liquidity_data[[#This Row],[TOTAL_M]]-liquidity_data[[#This Row],[TOTAL_D]]</f>
        <v>12000.001320887715</v>
      </c>
      <c r="M199" s="6">
        <f>liquidity_data[[#This Row],[M-D]]/L198-1</f>
        <v>1.7537173624404545E-7</v>
      </c>
    </row>
    <row r="200" spans="1:13" x14ac:dyDescent="0.25">
      <c r="A200" s="7" t="s">
        <v>146</v>
      </c>
      <c r="B200">
        <v>199</v>
      </c>
      <c r="C200" s="5">
        <v>9714.9527527401224</v>
      </c>
      <c r="D200" s="5">
        <v>322.06745771900751</v>
      </c>
      <c r="E200" s="5">
        <v>180.63216548971832</v>
      </c>
      <c r="F200" s="5">
        <v>2.3683265317231417E-3</v>
      </c>
      <c r="G200" s="5">
        <v>5951.9394607543945</v>
      </c>
      <c r="H200" s="5">
        <v>4.4518511749629397E-3</v>
      </c>
      <c r="I200">
        <v>-4169.58</v>
      </c>
      <c r="J200" s="5">
        <f>liquidity_data[[#This Row],[w_m]]+liquidity_data[[#This Row],[c_m]]+liquidity_data[[#This Row],[cf_m]]+liquidity_data[[#This Row],[kf_m]]+liquidity_data[[#This Row],[equity]]</f>
        <v>12000.011836703243</v>
      </c>
      <c r="K200" s="5">
        <f>liquidity_data[[#This Row],[kf_d]]+liquidity_data[[#This Row],[cf_d]]</f>
        <v>6.8201777066860814E-3</v>
      </c>
      <c r="L200" s="5">
        <f>liquidity_data[[#This Row],[TOTAL_M]]-liquidity_data[[#This Row],[TOTAL_D]]</f>
        <v>12000.005016525536</v>
      </c>
      <c r="M200" s="6">
        <f>liquidity_data[[#This Row],[M-D]]/L199-1</f>
        <v>3.0796978456315571E-7</v>
      </c>
    </row>
    <row r="201" spans="1:13" x14ac:dyDescent="0.25">
      <c r="A201" s="7" t="s">
        <v>146</v>
      </c>
      <c r="B201">
        <v>200</v>
      </c>
      <c r="C201" s="5">
        <v>9722.5091457180679</v>
      </c>
      <c r="D201" s="5">
        <v>322.50904040411115</v>
      </c>
      <c r="E201" s="5">
        <v>188.87730201985687</v>
      </c>
      <c r="F201" s="5">
        <v>2.2499100305140018E-3</v>
      </c>
      <c r="G201" s="5">
        <v>6039.3999786376953</v>
      </c>
      <c r="H201" s="5">
        <v>4.229258542181924E-3</v>
      </c>
      <c r="I201">
        <v>-4273.29</v>
      </c>
      <c r="J201" s="5">
        <f>liquidity_data[[#This Row],[w_m]]+liquidity_data[[#This Row],[c_m]]+liquidity_data[[#This Row],[cf_m]]+liquidity_data[[#This Row],[kf_m]]+liquidity_data[[#This Row],[equity]]</f>
        <v>12000.00546677973</v>
      </c>
      <c r="K201" s="5">
        <f>liquidity_data[[#This Row],[kf_d]]+liquidity_data[[#This Row],[cf_d]]</f>
        <v>6.4791685726959258E-3</v>
      </c>
      <c r="L201" s="5">
        <f>liquidity_data[[#This Row],[TOTAL_M]]-liquidity_data[[#This Row],[TOTAL_D]]</f>
        <v>11999.998987611158</v>
      </c>
      <c r="M201" s="6">
        <f>liquidity_data[[#This Row],[M-D]]/L200-1</f>
        <v>-5.0240932147893602E-7</v>
      </c>
    </row>
    <row r="202" spans="1:13" x14ac:dyDescent="0.25">
      <c r="A202" s="7" t="s">
        <v>146</v>
      </c>
      <c r="B202">
        <v>201</v>
      </c>
      <c r="C202" s="5">
        <v>9726.386472100392</v>
      </c>
      <c r="D202" s="5">
        <v>321.30878757685423</v>
      </c>
      <c r="E202" s="5">
        <v>216.66042005084455</v>
      </c>
      <c r="F202" s="5">
        <v>0</v>
      </c>
      <c r="G202" s="5">
        <v>6110.1234664916992</v>
      </c>
      <c r="H202" s="5">
        <v>4.0177957380365115E-3</v>
      </c>
      <c r="I202">
        <v>-4374.4799999999996</v>
      </c>
      <c r="J202" s="5">
        <f>liquidity_data[[#This Row],[w_m]]+liquidity_data[[#This Row],[c_m]]+liquidity_data[[#This Row],[cf_m]]+liquidity_data[[#This Row],[kf_m]]+liquidity_data[[#This Row],[equity]]</f>
        <v>11999.99914621979</v>
      </c>
      <c r="K202" s="5">
        <f>liquidity_data[[#This Row],[kf_d]]+liquidity_data[[#This Row],[cf_d]]</f>
        <v>4.0177957380365115E-3</v>
      </c>
      <c r="L202" s="5">
        <f>liquidity_data[[#This Row],[TOTAL_M]]-liquidity_data[[#This Row],[TOTAL_D]]</f>
        <v>11999.995128424052</v>
      </c>
      <c r="M202" s="6">
        <f>liquidity_data[[#This Row],[M-D]]/L201-1</f>
        <v>-3.2159895257954929E-7</v>
      </c>
    </row>
    <row r="203" spans="1:13" x14ac:dyDescent="0.25">
      <c r="A203" s="7" t="s">
        <v>146</v>
      </c>
      <c r="B203">
        <v>202</v>
      </c>
      <c r="C203" s="5">
        <v>9725.3838126393966</v>
      </c>
      <c r="D203" s="5">
        <v>330.24149172566831</v>
      </c>
      <c r="E203" s="5">
        <v>171.16547088301741</v>
      </c>
      <c r="F203" s="5">
        <v>0</v>
      </c>
      <c r="G203" s="5">
        <v>6223.982795715332</v>
      </c>
      <c r="H203" s="5">
        <v>3.8169058625499019E-3</v>
      </c>
      <c r="I203">
        <v>-4450.7700000000004</v>
      </c>
      <c r="J203" s="5">
        <f>liquidity_data[[#This Row],[w_m]]+liquidity_data[[#This Row],[c_m]]+liquidity_data[[#This Row],[cf_m]]+liquidity_data[[#This Row],[kf_m]]+liquidity_data[[#This Row],[equity]]</f>
        <v>12000.003570963414</v>
      </c>
      <c r="K203" s="5">
        <f>liquidity_data[[#This Row],[kf_d]]+liquidity_data[[#This Row],[cf_d]]</f>
        <v>3.8169058625499019E-3</v>
      </c>
      <c r="L203" s="5">
        <f>liquidity_data[[#This Row],[TOTAL_M]]-liquidity_data[[#This Row],[TOTAL_D]]</f>
        <v>11999.999754057551</v>
      </c>
      <c r="M203" s="6">
        <f>liquidity_data[[#This Row],[M-D]]/L202-1</f>
        <v>3.8546961467211815E-7</v>
      </c>
    </row>
    <row r="204" spans="1:13" x14ac:dyDescent="0.25">
      <c r="A204" s="7" t="s">
        <v>146</v>
      </c>
      <c r="B204">
        <v>203</v>
      </c>
      <c r="C204" s="5">
        <v>9734.0354726800579</v>
      </c>
      <c r="D204" s="5">
        <v>335.33719436265528</v>
      </c>
      <c r="E204" s="5">
        <v>178.29641236271709</v>
      </c>
      <c r="F204" s="5">
        <v>0</v>
      </c>
      <c r="G204" s="5">
        <v>6326.1071395874023</v>
      </c>
      <c r="H204" s="5">
        <v>3.6260605975257931E-3</v>
      </c>
      <c r="I204">
        <v>-4573.7700000000004</v>
      </c>
      <c r="J204" s="5">
        <f>liquidity_data[[#This Row],[w_m]]+liquidity_data[[#This Row],[c_m]]+liquidity_data[[#This Row],[cf_m]]+liquidity_data[[#This Row],[kf_m]]+liquidity_data[[#This Row],[equity]]</f>
        <v>12000.006218992832</v>
      </c>
      <c r="K204" s="5">
        <f>liquidity_data[[#This Row],[kf_d]]+liquidity_data[[#This Row],[cf_d]]</f>
        <v>3.6260605975257931E-3</v>
      </c>
      <c r="L204" s="5">
        <f>liquidity_data[[#This Row],[TOTAL_M]]-liquidity_data[[#This Row],[TOTAL_D]]</f>
        <v>12000.002592932235</v>
      </c>
      <c r="M204" s="6">
        <f>liquidity_data[[#This Row],[M-D]]/L203-1</f>
        <v>2.3657289505152335E-7</v>
      </c>
    </row>
    <row r="205" spans="1:13" x14ac:dyDescent="0.25">
      <c r="A205" s="7" t="s">
        <v>146</v>
      </c>
      <c r="B205">
        <v>204</v>
      </c>
      <c r="C205" s="5">
        <v>9738.6108907544985</v>
      </c>
      <c r="D205" s="5">
        <v>337.96933976374567</v>
      </c>
      <c r="E205" s="5">
        <v>193.09956930950284</v>
      </c>
      <c r="F205" s="5">
        <v>0</v>
      </c>
      <c r="G205" s="5">
        <v>6400.8419876098633</v>
      </c>
      <c r="H205" s="5">
        <v>3.4447575744707137E-3</v>
      </c>
      <c r="I205">
        <v>-4670.5200000000004</v>
      </c>
      <c r="J205" s="5">
        <f>liquidity_data[[#This Row],[w_m]]+liquidity_data[[#This Row],[c_m]]+liquidity_data[[#This Row],[cf_m]]+liquidity_data[[#This Row],[kf_m]]+liquidity_data[[#This Row],[equity]]</f>
        <v>12000.00178743761</v>
      </c>
      <c r="K205" s="5">
        <f>liquidity_data[[#This Row],[kf_d]]+liquidity_data[[#This Row],[cf_d]]</f>
        <v>3.4447575744707137E-3</v>
      </c>
      <c r="L205" s="5">
        <f>liquidity_data[[#This Row],[TOTAL_M]]-liquidity_data[[#This Row],[TOTAL_D]]</f>
        <v>11999.998342680035</v>
      </c>
      <c r="M205" s="6">
        <f>liquidity_data[[#This Row],[M-D]]/L204-1</f>
        <v>-3.5418760668814997E-7</v>
      </c>
    </row>
    <row r="206" spans="1:13" x14ac:dyDescent="0.25">
      <c r="A206" s="7" t="s">
        <v>146</v>
      </c>
      <c r="B206">
        <v>205</v>
      </c>
      <c r="C206" s="5">
        <v>9747.1633734812494</v>
      </c>
      <c r="D206" s="5">
        <v>346.41212022281252</v>
      </c>
      <c r="E206" s="5">
        <v>141.03128623217344</v>
      </c>
      <c r="F206" s="5">
        <v>0</v>
      </c>
      <c r="G206" s="5">
        <v>6534.1187744140625</v>
      </c>
      <c r="H206" s="5">
        <v>3.2725197543186368E-3</v>
      </c>
      <c r="I206">
        <v>-4768.72</v>
      </c>
      <c r="J206" s="5">
        <f>liquidity_data[[#This Row],[w_m]]+liquidity_data[[#This Row],[c_m]]+liquidity_data[[#This Row],[cf_m]]+liquidity_data[[#This Row],[kf_m]]+liquidity_data[[#This Row],[equity]]</f>
        <v>12000.005554350297</v>
      </c>
      <c r="K206" s="5">
        <f>liquidity_data[[#This Row],[kf_d]]+liquidity_data[[#This Row],[cf_d]]</f>
        <v>3.2725197543186368E-3</v>
      </c>
      <c r="L206" s="5">
        <f>liquidity_data[[#This Row],[TOTAL_M]]-liquidity_data[[#This Row],[TOTAL_D]]</f>
        <v>12000.002281830542</v>
      </c>
      <c r="M206" s="6">
        <f>liquidity_data[[#This Row],[M-D]]/L205-1</f>
        <v>3.2826258755669357E-7</v>
      </c>
    </row>
    <row r="207" spans="1:13" x14ac:dyDescent="0.25">
      <c r="A207" s="7" t="s">
        <v>146</v>
      </c>
      <c r="B207">
        <v>206</v>
      </c>
      <c r="C207" s="5">
        <v>9748.8021702528713</v>
      </c>
      <c r="D207" s="5">
        <v>350.69640372134745</v>
      </c>
      <c r="E207" s="5">
        <v>156.5273495092988</v>
      </c>
      <c r="F207" s="5">
        <v>0</v>
      </c>
      <c r="G207" s="5">
        <v>6633.9456024169922</v>
      </c>
      <c r="H207" s="5">
        <v>3.1088937339518452E-3</v>
      </c>
      <c r="I207">
        <v>-4889.97</v>
      </c>
      <c r="J207" s="5">
        <f>liquidity_data[[#This Row],[w_m]]+liquidity_data[[#This Row],[c_m]]+liquidity_data[[#This Row],[cf_m]]+liquidity_data[[#This Row],[kf_m]]+liquidity_data[[#This Row],[equity]]</f>
        <v>12000.001525900509</v>
      </c>
      <c r="K207" s="5">
        <f>liquidity_data[[#This Row],[kf_d]]+liquidity_data[[#This Row],[cf_d]]</f>
        <v>3.1088937339518452E-3</v>
      </c>
      <c r="L207" s="5">
        <f>liquidity_data[[#This Row],[TOTAL_M]]-liquidity_data[[#This Row],[TOTAL_D]]</f>
        <v>11999.998417006775</v>
      </c>
      <c r="M207" s="6">
        <f>liquidity_data[[#This Row],[M-D]]/L206-1</f>
        <v>-3.2206858602279453E-7</v>
      </c>
    </row>
    <row r="208" spans="1:13" x14ac:dyDescent="0.25">
      <c r="A208" s="7" t="s">
        <v>146</v>
      </c>
      <c r="B208">
        <v>207</v>
      </c>
      <c r="C208" s="5">
        <v>9748.5662508700043</v>
      </c>
      <c r="D208" s="5">
        <v>349.06801307201385</v>
      </c>
      <c r="E208" s="5">
        <v>195.11262536328286</v>
      </c>
      <c r="F208" s="5">
        <v>0</v>
      </c>
      <c r="G208" s="5">
        <v>6703.9173736572266</v>
      </c>
      <c r="H208" s="5">
        <v>2.9534490740843466E-3</v>
      </c>
      <c r="I208">
        <v>-4996.66</v>
      </c>
      <c r="J208" s="5">
        <f>liquidity_data[[#This Row],[w_m]]+liquidity_data[[#This Row],[c_m]]+liquidity_data[[#This Row],[cf_m]]+liquidity_data[[#This Row],[kf_m]]+liquidity_data[[#This Row],[equity]]</f>
        <v>12000.004262962528</v>
      </c>
      <c r="K208" s="5">
        <f>liquidity_data[[#This Row],[kf_d]]+liquidity_data[[#This Row],[cf_d]]</f>
        <v>2.9534490740843466E-3</v>
      </c>
      <c r="L208" s="5">
        <f>liquidity_data[[#This Row],[TOTAL_M]]-liquidity_data[[#This Row],[TOTAL_D]]</f>
        <v>12000.001309513453</v>
      </c>
      <c r="M208" s="6">
        <f>liquidity_data[[#This Row],[M-D]]/L207-1</f>
        <v>2.410422550447322E-7</v>
      </c>
    </row>
    <row r="209" spans="1:13" x14ac:dyDescent="0.25">
      <c r="A209" s="7" t="s">
        <v>146</v>
      </c>
      <c r="B209">
        <v>208</v>
      </c>
      <c r="C209" s="5">
        <v>9742.9082757858559</v>
      </c>
      <c r="D209" s="5">
        <v>348.94305715709925</v>
      </c>
      <c r="E209" s="5">
        <v>193.68973817303777</v>
      </c>
      <c r="F209" s="5">
        <v>0</v>
      </c>
      <c r="G209" s="5">
        <v>6782.287841796875</v>
      </c>
      <c r="H209" s="5">
        <v>2.8057765466655837E-3</v>
      </c>
      <c r="I209">
        <v>-5067.83</v>
      </c>
      <c r="J209" s="5">
        <f>liquidity_data[[#This Row],[w_m]]+liquidity_data[[#This Row],[c_m]]+liquidity_data[[#This Row],[cf_m]]+liquidity_data[[#This Row],[kf_m]]+liquidity_data[[#This Row],[equity]]</f>
        <v>11999.998912912868</v>
      </c>
      <c r="K209" s="5">
        <f>liquidity_data[[#This Row],[kf_d]]+liquidity_data[[#This Row],[cf_d]]</f>
        <v>2.8057765466655837E-3</v>
      </c>
      <c r="L209" s="5">
        <f>liquidity_data[[#This Row],[TOTAL_M]]-liquidity_data[[#This Row],[TOTAL_D]]</f>
        <v>11999.996107136321</v>
      </c>
      <c r="M209" s="6">
        <f>liquidity_data[[#This Row],[M-D]]/L208-1</f>
        <v>-4.3353138035051586E-7</v>
      </c>
    </row>
    <row r="210" spans="1:13" x14ac:dyDescent="0.25">
      <c r="A210" s="7" t="s">
        <v>146</v>
      </c>
      <c r="B210">
        <v>209</v>
      </c>
      <c r="C210" s="5">
        <v>9737.0179535388015</v>
      </c>
      <c r="D210" s="5">
        <v>345.39712998270988</v>
      </c>
      <c r="E210" s="5">
        <v>213.6195112913847</v>
      </c>
      <c r="F210" s="5">
        <v>0</v>
      </c>
      <c r="G210" s="5">
        <v>6858.5665283203125</v>
      </c>
      <c r="H210" s="5">
        <v>2.6654877701730584E-3</v>
      </c>
      <c r="I210">
        <v>-5154.6000000000004</v>
      </c>
      <c r="J210" s="5">
        <f>liquidity_data[[#This Row],[w_m]]+liquidity_data[[#This Row],[c_m]]+liquidity_data[[#This Row],[cf_m]]+liquidity_data[[#This Row],[kf_m]]+liquidity_data[[#This Row],[equity]]</f>
        <v>12000.001123133208</v>
      </c>
      <c r="K210" s="5">
        <f>liquidity_data[[#This Row],[kf_d]]+liquidity_data[[#This Row],[cf_d]]</f>
        <v>2.6654877701730584E-3</v>
      </c>
      <c r="L210" s="5">
        <f>liquidity_data[[#This Row],[TOTAL_M]]-liquidity_data[[#This Row],[TOTAL_D]]</f>
        <v>11999.998457645437</v>
      </c>
      <c r="M210" s="6">
        <f>liquidity_data[[#This Row],[M-D]]/L209-1</f>
        <v>1.9587582311686447E-7</v>
      </c>
    </row>
    <row r="211" spans="1:13" x14ac:dyDescent="0.25">
      <c r="A211" s="7" t="s">
        <v>146</v>
      </c>
      <c r="B211">
        <v>210</v>
      </c>
      <c r="C211" s="5">
        <v>9739.7264022743329</v>
      </c>
      <c r="D211" s="5">
        <v>350.64489889144897</v>
      </c>
      <c r="E211" s="5">
        <v>184.64006976038218</v>
      </c>
      <c r="F211" s="5">
        <v>0</v>
      </c>
      <c r="G211" s="5">
        <v>6962.3629531860352</v>
      </c>
      <c r="H211" s="5">
        <v>2.5322133560621296E-3</v>
      </c>
      <c r="I211">
        <v>-5237.37</v>
      </c>
      <c r="J211" s="5">
        <f>liquidity_data[[#This Row],[w_m]]+liquidity_data[[#This Row],[c_m]]+liquidity_data[[#This Row],[cf_m]]+liquidity_data[[#This Row],[kf_m]]+liquidity_data[[#This Row],[equity]]</f>
        <v>12000.0043241122</v>
      </c>
      <c r="K211" s="5">
        <f>liquidity_data[[#This Row],[kf_d]]+liquidity_data[[#This Row],[cf_d]]</f>
        <v>2.5322133560621296E-3</v>
      </c>
      <c r="L211" s="5">
        <f>liquidity_data[[#This Row],[TOTAL_M]]-liquidity_data[[#This Row],[TOTAL_D]]</f>
        <v>12000.001791898845</v>
      </c>
      <c r="M211" s="6">
        <f>liquidity_data[[#This Row],[M-D]]/L210-1</f>
        <v>2.7785448630801568E-7</v>
      </c>
    </row>
    <row r="212" spans="1:13" x14ac:dyDescent="0.25">
      <c r="A212" s="7" t="s">
        <v>146</v>
      </c>
      <c r="B212">
        <v>211</v>
      </c>
      <c r="C212" s="5">
        <v>9745.4211552552879</v>
      </c>
      <c r="D212" s="5">
        <v>344.45449490100145</v>
      </c>
      <c r="E212" s="5">
        <v>207.31846789922565</v>
      </c>
      <c r="F212" s="5">
        <v>0</v>
      </c>
      <c r="G212" s="5">
        <v>7049.2294616699219</v>
      </c>
      <c r="H212" s="5">
        <v>2.405602703220211E-3</v>
      </c>
      <c r="I212">
        <v>-5346.42</v>
      </c>
      <c r="J212" s="5">
        <f>liquidity_data[[#This Row],[w_m]]+liquidity_data[[#This Row],[c_m]]+liquidity_data[[#This Row],[cf_m]]+liquidity_data[[#This Row],[kf_m]]+liquidity_data[[#This Row],[equity]]</f>
        <v>12000.003579725437</v>
      </c>
      <c r="K212" s="5">
        <f>liquidity_data[[#This Row],[kf_d]]+liquidity_data[[#This Row],[cf_d]]</f>
        <v>2.405602703220211E-3</v>
      </c>
      <c r="L212" s="5">
        <f>liquidity_data[[#This Row],[TOTAL_M]]-liquidity_data[[#This Row],[TOTAL_D]]</f>
        <v>12000.001174122734</v>
      </c>
      <c r="M212" s="6">
        <f>liquidity_data[[#This Row],[M-D]]/L211-1</f>
        <v>-5.1481334972791615E-8</v>
      </c>
    </row>
    <row r="213" spans="1:13" x14ac:dyDescent="0.25">
      <c r="A213" s="7" t="s">
        <v>146</v>
      </c>
      <c r="B213">
        <v>212</v>
      </c>
      <c r="C213" s="5">
        <v>9745.7213532479946</v>
      </c>
      <c r="D213" s="5">
        <v>342.29177310690284</v>
      </c>
      <c r="E213" s="5">
        <v>227.97631681710482</v>
      </c>
      <c r="F213" s="5">
        <v>0</v>
      </c>
      <c r="G213" s="5">
        <v>7138.6681976318359</v>
      </c>
      <c r="H213" s="5">
        <v>2.2853225509607E-3</v>
      </c>
      <c r="I213">
        <v>-5454.66</v>
      </c>
      <c r="J213" s="5">
        <f>liquidity_data[[#This Row],[w_m]]+liquidity_data[[#This Row],[c_m]]+liquidity_data[[#This Row],[cf_m]]+liquidity_data[[#This Row],[kf_m]]+liquidity_data[[#This Row],[equity]]</f>
        <v>11999.997640803838</v>
      </c>
      <c r="K213" s="5">
        <f>liquidity_data[[#This Row],[kf_d]]+liquidity_data[[#This Row],[cf_d]]</f>
        <v>2.2853225509607E-3</v>
      </c>
      <c r="L213" s="5">
        <f>liquidity_data[[#This Row],[TOTAL_M]]-liquidity_data[[#This Row],[TOTAL_D]]</f>
        <v>11999.995355481287</v>
      </c>
      <c r="M213" s="6">
        <f>liquidity_data[[#This Row],[M-D]]/L212-1</f>
        <v>-4.8488673975999319E-7</v>
      </c>
    </row>
    <row r="214" spans="1:13" x14ac:dyDescent="0.25">
      <c r="A214" s="7" t="s">
        <v>146</v>
      </c>
      <c r="B214">
        <v>213</v>
      </c>
      <c r="C214" s="5">
        <v>9746.4333834337303</v>
      </c>
      <c r="D214" s="5">
        <v>346.5219301097095</v>
      </c>
      <c r="E214" s="5">
        <v>207.82469342090189</v>
      </c>
      <c r="F214" s="5">
        <v>0</v>
      </c>
      <c r="G214" s="5">
        <v>7234.4521789550781</v>
      </c>
      <c r="H214" s="5">
        <v>2.1710564215027262E-3</v>
      </c>
      <c r="I214">
        <v>-5535.23</v>
      </c>
      <c r="J214" s="5">
        <f>liquidity_data[[#This Row],[w_m]]+liquidity_data[[#This Row],[c_m]]+liquidity_data[[#This Row],[cf_m]]+liquidity_data[[#This Row],[kf_m]]+liquidity_data[[#This Row],[equity]]</f>
        <v>12000.00218591942</v>
      </c>
      <c r="K214" s="5">
        <f>liquidity_data[[#This Row],[kf_d]]+liquidity_data[[#This Row],[cf_d]]</f>
        <v>2.1710564215027262E-3</v>
      </c>
      <c r="L214" s="5">
        <f>liquidity_data[[#This Row],[TOTAL_M]]-liquidity_data[[#This Row],[TOTAL_D]]</f>
        <v>12000.000014862999</v>
      </c>
      <c r="M214" s="6">
        <f>liquidity_data[[#This Row],[M-D]]/L213-1</f>
        <v>3.88281959473602E-7</v>
      </c>
    </row>
    <row r="215" spans="1:13" x14ac:dyDescent="0.25">
      <c r="A215" s="7" t="s">
        <v>146</v>
      </c>
      <c r="B215">
        <v>214</v>
      </c>
      <c r="C215" s="5">
        <v>9744.6108079474652</v>
      </c>
      <c r="D215" s="5">
        <v>345.6049216426909</v>
      </c>
      <c r="E215" s="5">
        <v>217.16269384603947</v>
      </c>
      <c r="F215" s="5">
        <v>0</v>
      </c>
      <c r="G215" s="5">
        <v>7315.405403137207</v>
      </c>
      <c r="H215" s="5">
        <v>2.0625036331693991E-3</v>
      </c>
      <c r="I215">
        <v>-5622.78</v>
      </c>
      <c r="J215" s="5">
        <f>liquidity_data[[#This Row],[w_m]]+liquidity_data[[#This Row],[c_m]]+liquidity_data[[#This Row],[cf_m]]+liquidity_data[[#This Row],[kf_m]]+liquidity_data[[#This Row],[equity]]</f>
        <v>12000.003826573404</v>
      </c>
      <c r="K215" s="5">
        <f>liquidity_data[[#This Row],[kf_d]]+liquidity_data[[#This Row],[cf_d]]</f>
        <v>2.0625036331693991E-3</v>
      </c>
      <c r="L215" s="5">
        <f>liquidity_data[[#This Row],[TOTAL_M]]-liquidity_data[[#This Row],[TOTAL_D]]</f>
        <v>12000.00176406977</v>
      </c>
      <c r="M215" s="6">
        <f>liquidity_data[[#This Row],[M-D]]/L214-1</f>
        <v>1.4576723073034259E-7</v>
      </c>
    </row>
    <row r="216" spans="1:13" x14ac:dyDescent="0.25">
      <c r="A216" s="7" t="s">
        <v>146</v>
      </c>
      <c r="B216">
        <v>215</v>
      </c>
      <c r="C216" s="5">
        <v>9741.4401170477649</v>
      </c>
      <c r="D216" s="5">
        <v>341.77671284601092</v>
      </c>
      <c r="E216" s="5">
        <v>215.63562951702625</v>
      </c>
      <c r="F216" s="5">
        <v>0</v>
      </c>
      <c r="G216" s="5">
        <v>7398.7902603149414</v>
      </c>
      <c r="H216" s="5">
        <v>1.9593784481912735E-3</v>
      </c>
      <c r="I216">
        <v>-5697.64</v>
      </c>
      <c r="J216" s="5">
        <f>liquidity_data[[#This Row],[w_m]]+liquidity_data[[#This Row],[c_m]]+liquidity_data[[#This Row],[cf_m]]+liquidity_data[[#This Row],[kf_m]]+liquidity_data[[#This Row],[equity]]</f>
        <v>12000.002719725744</v>
      </c>
      <c r="K216" s="5">
        <f>liquidity_data[[#This Row],[kf_d]]+liquidity_data[[#This Row],[cf_d]]</f>
        <v>1.9593784481912735E-3</v>
      </c>
      <c r="L216" s="5">
        <f>liquidity_data[[#This Row],[TOTAL_M]]-liquidity_data[[#This Row],[TOTAL_D]]</f>
        <v>12000.000760347295</v>
      </c>
      <c r="M216" s="6">
        <f>liquidity_data[[#This Row],[M-D]]/L215-1</f>
        <v>-8.3643527215571112E-8</v>
      </c>
    </row>
    <row r="217" spans="1:13" x14ac:dyDescent="0.25">
      <c r="A217" s="7" t="s">
        <v>146</v>
      </c>
      <c r="B217">
        <v>216</v>
      </c>
      <c r="C217" s="5">
        <v>9737.6287509537069</v>
      </c>
      <c r="D217" s="5">
        <v>338.83805541991023</v>
      </c>
      <c r="E217" s="5">
        <v>235.08712252229452</v>
      </c>
      <c r="F217" s="5">
        <v>0</v>
      </c>
      <c r="G217" s="5">
        <v>7486.0105133056641</v>
      </c>
      <c r="H217" s="5">
        <v>1.861409501543676E-3</v>
      </c>
      <c r="I217">
        <v>-5797.56</v>
      </c>
      <c r="J217" s="5">
        <f>liquidity_data[[#This Row],[w_m]]+liquidity_data[[#This Row],[c_m]]+liquidity_data[[#This Row],[cf_m]]+liquidity_data[[#This Row],[kf_m]]+liquidity_data[[#This Row],[equity]]</f>
        <v>12000.004442201574</v>
      </c>
      <c r="K217" s="5">
        <f>liquidity_data[[#This Row],[kf_d]]+liquidity_data[[#This Row],[cf_d]]</f>
        <v>1.861409501543676E-3</v>
      </c>
      <c r="L217" s="5">
        <f>liquidity_data[[#This Row],[TOTAL_M]]-liquidity_data[[#This Row],[TOTAL_D]]</f>
        <v>12000.002580792072</v>
      </c>
      <c r="M217" s="6">
        <f>liquidity_data[[#This Row],[M-D]]/L216-1</f>
        <v>1.5170372180683955E-7</v>
      </c>
    </row>
    <row r="218" spans="1:13" x14ac:dyDescent="0.25">
      <c r="A218" s="7" t="s">
        <v>146</v>
      </c>
      <c r="B218">
        <v>217</v>
      </c>
      <c r="C218" s="5">
        <v>9742.0948451597942</v>
      </c>
      <c r="D218" s="5">
        <v>337.62152227031766</v>
      </c>
      <c r="E218" s="5">
        <v>244.41456774435937</v>
      </c>
      <c r="F218" s="5">
        <v>0</v>
      </c>
      <c r="G218" s="5">
        <v>7570.9228286743164</v>
      </c>
      <c r="H218" s="5">
        <v>1.7683390415186295E-3</v>
      </c>
      <c r="I218">
        <v>-5895.05</v>
      </c>
      <c r="J218" s="5">
        <f>liquidity_data[[#This Row],[w_m]]+liquidity_data[[#This Row],[c_m]]+liquidity_data[[#This Row],[cf_m]]+liquidity_data[[#This Row],[kf_m]]+liquidity_data[[#This Row],[equity]]</f>
        <v>12000.003763848788</v>
      </c>
      <c r="K218" s="5">
        <f>liquidity_data[[#This Row],[kf_d]]+liquidity_data[[#This Row],[cf_d]]</f>
        <v>1.7683390415186295E-3</v>
      </c>
      <c r="L218" s="5">
        <f>liquidity_data[[#This Row],[TOTAL_M]]-liquidity_data[[#This Row],[TOTAL_D]]</f>
        <v>12000.001995509747</v>
      </c>
      <c r="M218" s="6">
        <f>liquidity_data[[#This Row],[M-D]]/L217-1</f>
        <v>-4.8773516558853203E-8</v>
      </c>
    </row>
    <row r="219" spans="1:13" x14ac:dyDescent="0.25">
      <c r="A219" s="7" t="s">
        <v>146</v>
      </c>
      <c r="B219">
        <v>218</v>
      </c>
      <c r="C219" s="5">
        <v>9747.7983550028875</v>
      </c>
      <c r="D219" s="5">
        <v>335.88707301300019</v>
      </c>
      <c r="E219" s="5">
        <v>252.29242307506502</v>
      </c>
      <c r="F219" s="5">
        <v>0</v>
      </c>
      <c r="G219" s="5">
        <v>7657.4229736328125</v>
      </c>
      <c r="H219" s="5">
        <v>1.6799220693428651E-3</v>
      </c>
      <c r="I219">
        <v>-5993.4</v>
      </c>
      <c r="J219" s="5">
        <f>liquidity_data[[#This Row],[w_m]]+liquidity_data[[#This Row],[c_m]]+liquidity_data[[#This Row],[cf_m]]+liquidity_data[[#This Row],[kf_m]]+liquidity_data[[#This Row],[equity]]</f>
        <v>12000.000824723766</v>
      </c>
      <c r="K219" s="5">
        <f>liquidity_data[[#This Row],[kf_d]]+liquidity_data[[#This Row],[cf_d]]</f>
        <v>1.6799220693428651E-3</v>
      </c>
      <c r="L219" s="5">
        <f>liquidity_data[[#This Row],[TOTAL_M]]-liquidity_data[[#This Row],[TOTAL_D]]</f>
        <v>11999.999144801695</v>
      </c>
      <c r="M219" s="6">
        <f>liquidity_data[[#This Row],[M-D]]/L218-1</f>
        <v>-2.3755896483290684E-7</v>
      </c>
    </row>
    <row r="220" spans="1:13" x14ac:dyDescent="0.25">
      <c r="A220" s="7" t="s">
        <v>146</v>
      </c>
      <c r="B220">
        <v>219</v>
      </c>
      <c r="C220" s="5">
        <v>9749.5132612818852</v>
      </c>
      <c r="D220" s="5">
        <v>347.12148053944111</v>
      </c>
      <c r="E220" s="5">
        <v>208.49952630978078</v>
      </c>
      <c r="F220" s="5">
        <v>0</v>
      </c>
      <c r="G220" s="5">
        <v>7782.3145751953125</v>
      </c>
      <c r="H220" s="5">
        <v>1.5959259599185316E-3</v>
      </c>
      <c r="I220">
        <v>-6087.45</v>
      </c>
      <c r="J220" s="5">
        <f>liquidity_data[[#This Row],[w_m]]+liquidity_data[[#This Row],[c_m]]+liquidity_data[[#This Row],[cf_m]]+liquidity_data[[#This Row],[kf_m]]+liquidity_data[[#This Row],[equity]]</f>
        <v>11999.998843326419</v>
      </c>
      <c r="K220" s="5">
        <f>liquidity_data[[#This Row],[kf_d]]+liquidity_data[[#This Row],[cf_d]]</f>
        <v>1.5959259599185316E-3</v>
      </c>
      <c r="L220" s="5">
        <f>liquidity_data[[#This Row],[TOTAL_M]]-liquidity_data[[#This Row],[TOTAL_D]]</f>
        <v>11999.997247400459</v>
      </c>
      <c r="M220" s="6">
        <f>liquidity_data[[#This Row],[M-D]]/L219-1</f>
        <v>-1.5811678100163817E-7</v>
      </c>
    </row>
    <row r="221" spans="1:13" x14ac:dyDescent="0.25">
      <c r="A221" s="7" t="s">
        <v>146</v>
      </c>
      <c r="B221">
        <v>220</v>
      </c>
      <c r="C221" s="5">
        <v>9761.7299431559513</v>
      </c>
      <c r="D221" s="5">
        <v>349.60283685661852</v>
      </c>
      <c r="E221" s="5">
        <v>211.97193131991662</v>
      </c>
      <c r="F221" s="5">
        <v>0</v>
      </c>
      <c r="G221" s="5">
        <v>7882.1925659179688</v>
      </c>
      <c r="H221" s="5">
        <v>1.5161296887526987E-3</v>
      </c>
      <c r="I221">
        <v>-6205.5</v>
      </c>
      <c r="J221" s="5">
        <f>liquidity_data[[#This Row],[w_m]]+liquidity_data[[#This Row],[c_m]]+liquidity_data[[#This Row],[cf_m]]+liquidity_data[[#This Row],[kf_m]]+liquidity_data[[#This Row],[equity]]</f>
        <v>11999.997277250455</v>
      </c>
      <c r="K221" s="5">
        <f>liquidity_data[[#This Row],[kf_d]]+liquidity_data[[#This Row],[cf_d]]</f>
        <v>1.5161296887526987E-3</v>
      </c>
      <c r="L221" s="5">
        <f>liquidity_data[[#This Row],[TOTAL_M]]-liquidity_data[[#This Row],[TOTAL_D]]</f>
        <v>11999.995761120766</v>
      </c>
      <c r="M221" s="6">
        <f>liquidity_data[[#This Row],[M-D]]/L220-1</f>
        <v>-1.2385666947611895E-7</v>
      </c>
    </row>
    <row r="222" spans="1:13" x14ac:dyDescent="0.25">
      <c r="A222" s="7" t="s">
        <v>146</v>
      </c>
      <c r="B222">
        <v>221</v>
      </c>
      <c r="C222" s="5">
        <v>9768.0661680191697</v>
      </c>
      <c r="D222" s="5">
        <v>359.89429660141468</v>
      </c>
      <c r="E222" s="5">
        <v>197.02353994362056</v>
      </c>
      <c r="F222" s="5">
        <v>0</v>
      </c>
      <c r="G222" s="5">
        <v>7991.4404449462891</v>
      </c>
      <c r="H222" s="5">
        <v>1.4403231652977411E-3</v>
      </c>
      <c r="I222">
        <v>-6316.42</v>
      </c>
      <c r="J222" s="5">
        <f>liquidity_data[[#This Row],[w_m]]+liquidity_data[[#This Row],[c_m]]+liquidity_data[[#This Row],[cf_m]]+liquidity_data[[#This Row],[kf_m]]+liquidity_data[[#This Row],[equity]]</f>
        <v>12000.004449510494</v>
      </c>
      <c r="K222" s="5">
        <f>liquidity_data[[#This Row],[kf_d]]+liquidity_data[[#This Row],[cf_d]]</f>
        <v>1.4403231652977411E-3</v>
      </c>
      <c r="L222" s="5">
        <f>liquidity_data[[#This Row],[TOTAL_M]]-liquidity_data[[#This Row],[TOTAL_D]]</f>
        <v>12000.003009187329</v>
      </c>
      <c r="M222" s="6">
        <f>liquidity_data[[#This Row],[M-D]]/L221-1</f>
        <v>6.0400576029628894E-7</v>
      </c>
    </row>
    <row r="223" spans="1:13" x14ac:dyDescent="0.25">
      <c r="A223" s="7" t="s">
        <v>146</v>
      </c>
      <c r="B223">
        <v>222</v>
      </c>
      <c r="C223" s="5">
        <v>9785.8493176712709</v>
      </c>
      <c r="D223" s="5">
        <v>362.94918203167617</v>
      </c>
      <c r="E223" s="5">
        <v>182.87946782633662</v>
      </c>
      <c r="F223" s="5">
        <v>0</v>
      </c>
      <c r="G223" s="5">
        <v>8104.5650634765625</v>
      </c>
      <c r="H223" s="5">
        <v>1.368307036045735E-3</v>
      </c>
      <c r="I223">
        <v>-6436.24</v>
      </c>
      <c r="J223" s="5">
        <f>liquidity_data[[#This Row],[w_m]]+liquidity_data[[#This Row],[c_m]]+liquidity_data[[#This Row],[cf_m]]+liquidity_data[[#This Row],[kf_m]]+liquidity_data[[#This Row],[equity]]</f>
        <v>12000.003031005848</v>
      </c>
      <c r="K223" s="5">
        <f>liquidity_data[[#This Row],[kf_d]]+liquidity_data[[#This Row],[cf_d]]</f>
        <v>1.368307036045735E-3</v>
      </c>
      <c r="L223" s="5">
        <f>liquidity_data[[#This Row],[TOTAL_M]]-liquidity_data[[#This Row],[TOTAL_D]]</f>
        <v>12000.001662698813</v>
      </c>
      <c r="M223" s="6">
        <f>liquidity_data[[#This Row],[M-D]]/L222-1</f>
        <v>-1.1220734819072931E-7</v>
      </c>
    </row>
    <row r="224" spans="1:13" x14ac:dyDescent="0.25">
      <c r="A224" s="7" t="s">
        <v>146</v>
      </c>
      <c r="B224">
        <v>223</v>
      </c>
      <c r="C224" s="5">
        <v>9798.9019612700213</v>
      </c>
      <c r="D224" s="5">
        <v>358.74525748379529</v>
      </c>
      <c r="E224" s="5">
        <v>225.1422890778631</v>
      </c>
      <c r="F224" s="5">
        <v>0</v>
      </c>
      <c r="G224" s="5">
        <v>8183.7760009765625</v>
      </c>
      <c r="H224" s="5">
        <v>1.2998916681681294E-3</v>
      </c>
      <c r="I224">
        <v>-6566.56</v>
      </c>
      <c r="J224" s="5">
        <f>liquidity_data[[#This Row],[w_m]]+liquidity_data[[#This Row],[c_m]]+liquidity_data[[#This Row],[cf_m]]+liquidity_data[[#This Row],[kf_m]]+liquidity_data[[#This Row],[equity]]</f>
        <v>12000.005508808241</v>
      </c>
      <c r="K224" s="5">
        <f>liquidity_data[[#This Row],[kf_d]]+liquidity_data[[#This Row],[cf_d]]</f>
        <v>1.2998916681681294E-3</v>
      </c>
      <c r="L224" s="5">
        <f>liquidity_data[[#This Row],[TOTAL_M]]-liquidity_data[[#This Row],[TOTAL_D]]</f>
        <v>12000.004208916573</v>
      </c>
      <c r="M224" s="6">
        <f>liquidity_data[[#This Row],[M-D]]/L223-1</f>
        <v>2.1218478396534124E-7</v>
      </c>
    </row>
    <row r="225" spans="1:13" x14ac:dyDescent="0.25">
      <c r="A225" s="7" t="s">
        <v>146</v>
      </c>
      <c r="B225">
        <v>224</v>
      </c>
      <c r="C225" s="5">
        <v>9801.2671574621927</v>
      </c>
      <c r="D225" s="5">
        <v>366.40919174067676</v>
      </c>
      <c r="E225" s="5">
        <v>183.69389464985579</v>
      </c>
      <c r="F225" s="5">
        <v>0</v>
      </c>
      <c r="G225" s="5">
        <v>8311.2255859375</v>
      </c>
      <c r="H225" s="5">
        <v>1.2348970940365689E-3</v>
      </c>
      <c r="I225">
        <v>-6662.59</v>
      </c>
      <c r="J225" s="5">
        <f>liquidity_data[[#This Row],[w_m]]+liquidity_data[[#This Row],[c_m]]+liquidity_data[[#This Row],[cf_m]]+liquidity_data[[#This Row],[kf_m]]+liquidity_data[[#This Row],[equity]]</f>
        <v>12000.005829790225</v>
      </c>
      <c r="K225" s="5">
        <f>liquidity_data[[#This Row],[kf_d]]+liquidity_data[[#This Row],[cf_d]]</f>
        <v>1.2348970940365689E-3</v>
      </c>
      <c r="L225" s="5">
        <f>liquidity_data[[#This Row],[TOTAL_M]]-liquidity_data[[#This Row],[TOTAL_D]]</f>
        <v>12000.004594893131</v>
      </c>
      <c r="M225" s="6">
        <f>liquidity_data[[#This Row],[M-D]]/L224-1</f>
        <v>3.2164702012948965E-8</v>
      </c>
    </row>
    <row r="226" spans="1:13" x14ac:dyDescent="0.25">
      <c r="A226" s="7" t="s">
        <v>146</v>
      </c>
      <c r="B226">
        <v>225</v>
      </c>
      <c r="C226" s="5">
        <v>9799.212117604271</v>
      </c>
      <c r="D226" s="5">
        <v>374.35198248364031</v>
      </c>
      <c r="E226" s="5">
        <v>197.10687579261139</v>
      </c>
      <c r="F226" s="5">
        <v>0</v>
      </c>
      <c r="G226" s="5">
        <v>8419.7895050048828</v>
      </c>
      <c r="H226" s="5">
        <v>1.1731522340596712E-3</v>
      </c>
      <c r="I226">
        <v>-6790.46</v>
      </c>
      <c r="J226" s="5">
        <f>liquidity_data[[#This Row],[w_m]]+liquidity_data[[#This Row],[c_m]]+liquidity_data[[#This Row],[cf_m]]+liquidity_data[[#This Row],[kf_m]]+liquidity_data[[#This Row],[equity]]</f>
        <v>12000.000480885406</v>
      </c>
      <c r="K226" s="5">
        <f>liquidity_data[[#This Row],[kf_d]]+liquidity_data[[#This Row],[cf_d]]</f>
        <v>1.1731522340596712E-3</v>
      </c>
      <c r="L226" s="5">
        <f>liquidity_data[[#This Row],[TOTAL_M]]-liquidity_data[[#This Row],[TOTAL_D]]</f>
        <v>11999.999307733173</v>
      </c>
      <c r="M226" s="6">
        <f>liquidity_data[[#This Row],[M-D]]/L225-1</f>
        <v>-4.40596494510892E-7</v>
      </c>
    </row>
    <row r="227" spans="1:13" x14ac:dyDescent="0.25">
      <c r="A227" s="7" t="s">
        <v>146</v>
      </c>
      <c r="B227">
        <v>226</v>
      </c>
      <c r="C227" s="5">
        <v>9801.0414663820411</v>
      </c>
      <c r="D227" s="5">
        <v>379.47421236196533</v>
      </c>
      <c r="E227" s="5">
        <v>189.19185784831643</v>
      </c>
      <c r="F227" s="5">
        <v>0</v>
      </c>
      <c r="G227" s="5">
        <v>8525.9402465820313</v>
      </c>
      <c r="H227" s="5">
        <v>1.1144946251988586E-3</v>
      </c>
      <c r="I227">
        <v>-6895.65</v>
      </c>
      <c r="J227" s="5">
        <f>liquidity_data[[#This Row],[w_m]]+liquidity_data[[#This Row],[c_m]]+liquidity_data[[#This Row],[cf_m]]+liquidity_data[[#This Row],[kf_m]]+liquidity_data[[#This Row],[equity]]</f>
        <v>11999.997783174354</v>
      </c>
      <c r="K227" s="5">
        <f>liquidity_data[[#This Row],[kf_d]]+liquidity_data[[#This Row],[cf_d]]</f>
        <v>1.1144946251988586E-3</v>
      </c>
      <c r="L227" s="5">
        <f>liquidity_data[[#This Row],[TOTAL_M]]-liquidity_data[[#This Row],[TOTAL_D]]</f>
        <v>11999.996668679729</v>
      </c>
      <c r="M227" s="6">
        <f>liquidity_data[[#This Row],[M-D]]/L226-1</f>
        <v>-2.1992113297120142E-7</v>
      </c>
    </row>
    <row r="228" spans="1:13" x14ac:dyDescent="0.25">
      <c r="A228" s="7" t="s">
        <v>146</v>
      </c>
      <c r="B228">
        <v>227</v>
      </c>
      <c r="C228" s="5">
        <v>9811.7839711327106</v>
      </c>
      <c r="D228" s="5">
        <v>377.71469810279086</v>
      </c>
      <c r="E228" s="5">
        <v>228.29743235884234</v>
      </c>
      <c r="F228" s="5">
        <v>0</v>
      </c>
      <c r="G228" s="5">
        <v>8600.2048873901367</v>
      </c>
      <c r="H228" s="5">
        <v>1.0587698798190104E-3</v>
      </c>
      <c r="I228">
        <v>-7018</v>
      </c>
      <c r="J228" s="5">
        <f>liquidity_data[[#This Row],[w_m]]+liquidity_data[[#This Row],[c_m]]+liquidity_data[[#This Row],[cf_m]]+liquidity_data[[#This Row],[kf_m]]+liquidity_data[[#This Row],[equity]]</f>
        <v>12000.000988984481</v>
      </c>
      <c r="K228" s="5">
        <f>liquidity_data[[#This Row],[kf_d]]+liquidity_data[[#This Row],[cf_d]]</f>
        <v>1.0587698798190104E-3</v>
      </c>
      <c r="L228" s="5">
        <f>liquidity_data[[#This Row],[TOTAL_M]]-liquidity_data[[#This Row],[TOTAL_D]]</f>
        <v>11999.999930214601</v>
      </c>
      <c r="M228" s="6">
        <f>liquidity_data[[#This Row],[M-D]]/L227-1</f>
        <v>2.7179464812121523E-7</v>
      </c>
    </row>
    <row r="229" spans="1:13" x14ac:dyDescent="0.25">
      <c r="A229" s="7" t="s">
        <v>146</v>
      </c>
      <c r="B229">
        <v>228</v>
      </c>
      <c r="C229" s="5">
        <v>9825.5586300502182</v>
      </c>
      <c r="D229" s="5">
        <v>377.92686915630475</v>
      </c>
      <c r="E229" s="5">
        <v>202.03493467438966</v>
      </c>
      <c r="F229" s="5">
        <v>0</v>
      </c>
      <c r="G229" s="5">
        <v>8698.9037780761719</v>
      </c>
      <c r="H229" s="5">
        <v>1.0058314196612628E-3</v>
      </c>
      <c r="I229">
        <v>-7104.42</v>
      </c>
      <c r="J229" s="5">
        <f>liquidity_data[[#This Row],[w_m]]+liquidity_data[[#This Row],[c_m]]+liquidity_data[[#This Row],[cf_m]]+liquidity_data[[#This Row],[kf_m]]+liquidity_data[[#This Row],[equity]]</f>
        <v>12000.004211957084</v>
      </c>
      <c r="K229" s="5">
        <f>liquidity_data[[#This Row],[kf_d]]+liquidity_data[[#This Row],[cf_d]]</f>
        <v>1.0058314196612628E-3</v>
      </c>
      <c r="L229" s="5">
        <f>liquidity_data[[#This Row],[TOTAL_M]]-liquidity_data[[#This Row],[TOTAL_D]]</f>
        <v>12000.003206125664</v>
      </c>
      <c r="M229" s="6">
        <f>liquidity_data[[#This Row],[M-D]]/L228-1</f>
        <v>2.7299259031110523E-7</v>
      </c>
    </row>
    <row r="230" spans="1:13" x14ac:dyDescent="0.25">
      <c r="A230" s="7" t="s">
        <v>146</v>
      </c>
      <c r="B230">
        <v>229</v>
      </c>
      <c r="C230" s="5">
        <v>9828.5662969937548</v>
      </c>
      <c r="D230" s="5">
        <v>382.74463557265699</v>
      </c>
      <c r="E230" s="5">
        <v>191.32681798003614</v>
      </c>
      <c r="F230" s="5">
        <v>0</v>
      </c>
      <c r="G230" s="5">
        <v>8806.6838150024414</v>
      </c>
      <c r="H230" s="5">
        <v>9.5553983783247531E-4</v>
      </c>
      <c r="I230">
        <v>-7209.32</v>
      </c>
      <c r="J230" s="5">
        <f>liquidity_data[[#This Row],[w_m]]+liquidity_data[[#This Row],[c_m]]+liquidity_data[[#This Row],[cf_m]]+liquidity_data[[#This Row],[kf_m]]+liquidity_data[[#This Row],[equity]]</f>
        <v>12000.00156554889</v>
      </c>
      <c r="K230" s="5">
        <f>liquidity_data[[#This Row],[kf_d]]+liquidity_data[[#This Row],[cf_d]]</f>
        <v>9.5553983783247531E-4</v>
      </c>
      <c r="L230" s="5">
        <f>liquidity_data[[#This Row],[TOTAL_M]]-liquidity_data[[#This Row],[TOTAL_D]]</f>
        <v>12000.000610009052</v>
      </c>
      <c r="M230" s="6">
        <f>liquidity_data[[#This Row],[M-D]]/L229-1</f>
        <v>-2.1634299318673555E-7</v>
      </c>
    </row>
    <row r="231" spans="1:13" x14ac:dyDescent="0.25">
      <c r="A231" s="7" t="s">
        <v>146</v>
      </c>
      <c r="B231">
        <v>230</v>
      </c>
      <c r="C231" s="5">
        <v>9831.4516842742451</v>
      </c>
      <c r="D231" s="5">
        <v>380.37957914173603</v>
      </c>
      <c r="E231" s="5">
        <v>215.44607331044972</v>
      </c>
      <c r="F231" s="5">
        <v>0</v>
      </c>
      <c r="G231" s="5">
        <v>8894.7113037109375</v>
      </c>
      <c r="H231" s="5">
        <v>9.07762853330496E-4</v>
      </c>
      <c r="I231">
        <v>-7321.99</v>
      </c>
      <c r="J231" s="5">
        <f>liquidity_data[[#This Row],[w_m]]+liquidity_data[[#This Row],[c_m]]+liquidity_data[[#This Row],[cf_m]]+liquidity_data[[#This Row],[kf_m]]+liquidity_data[[#This Row],[equity]]</f>
        <v>11999.998640437369</v>
      </c>
      <c r="K231" s="5">
        <f>liquidity_data[[#This Row],[kf_d]]+liquidity_data[[#This Row],[cf_d]]</f>
        <v>9.07762853330496E-4</v>
      </c>
      <c r="L231" s="5">
        <f>liquidity_data[[#This Row],[TOTAL_M]]-liquidity_data[[#This Row],[TOTAL_D]]</f>
        <v>11999.997732674516</v>
      </c>
      <c r="M231" s="6">
        <f>liquidity_data[[#This Row],[M-D]]/L230-1</f>
        <v>-2.3977786589579608E-7</v>
      </c>
    </row>
    <row r="232" spans="1:13" x14ac:dyDescent="0.25">
      <c r="A232" s="7" t="s">
        <v>146</v>
      </c>
      <c r="B232">
        <v>231</v>
      </c>
      <c r="C232" s="5">
        <v>9843.6792509796214</v>
      </c>
      <c r="D232" s="5">
        <v>385.12645282782614</v>
      </c>
      <c r="E232" s="5">
        <v>148.9919609669596</v>
      </c>
      <c r="F232" s="5">
        <v>0</v>
      </c>
      <c r="G232" s="5">
        <v>9035.2411346435547</v>
      </c>
      <c r="H232" s="5">
        <v>8.6237469804473221E-4</v>
      </c>
      <c r="I232">
        <v>-7413.04</v>
      </c>
      <c r="J232" s="5">
        <f>liquidity_data[[#This Row],[w_m]]+liquidity_data[[#This Row],[c_m]]+liquidity_data[[#This Row],[cf_m]]+liquidity_data[[#This Row],[kf_m]]+liquidity_data[[#This Row],[equity]]</f>
        <v>11999.998799417961</v>
      </c>
      <c r="K232" s="5">
        <f>liquidity_data[[#This Row],[kf_d]]+liquidity_data[[#This Row],[cf_d]]</f>
        <v>8.6237469804473221E-4</v>
      </c>
      <c r="L232" s="5">
        <f>liquidity_data[[#This Row],[TOTAL_M]]-liquidity_data[[#This Row],[TOTAL_D]]</f>
        <v>11999.997937043263</v>
      </c>
      <c r="M232" s="6">
        <f>liquidity_data[[#This Row],[M-D]]/L231-1</f>
        <v>1.7030732157863326E-8</v>
      </c>
    </row>
    <row r="233" spans="1:13" x14ac:dyDescent="0.25">
      <c r="A233" s="7" t="s">
        <v>146</v>
      </c>
      <c r="B233">
        <v>232</v>
      </c>
      <c r="C233" s="5">
        <v>9854.3536567252595</v>
      </c>
      <c r="D233" s="5">
        <v>377.45916939899325</v>
      </c>
      <c r="E233" s="5">
        <v>200.95521021727473</v>
      </c>
      <c r="F233" s="5">
        <v>0</v>
      </c>
      <c r="G233" s="5">
        <v>9126.8363571166992</v>
      </c>
      <c r="H233" s="5">
        <v>8.1925595486609382E-4</v>
      </c>
      <c r="I233">
        <v>-7559.6</v>
      </c>
      <c r="J233" s="5">
        <f>liquidity_data[[#This Row],[w_m]]+liquidity_data[[#This Row],[c_m]]+liquidity_data[[#This Row],[cf_m]]+liquidity_data[[#This Row],[kf_m]]+liquidity_data[[#This Row],[equity]]</f>
        <v>12000.004393458226</v>
      </c>
      <c r="K233" s="5">
        <f>liquidity_data[[#This Row],[kf_d]]+liquidity_data[[#This Row],[cf_d]]</f>
        <v>8.1925595486609382E-4</v>
      </c>
      <c r="L233" s="5">
        <f>liquidity_data[[#This Row],[TOTAL_M]]-liquidity_data[[#This Row],[TOTAL_D]]</f>
        <v>12000.003574202272</v>
      </c>
      <c r="M233" s="6">
        <f>liquidity_data[[#This Row],[M-D]]/L232-1</f>
        <v>4.6976333156756311E-7</v>
      </c>
    </row>
    <row r="234" spans="1:13" x14ac:dyDescent="0.25">
      <c r="A234" s="7" t="s">
        <v>146</v>
      </c>
      <c r="B234">
        <v>233</v>
      </c>
      <c r="C234" s="5">
        <v>9856.8847638231236</v>
      </c>
      <c r="D234" s="5">
        <v>384.35785474069417</v>
      </c>
      <c r="E234" s="5">
        <v>151.17215872183442</v>
      </c>
      <c r="F234" s="5">
        <v>0</v>
      </c>
      <c r="G234" s="5">
        <v>9244.9322891235352</v>
      </c>
      <c r="H234" s="5">
        <v>7.7829316751376609E-4</v>
      </c>
      <c r="I234">
        <v>-7637.35</v>
      </c>
      <c r="J234" s="5">
        <f>liquidity_data[[#This Row],[w_m]]+liquidity_data[[#This Row],[c_m]]+liquidity_data[[#This Row],[cf_m]]+liquidity_data[[#This Row],[kf_m]]+liquidity_data[[#This Row],[equity]]</f>
        <v>11999.997066409187</v>
      </c>
      <c r="K234" s="5">
        <f>liquidity_data[[#This Row],[kf_d]]+liquidity_data[[#This Row],[cf_d]]</f>
        <v>7.7829316751376609E-4</v>
      </c>
      <c r="L234" s="5">
        <f>liquidity_data[[#This Row],[TOTAL_M]]-liquidity_data[[#This Row],[TOTAL_D]]</f>
        <v>11999.996288116019</v>
      </c>
      <c r="M234" s="6">
        <f>liquidity_data[[#This Row],[M-D]]/L233-1</f>
        <v>-6.0717367356133423E-7</v>
      </c>
    </row>
    <row r="235" spans="1:13" x14ac:dyDescent="0.25">
      <c r="A235" s="7" t="s">
        <v>146</v>
      </c>
      <c r="B235">
        <v>234</v>
      </c>
      <c r="C235" s="5">
        <v>9875.5980254882015</v>
      </c>
      <c r="D235" s="5">
        <v>382.75750557146966</v>
      </c>
      <c r="E235" s="5">
        <v>144.52833420224488</v>
      </c>
      <c r="F235" s="5">
        <v>0</v>
      </c>
      <c r="G235" s="5">
        <v>9352.9453201293945</v>
      </c>
      <c r="H235" s="5">
        <v>7.3937852516792191E-4</v>
      </c>
      <c r="I235">
        <v>-7755.83</v>
      </c>
      <c r="J235" s="5">
        <f>liquidity_data[[#This Row],[w_m]]+liquidity_data[[#This Row],[c_m]]+liquidity_data[[#This Row],[cf_m]]+liquidity_data[[#This Row],[kf_m]]+liquidity_data[[#This Row],[equity]]</f>
        <v>11999.999185391311</v>
      </c>
      <c r="K235" s="5">
        <f>liquidity_data[[#This Row],[kf_d]]+liquidity_data[[#This Row],[cf_d]]</f>
        <v>7.3937852516792191E-4</v>
      </c>
      <c r="L235" s="5">
        <f>liquidity_data[[#This Row],[TOTAL_M]]-liquidity_data[[#This Row],[TOTAL_D]]</f>
        <v>11999.998446012785</v>
      </c>
      <c r="M235" s="6">
        <f>liquidity_data[[#This Row],[M-D]]/L234-1</f>
        <v>1.7982478617284414E-7</v>
      </c>
    </row>
    <row r="236" spans="1:13" x14ac:dyDescent="0.25">
      <c r="A236" s="7" t="s">
        <v>146</v>
      </c>
      <c r="B236">
        <v>235</v>
      </c>
      <c r="C236" s="5">
        <v>9895.4484073435888</v>
      </c>
      <c r="D236" s="5">
        <v>388.10357975773513</v>
      </c>
      <c r="E236" s="5">
        <v>99.564323920756578</v>
      </c>
      <c r="F236" s="5">
        <v>0</v>
      </c>
      <c r="G236" s="5">
        <v>9484.5241012573242</v>
      </c>
      <c r="H236" s="5">
        <v>7.0240957415990124E-4</v>
      </c>
      <c r="I236">
        <v>-7867.64</v>
      </c>
      <c r="J236" s="5">
        <f>liquidity_data[[#This Row],[w_m]]+liquidity_data[[#This Row],[c_m]]+liquidity_data[[#This Row],[cf_m]]+liquidity_data[[#This Row],[kf_m]]+liquidity_data[[#This Row],[equity]]</f>
        <v>12000.000412279405</v>
      </c>
      <c r="K236" s="5">
        <f>liquidity_data[[#This Row],[kf_d]]+liquidity_data[[#This Row],[cf_d]]</f>
        <v>7.0240957415990124E-4</v>
      </c>
      <c r="L236" s="5">
        <f>liquidity_data[[#This Row],[TOTAL_M]]-liquidity_data[[#This Row],[TOTAL_D]]</f>
        <v>11999.999709869831</v>
      </c>
      <c r="M236" s="6">
        <f>liquidity_data[[#This Row],[M-D]]/L235-1</f>
        <v>1.0532143424057949E-7</v>
      </c>
    </row>
    <row r="237" spans="1:13" x14ac:dyDescent="0.25">
      <c r="A237" s="7" t="s">
        <v>146</v>
      </c>
      <c r="B237">
        <v>236</v>
      </c>
      <c r="C237" s="5">
        <v>9909.1022815947654</v>
      </c>
      <c r="D237" s="5">
        <v>395.34423960931599</v>
      </c>
      <c r="E237" s="5">
        <v>136.11861955188215</v>
      </c>
      <c r="F237" s="5">
        <v>0</v>
      </c>
      <c r="G237" s="5">
        <v>9579.9938430786133</v>
      </c>
      <c r="H237" s="5">
        <v>6.6728911474456254E-4</v>
      </c>
      <c r="I237">
        <v>-8020.56</v>
      </c>
      <c r="J237" s="5">
        <f>liquidity_data[[#This Row],[w_m]]+liquidity_data[[#This Row],[c_m]]+liquidity_data[[#This Row],[cf_m]]+liquidity_data[[#This Row],[kf_m]]+liquidity_data[[#This Row],[equity]]</f>
        <v>11999.998983834575</v>
      </c>
      <c r="K237" s="5">
        <f>liquidity_data[[#This Row],[kf_d]]+liquidity_data[[#This Row],[cf_d]]</f>
        <v>6.6728911474456254E-4</v>
      </c>
      <c r="L237" s="5">
        <f>liquidity_data[[#This Row],[TOTAL_M]]-liquidity_data[[#This Row],[TOTAL_D]]</f>
        <v>11999.998316545461</v>
      </c>
      <c r="M237" s="6">
        <f>liquidity_data[[#This Row],[M-D]]/L236-1</f>
        <v>-1.161103669877761E-7</v>
      </c>
    </row>
    <row r="238" spans="1:13" x14ac:dyDescent="0.25">
      <c r="A238" s="7" t="s">
        <v>146</v>
      </c>
      <c r="B238">
        <v>237</v>
      </c>
      <c r="C238" s="5">
        <v>9920.9022141236346</v>
      </c>
      <c r="D238" s="5">
        <v>406.0816125459969</v>
      </c>
      <c r="E238" s="5">
        <v>96.46279417630285</v>
      </c>
      <c r="F238" s="5">
        <v>0</v>
      </c>
      <c r="G238" s="5">
        <v>9728.5513687133789</v>
      </c>
      <c r="H238" s="5">
        <v>6.3392464653588831E-4</v>
      </c>
      <c r="I238">
        <v>-8152</v>
      </c>
      <c r="J238" s="5">
        <f>liquidity_data[[#This Row],[w_m]]+liquidity_data[[#This Row],[c_m]]+liquidity_data[[#This Row],[cf_m]]+liquidity_data[[#This Row],[kf_m]]+liquidity_data[[#This Row],[equity]]</f>
        <v>11999.997989559313</v>
      </c>
      <c r="K238" s="5">
        <f>liquidity_data[[#This Row],[kf_d]]+liquidity_data[[#This Row],[cf_d]]</f>
        <v>6.3392464653588831E-4</v>
      </c>
      <c r="L238" s="5">
        <f>liquidity_data[[#This Row],[TOTAL_M]]-liquidity_data[[#This Row],[TOTAL_D]]</f>
        <v>11999.997355634667</v>
      </c>
      <c r="M238" s="6">
        <f>liquidity_data[[#This Row],[M-D]]/L237-1</f>
        <v>-8.0075910791066462E-8</v>
      </c>
    </row>
    <row r="239" spans="1:13" x14ac:dyDescent="0.25">
      <c r="A239" s="7" t="s">
        <v>146</v>
      </c>
      <c r="B239">
        <v>238</v>
      </c>
      <c r="C239" s="5">
        <v>9931.2260419727536</v>
      </c>
      <c r="D239" s="5">
        <v>408.38846364617348</v>
      </c>
      <c r="E239" s="5">
        <v>135.14504000917077</v>
      </c>
      <c r="F239" s="5">
        <v>0</v>
      </c>
      <c r="G239" s="5">
        <v>9832.7026672363281</v>
      </c>
      <c r="H239" s="5">
        <v>6.0222842057555681E-4</v>
      </c>
      <c r="I239">
        <v>-8307.4599999999991</v>
      </c>
      <c r="J239" s="5">
        <f>liquidity_data[[#This Row],[w_m]]+liquidity_data[[#This Row],[c_m]]+liquidity_data[[#This Row],[cf_m]]+liquidity_data[[#This Row],[kf_m]]+liquidity_data[[#This Row],[equity]]</f>
        <v>12000.002212864427</v>
      </c>
      <c r="K239" s="5">
        <f>liquidity_data[[#This Row],[kf_d]]+liquidity_data[[#This Row],[cf_d]]</f>
        <v>6.0222842057555681E-4</v>
      </c>
      <c r="L239" s="5">
        <f>liquidity_data[[#This Row],[TOTAL_M]]-liquidity_data[[#This Row],[TOTAL_D]]</f>
        <v>12000.001610636005</v>
      </c>
      <c r="M239" s="6">
        <f>liquidity_data[[#This Row],[M-D]]/L238-1</f>
        <v>3.5458352298789464E-7</v>
      </c>
    </row>
    <row r="240" spans="1:13" x14ac:dyDescent="0.25">
      <c r="A240" s="7" t="s">
        <v>146</v>
      </c>
      <c r="B240">
        <v>239</v>
      </c>
      <c r="C240" s="5">
        <v>9944.7025968530215</v>
      </c>
      <c r="D240" s="5">
        <v>421.78021502494812</v>
      </c>
      <c r="E240" s="5">
        <v>70.501125866081566</v>
      </c>
      <c r="F240" s="5">
        <v>0</v>
      </c>
      <c r="G240" s="5">
        <v>9990.2125473022461</v>
      </c>
      <c r="H240" s="5">
        <v>5.7211700095649576E-4</v>
      </c>
      <c r="I240">
        <v>-8427.2000000000007</v>
      </c>
      <c r="J240" s="5">
        <f>liquidity_data[[#This Row],[w_m]]+liquidity_data[[#This Row],[c_m]]+liquidity_data[[#This Row],[cf_m]]+liquidity_data[[#This Row],[kf_m]]+liquidity_data[[#This Row],[equity]]</f>
        <v>11999.996485046297</v>
      </c>
      <c r="K240" s="5">
        <f>liquidity_data[[#This Row],[kf_d]]+liquidity_data[[#This Row],[cf_d]]</f>
        <v>5.7211700095649576E-4</v>
      </c>
      <c r="L240" s="5">
        <f>liquidity_data[[#This Row],[TOTAL_M]]-liquidity_data[[#This Row],[TOTAL_D]]</f>
        <v>11999.995912929295</v>
      </c>
      <c r="M240" s="6">
        <f>liquidity_data[[#This Row],[M-D]]/L239-1</f>
        <v>-4.7480882880979181E-7</v>
      </c>
    </row>
    <row r="241" spans="1:13" x14ac:dyDescent="0.25">
      <c r="A241" s="7" t="s">
        <v>146</v>
      </c>
      <c r="B241">
        <v>240</v>
      </c>
      <c r="C241" s="5">
        <v>9954.9010245092213</v>
      </c>
      <c r="D241" s="5">
        <v>419.66834126412868</v>
      </c>
      <c r="E241" s="5">
        <v>134.61505675408989</v>
      </c>
      <c r="F241" s="5">
        <v>0</v>
      </c>
      <c r="G241" s="5">
        <v>10082.089057922363</v>
      </c>
      <c r="H241" s="5">
        <v>5.4351114386008703E-4</v>
      </c>
      <c r="I241">
        <v>-8591.27</v>
      </c>
      <c r="J241" s="5">
        <f>liquidity_data[[#This Row],[w_m]]+liquidity_data[[#This Row],[c_m]]+liquidity_data[[#This Row],[cf_m]]+liquidity_data[[#This Row],[kf_m]]+liquidity_data[[#This Row],[equity]]</f>
        <v>12000.003480449803</v>
      </c>
      <c r="K241" s="5">
        <f>liquidity_data[[#This Row],[kf_d]]+liquidity_data[[#This Row],[cf_d]]</f>
        <v>5.4351114386008703E-4</v>
      </c>
      <c r="L241" s="5">
        <f>liquidity_data[[#This Row],[TOTAL_M]]-liquidity_data[[#This Row],[TOTAL_D]]</f>
        <v>12000.002936938659</v>
      </c>
      <c r="M241" s="6">
        <f>liquidity_data[[#This Row],[M-D]]/L240-1</f>
        <v>5.8533431301910355E-7</v>
      </c>
    </row>
    <row r="242" spans="1:13" x14ac:dyDescent="0.25">
      <c r="A242" s="7" t="s">
        <v>146</v>
      </c>
      <c r="B242">
        <v>241</v>
      </c>
      <c r="C242" s="5">
        <v>9967.3132216795348</v>
      </c>
      <c r="D242" s="5">
        <v>424.27228656411171</v>
      </c>
      <c r="E242" s="5">
        <v>89.685138514731079</v>
      </c>
      <c r="F242" s="5">
        <v>0</v>
      </c>
      <c r="G242" s="5">
        <v>10216.07593536377</v>
      </c>
      <c r="H242" s="5">
        <v>5.1633559496622183E-4</v>
      </c>
      <c r="I242">
        <v>-8697.35</v>
      </c>
      <c r="J242" s="5">
        <f>liquidity_data[[#This Row],[w_m]]+liquidity_data[[#This Row],[c_m]]+liquidity_data[[#This Row],[cf_m]]+liquidity_data[[#This Row],[kf_m]]+liquidity_data[[#This Row],[equity]]</f>
        <v>11999.996582122147</v>
      </c>
      <c r="K242" s="5">
        <f>liquidity_data[[#This Row],[kf_d]]+liquidity_data[[#This Row],[cf_d]]</f>
        <v>5.1633559496622183E-4</v>
      </c>
      <c r="L242" s="5">
        <f>liquidity_data[[#This Row],[TOTAL_M]]-liquidity_data[[#This Row],[TOTAL_D]]</f>
        <v>11999.996065786552</v>
      </c>
      <c r="M242" s="6">
        <f>liquidity_data[[#This Row],[M-D]]/L241-1</f>
        <v>-5.7259586883073865E-7</v>
      </c>
    </row>
    <row r="243" spans="1:13" x14ac:dyDescent="0.25">
      <c r="A243" s="7" t="s">
        <v>146</v>
      </c>
      <c r="B243">
        <v>242</v>
      </c>
      <c r="C243" s="5">
        <v>9981.0761117691873</v>
      </c>
      <c r="D243" s="5">
        <v>427.0472641736269</v>
      </c>
      <c r="E243" s="5">
        <v>106.12463863007724</v>
      </c>
      <c r="F243" s="5">
        <v>0</v>
      </c>
      <c r="G243" s="5">
        <v>10335.747550964355</v>
      </c>
      <c r="H243" s="5">
        <v>4.9051881683226384E-4</v>
      </c>
      <c r="I243">
        <v>-8850</v>
      </c>
      <c r="J243" s="5">
        <f>liquidity_data[[#This Row],[w_m]]+liquidity_data[[#This Row],[c_m]]+liquidity_data[[#This Row],[cf_m]]+liquidity_data[[#This Row],[kf_m]]+liquidity_data[[#This Row],[equity]]</f>
        <v>11999.995565537247</v>
      </c>
      <c r="K243" s="5">
        <f>liquidity_data[[#This Row],[kf_d]]+liquidity_data[[#This Row],[cf_d]]</f>
        <v>4.9051881683226384E-4</v>
      </c>
      <c r="L243" s="5">
        <f>liquidity_data[[#This Row],[TOTAL_M]]-liquidity_data[[#This Row],[TOTAL_D]]</f>
        <v>11999.995075018431</v>
      </c>
      <c r="M243" s="6">
        <f>liquidity_data[[#This Row],[M-D]]/L242-1</f>
        <v>-8.2564037162669024E-8</v>
      </c>
    </row>
    <row r="244" spans="1:13" x14ac:dyDescent="0.25">
      <c r="A244" s="7" t="s">
        <v>146</v>
      </c>
      <c r="B244">
        <v>243</v>
      </c>
      <c r="C244" s="5">
        <v>9999.8282399233431</v>
      </c>
      <c r="D244" s="5">
        <v>435.56387121975422</v>
      </c>
      <c r="E244" s="5">
        <v>89.999448271468282</v>
      </c>
      <c r="F244" s="5">
        <v>0</v>
      </c>
      <c r="G244" s="5">
        <v>10464.695030212402</v>
      </c>
      <c r="H244" s="5">
        <v>4.6599288111792703E-4</v>
      </c>
      <c r="I244">
        <v>-8990.09</v>
      </c>
      <c r="J244" s="5">
        <f>liquidity_data[[#This Row],[w_m]]+liquidity_data[[#This Row],[c_m]]+liquidity_data[[#This Row],[cf_m]]+liquidity_data[[#This Row],[kf_m]]+liquidity_data[[#This Row],[equity]]</f>
        <v>11999.996589626968</v>
      </c>
      <c r="K244" s="5">
        <f>liquidity_data[[#This Row],[kf_d]]+liquidity_data[[#This Row],[cf_d]]</f>
        <v>4.6599288111792703E-4</v>
      </c>
      <c r="L244" s="5">
        <f>liquidity_data[[#This Row],[TOTAL_M]]-liquidity_data[[#This Row],[TOTAL_D]]</f>
        <v>11999.996123634086</v>
      </c>
      <c r="M244" s="6">
        <f>liquidity_data[[#This Row],[M-D]]/L243-1</f>
        <v>8.7384673719270722E-8</v>
      </c>
    </row>
    <row r="245" spans="1:13" x14ac:dyDescent="0.25">
      <c r="A245" s="7" t="s">
        <v>146</v>
      </c>
      <c r="B245">
        <v>244</v>
      </c>
      <c r="C245" s="5">
        <v>10015.131542176707</v>
      </c>
      <c r="D245" s="5">
        <v>431.08075922727585</v>
      </c>
      <c r="E245" s="5">
        <v>131.0183102209121</v>
      </c>
      <c r="F245" s="5">
        <v>0</v>
      </c>
      <c r="G245" s="5">
        <v>10562.897239685059</v>
      </c>
      <c r="H245" s="5">
        <v>4.4269321620049595E-4</v>
      </c>
      <c r="I245">
        <v>-9140.1299999999992</v>
      </c>
      <c r="J245" s="5">
        <f>liquidity_data[[#This Row],[w_m]]+liquidity_data[[#This Row],[c_m]]+liquidity_data[[#This Row],[cf_m]]+liquidity_data[[#This Row],[kf_m]]+liquidity_data[[#This Row],[equity]]</f>
        <v>11999.997851309954</v>
      </c>
      <c r="K245" s="5">
        <f>liquidity_data[[#This Row],[kf_d]]+liquidity_data[[#This Row],[cf_d]]</f>
        <v>4.4269321620049595E-4</v>
      </c>
      <c r="L245" s="5">
        <f>liquidity_data[[#This Row],[TOTAL_M]]-liquidity_data[[#This Row],[TOTAL_D]]</f>
        <v>11999.997408616739</v>
      </c>
      <c r="M245" s="6">
        <f>liquidity_data[[#This Row],[M-D]]/L244-1</f>
        <v>1.0708192221819957E-7</v>
      </c>
    </row>
    <row r="246" spans="1:13" x14ac:dyDescent="0.25">
      <c r="A246" s="7" t="s">
        <v>146</v>
      </c>
      <c r="B246">
        <v>245</v>
      </c>
      <c r="C246" s="5">
        <v>10023.51281330944</v>
      </c>
      <c r="D246" s="5">
        <v>449.2527277842164</v>
      </c>
      <c r="E246" s="5">
        <v>57.744739468675107</v>
      </c>
      <c r="F246" s="5">
        <v>0</v>
      </c>
      <c r="G246" s="5">
        <v>10729.110214233398</v>
      </c>
      <c r="H246" s="5">
        <v>4.205585612453433E-4</v>
      </c>
      <c r="I246">
        <v>-9259.6200000000008</v>
      </c>
      <c r="J246" s="5">
        <f>liquidity_data[[#This Row],[w_m]]+liquidity_data[[#This Row],[c_m]]+liquidity_data[[#This Row],[cf_m]]+liquidity_data[[#This Row],[kf_m]]+liquidity_data[[#This Row],[equity]]</f>
        <v>12000.00049479573</v>
      </c>
      <c r="K246" s="5">
        <f>liquidity_data[[#This Row],[kf_d]]+liquidity_data[[#This Row],[cf_d]]</f>
        <v>4.205585612453433E-4</v>
      </c>
      <c r="L246" s="5">
        <f>liquidity_data[[#This Row],[TOTAL_M]]-liquidity_data[[#This Row],[TOTAL_D]]</f>
        <v>12000.000074237169</v>
      </c>
      <c r="M246" s="6">
        <f>liquidity_data[[#This Row],[M-D]]/L245-1</f>
        <v>2.2213508388269076E-7</v>
      </c>
    </row>
    <row r="247" spans="1:13" x14ac:dyDescent="0.25">
      <c r="A247" s="7" t="s">
        <v>146</v>
      </c>
      <c r="B247">
        <v>246</v>
      </c>
      <c r="C247" s="5">
        <v>10031.713990469696</v>
      </c>
      <c r="D247" s="5">
        <v>456.00481732934713</v>
      </c>
      <c r="E247" s="5">
        <v>63.57943800650537</v>
      </c>
      <c r="F247" s="5">
        <v>0</v>
      </c>
      <c r="G247" s="5">
        <v>10873.97688293457</v>
      </c>
      <c r="H247" s="5">
        <v>3.9953063605935313E-4</v>
      </c>
      <c r="I247">
        <v>-9425.27</v>
      </c>
      <c r="J247" s="5">
        <f>liquidity_data[[#This Row],[w_m]]+liquidity_data[[#This Row],[c_m]]+liquidity_data[[#This Row],[cf_m]]+liquidity_data[[#This Row],[kf_m]]+liquidity_data[[#This Row],[equity]]</f>
        <v>12000.005128740118</v>
      </c>
      <c r="K247" s="5">
        <f>liquidity_data[[#This Row],[kf_d]]+liquidity_data[[#This Row],[cf_d]]</f>
        <v>3.9953063605935313E-4</v>
      </c>
      <c r="L247" s="5">
        <f>liquidity_data[[#This Row],[TOTAL_M]]-liquidity_data[[#This Row],[TOTAL_D]]</f>
        <v>12000.004729209482</v>
      </c>
      <c r="M247" s="6">
        <f>liquidity_data[[#This Row],[M-D]]/L246-1</f>
        <v>3.8791435708063204E-7</v>
      </c>
    </row>
    <row r="248" spans="1:13" x14ac:dyDescent="0.25">
      <c r="A248" s="7" t="s">
        <v>146</v>
      </c>
      <c r="B248">
        <v>247</v>
      </c>
      <c r="C248" s="5">
        <v>10028.912323036231</v>
      </c>
      <c r="D248" s="5">
        <v>458.90503283170983</v>
      </c>
      <c r="E248" s="5">
        <v>123.74695074744523</v>
      </c>
      <c r="F248" s="5">
        <v>0</v>
      </c>
      <c r="G248" s="5">
        <v>10967.390045166016</v>
      </c>
      <c r="H248" s="5">
        <v>3.7955410175527504E-4</v>
      </c>
      <c r="I248">
        <v>-9578.9500000000007</v>
      </c>
      <c r="J248" s="5">
        <f>liquidity_data[[#This Row],[w_m]]+liquidity_data[[#This Row],[c_m]]+liquidity_data[[#This Row],[cf_m]]+liquidity_data[[#This Row],[kf_m]]+liquidity_data[[#This Row],[equity]]</f>
        <v>12000.004351781401</v>
      </c>
      <c r="K248" s="5">
        <f>liquidity_data[[#This Row],[kf_d]]+liquidity_data[[#This Row],[cf_d]]</f>
        <v>3.7955410175527504E-4</v>
      </c>
      <c r="L248" s="5">
        <f>liquidity_data[[#This Row],[TOTAL_M]]-liquidity_data[[#This Row],[TOTAL_D]]</f>
        <v>12000.0039722273</v>
      </c>
      <c r="M248" s="6">
        <f>liquidity_data[[#This Row],[M-D]]/L247-1</f>
        <v>-6.3081823653554636E-8</v>
      </c>
    </row>
    <row r="249" spans="1:13" x14ac:dyDescent="0.25">
      <c r="A249" s="7" t="s">
        <v>146</v>
      </c>
      <c r="B249">
        <v>248</v>
      </c>
      <c r="C249" s="5">
        <v>10037.599604872172</v>
      </c>
      <c r="D249" s="5">
        <v>452.77435520553263</v>
      </c>
      <c r="E249" s="5">
        <v>116.45531690306962</v>
      </c>
      <c r="F249" s="5">
        <v>0</v>
      </c>
      <c r="G249" s="5">
        <v>11069.728759765625</v>
      </c>
      <c r="H249" s="5">
        <v>3.6057639579212264E-4</v>
      </c>
      <c r="I249">
        <v>-9676.56</v>
      </c>
      <c r="J249" s="5">
        <f>liquidity_data[[#This Row],[w_m]]+liquidity_data[[#This Row],[c_m]]+liquidity_data[[#This Row],[cf_m]]+liquidity_data[[#This Row],[kf_m]]+liquidity_data[[#This Row],[equity]]</f>
        <v>11999.9980367464</v>
      </c>
      <c r="K249" s="5">
        <f>liquidity_data[[#This Row],[kf_d]]+liquidity_data[[#This Row],[cf_d]]</f>
        <v>3.6057639579212264E-4</v>
      </c>
      <c r="L249" s="5">
        <f>liquidity_data[[#This Row],[TOTAL_M]]-liquidity_data[[#This Row],[TOTAL_D]]</f>
        <v>11999.997676170004</v>
      </c>
      <c r="M249" s="6">
        <f>liquidity_data[[#This Row],[M-D]]/L248-1</f>
        <v>-5.2467126765431971E-7</v>
      </c>
    </row>
    <row r="250" spans="1:13" x14ac:dyDescent="0.25">
      <c r="A250" s="7" t="s">
        <v>146</v>
      </c>
      <c r="B250">
        <v>249</v>
      </c>
      <c r="C250" s="5">
        <v>10041.582009897567</v>
      </c>
      <c r="D250" s="5">
        <v>455.59285415179329</v>
      </c>
      <c r="E250" s="5">
        <v>112.59008133225143</v>
      </c>
      <c r="F250" s="5">
        <v>0</v>
      </c>
      <c r="G250" s="5">
        <v>11189.445831298828</v>
      </c>
      <c r="H250" s="5">
        <v>3.425475673566325E-4</v>
      </c>
      <c r="I250">
        <v>-9799.2099999999991</v>
      </c>
      <c r="J250" s="5">
        <f>liquidity_data[[#This Row],[w_m]]+liquidity_data[[#This Row],[c_m]]+liquidity_data[[#This Row],[cf_m]]+liquidity_data[[#This Row],[kf_m]]+liquidity_data[[#This Row],[equity]]</f>
        <v>12000.000776680441</v>
      </c>
      <c r="K250" s="5">
        <f>liquidity_data[[#This Row],[kf_d]]+liquidity_data[[#This Row],[cf_d]]</f>
        <v>3.425475673566325E-4</v>
      </c>
      <c r="L250" s="5">
        <f>liquidity_data[[#This Row],[TOTAL_M]]-liquidity_data[[#This Row],[TOTAL_D]]</f>
        <v>12000.000434132873</v>
      </c>
      <c r="M250" s="6">
        <f>liquidity_data[[#This Row],[M-D]]/L249-1</f>
        <v>2.2983028369338854E-7</v>
      </c>
    </row>
    <row r="251" spans="1:13" x14ac:dyDescent="0.25">
      <c r="A251" s="7" t="s">
        <v>146</v>
      </c>
      <c r="B251">
        <v>250</v>
      </c>
      <c r="C251" s="5">
        <v>10060.605649961857</v>
      </c>
      <c r="D251" s="5">
        <v>448.86862301116344</v>
      </c>
      <c r="E251" s="5">
        <v>127.77093027345836</v>
      </c>
      <c r="F251" s="5">
        <v>0</v>
      </c>
      <c r="G251" s="5">
        <v>11312.262222290039</v>
      </c>
      <c r="H251" s="5">
        <v>3.254201933486911E-4</v>
      </c>
      <c r="I251">
        <v>-9949.51</v>
      </c>
      <c r="J251" s="5">
        <f>liquidity_data[[#This Row],[w_m]]+liquidity_data[[#This Row],[c_m]]+liquidity_data[[#This Row],[cf_m]]+liquidity_data[[#This Row],[kf_m]]+liquidity_data[[#This Row],[equity]]</f>
        <v>11999.997425536518</v>
      </c>
      <c r="K251" s="5">
        <f>liquidity_data[[#This Row],[kf_d]]+liquidity_data[[#This Row],[cf_d]]</f>
        <v>3.254201933486911E-4</v>
      </c>
      <c r="L251" s="5">
        <f>liquidity_data[[#This Row],[TOTAL_M]]-liquidity_data[[#This Row],[TOTAL_D]]</f>
        <v>11999.997100116325</v>
      </c>
      <c r="M251" s="6">
        <f>liquidity_data[[#This Row],[M-D]]/L250-1</f>
        <v>-2.7783470235576146E-7</v>
      </c>
    </row>
    <row r="252" spans="1:13" x14ac:dyDescent="0.25">
      <c r="A252" s="7" t="s">
        <v>146</v>
      </c>
      <c r="B252">
        <v>251</v>
      </c>
      <c r="C252" s="5">
        <v>10071.529296217486</v>
      </c>
      <c r="D252" s="5">
        <v>460.48587345366832</v>
      </c>
      <c r="E252" s="5">
        <v>69.61617199331522</v>
      </c>
      <c r="F252" s="5">
        <v>0</v>
      </c>
      <c r="G252" s="5">
        <v>11481.421051025391</v>
      </c>
      <c r="H252" s="5">
        <v>3.0914919250335515E-4</v>
      </c>
      <c r="I252">
        <v>-10083.1</v>
      </c>
      <c r="J252" s="5">
        <f>liquidity_data[[#This Row],[w_m]]+liquidity_data[[#This Row],[c_m]]+liquidity_data[[#This Row],[cf_m]]+liquidity_data[[#This Row],[kf_m]]+liquidity_data[[#This Row],[equity]]</f>
        <v>11999.95239268986</v>
      </c>
      <c r="K252" s="5">
        <f>liquidity_data[[#This Row],[kf_d]]+liquidity_data[[#This Row],[cf_d]]</f>
        <v>3.0914919250335515E-4</v>
      </c>
      <c r="L252" s="5">
        <f>liquidity_data[[#This Row],[TOTAL_M]]-liquidity_data[[#This Row],[TOTAL_D]]</f>
        <v>11999.952083540667</v>
      </c>
      <c r="M252" s="6">
        <f>liquidity_data[[#This Row],[M-D]]/L251-1</f>
        <v>-3.7513822113144357E-6</v>
      </c>
    </row>
    <row r="253" spans="1:13" x14ac:dyDescent="0.25">
      <c r="A253" s="7" t="s">
        <v>146</v>
      </c>
      <c r="B253">
        <v>252</v>
      </c>
      <c r="C253" s="5">
        <v>10075.136760890018</v>
      </c>
      <c r="D253" s="5">
        <v>462.0935878008604</v>
      </c>
      <c r="E253" s="5">
        <v>142.61418937146664</v>
      </c>
      <c r="F253" s="5">
        <v>0</v>
      </c>
      <c r="G253" s="5">
        <v>11597.977432250977</v>
      </c>
      <c r="H253" s="5">
        <v>2.9369173273607885E-4</v>
      </c>
      <c r="I253">
        <v>-10277.799999999999</v>
      </c>
      <c r="J253" s="5">
        <f>liquidity_data[[#This Row],[w_m]]+liquidity_data[[#This Row],[c_m]]+liquidity_data[[#This Row],[cf_m]]+liquidity_data[[#This Row],[kf_m]]+liquidity_data[[#This Row],[equity]]</f>
        <v>12000.021970313323</v>
      </c>
      <c r="K253" s="5">
        <f>liquidity_data[[#This Row],[kf_d]]+liquidity_data[[#This Row],[cf_d]]</f>
        <v>2.9369173273607885E-4</v>
      </c>
      <c r="L253" s="5">
        <f>liquidity_data[[#This Row],[TOTAL_M]]-liquidity_data[[#This Row],[TOTAL_D]]</f>
        <v>12000.021676621589</v>
      </c>
      <c r="M253" s="6">
        <f>liquidity_data[[#This Row],[M-D]]/L252-1</f>
        <v>5.7994465676447504E-6</v>
      </c>
    </row>
    <row r="254" spans="1:13" x14ac:dyDescent="0.25">
      <c r="A254" s="7" t="s">
        <v>146</v>
      </c>
      <c r="B254">
        <v>253</v>
      </c>
      <c r="C254" s="5">
        <v>10080.68576922387</v>
      </c>
      <c r="D254" s="5">
        <v>467.10390183329582</v>
      </c>
      <c r="E254" s="5">
        <v>143.41274727880955</v>
      </c>
      <c r="F254" s="5">
        <v>0</v>
      </c>
      <c r="G254" s="5">
        <v>11734.47135925293</v>
      </c>
      <c r="H254" s="5">
        <v>2.7900714985662489E-4</v>
      </c>
      <c r="I254">
        <v>-10425.700000000001</v>
      </c>
      <c r="J254" s="5">
        <f>liquidity_data[[#This Row],[w_m]]+liquidity_data[[#This Row],[c_m]]+liquidity_data[[#This Row],[cf_m]]+liquidity_data[[#This Row],[kf_m]]+liquidity_data[[#This Row],[equity]]</f>
        <v>11999.973777588904</v>
      </c>
      <c r="K254" s="5">
        <f>liquidity_data[[#This Row],[kf_d]]+liquidity_data[[#This Row],[cf_d]]</f>
        <v>2.7900714985662489E-4</v>
      </c>
      <c r="L254" s="5">
        <f>liquidity_data[[#This Row],[TOTAL_M]]-liquidity_data[[#This Row],[TOTAL_D]]</f>
        <v>11999.973498581754</v>
      </c>
      <c r="M254" s="6">
        <f>liquidity_data[[#This Row],[M-D]]/L253-1</f>
        <v>-4.0148294006003837E-6</v>
      </c>
    </row>
    <row r="255" spans="1:13" x14ac:dyDescent="0.25">
      <c r="A255" s="7" t="s">
        <v>146</v>
      </c>
      <c r="B255">
        <v>254</v>
      </c>
      <c r="C255" s="5">
        <v>10083.687598822784</v>
      </c>
      <c r="D255" s="5">
        <v>473.43925436958671</v>
      </c>
      <c r="E255" s="5">
        <v>161.00696837157011</v>
      </c>
      <c r="F255" s="5">
        <v>0</v>
      </c>
      <c r="G255" s="5">
        <v>11862.078186035156</v>
      </c>
      <c r="H255" s="5">
        <v>2.6505678022203938E-4</v>
      </c>
      <c r="I255">
        <v>-10580.2</v>
      </c>
      <c r="J255" s="5">
        <f>liquidity_data[[#This Row],[w_m]]+liquidity_data[[#This Row],[c_m]]+liquidity_data[[#This Row],[cf_m]]+liquidity_data[[#This Row],[kf_m]]+liquidity_data[[#This Row],[equity]]</f>
        <v>12000.012007599096</v>
      </c>
      <c r="K255" s="5">
        <f>liquidity_data[[#This Row],[kf_d]]+liquidity_data[[#This Row],[cf_d]]</f>
        <v>2.6505678022203938E-4</v>
      </c>
      <c r="L255" s="5">
        <f>liquidity_data[[#This Row],[TOTAL_M]]-liquidity_data[[#This Row],[TOTAL_D]]</f>
        <v>12000.011742542316</v>
      </c>
      <c r="M255" s="6">
        <f>liquidity_data[[#This Row],[M-D]]/L254-1</f>
        <v>3.1870037517922611E-6</v>
      </c>
    </row>
    <row r="256" spans="1:13" x14ac:dyDescent="0.25">
      <c r="A256" s="7" t="s">
        <v>146</v>
      </c>
      <c r="B256">
        <v>255</v>
      </c>
      <c r="C256" s="5">
        <v>10089.685487487703</v>
      </c>
      <c r="D256" s="5">
        <v>493.73682208172977</v>
      </c>
      <c r="E256" s="5">
        <v>104.89183581387624</v>
      </c>
      <c r="F256" s="5">
        <v>0</v>
      </c>
      <c r="G256" s="5">
        <v>12033.401184082031</v>
      </c>
      <c r="H256" s="5">
        <v>2.5180395175539161E-4</v>
      </c>
      <c r="I256">
        <v>-10721.7</v>
      </c>
      <c r="J256" s="5">
        <f>liquidity_data[[#This Row],[w_m]]+liquidity_data[[#This Row],[c_m]]+liquidity_data[[#This Row],[cf_m]]+liquidity_data[[#This Row],[kf_m]]+liquidity_data[[#This Row],[equity]]</f>
        <v>12000.015329465339</v>
      </c>
      <c r="K256" s="5">
        <f>liquidity_data[[#This Row],[kf_d]]+liquidity_data[[#This Row],[cf_d]]</f>
        <v>2.5180395175539161E-4</v>
      </c>
      <c r="L256" s="5">
        <f>liquidity_data[[#This Row],[TOTAL_M]]-liquidity_data[[#This Row],[TOTAL_D]]</f>
        <v>12000.015077661388</v>
      </c>
      <c r="M256" s="6">
        <f>liquidity_data[[#This Row],[M-D]]/L255-1</f>
        <v>2.7792631729361972E-7</v>
      </c>
    </row>
    <row r="257" spans="1:13" x14ac:dyDescent="0.25">
      <c r="A257" s="7" t="s">
        <v>146</v>
      </c>
      <c r="B257">
        <v>256</v>
      </c>
      <c r="C257" s="5">
        <v>10107.672584520362</v>
      </c>
      <c r="D257" s="5">
        <v>491.25348199158907</v>
      </c>
      <c r="E257" s="5">
        <v>142.29929406102747</v>
      </c>
      <c r="F257" s="5">
        <v>0</v>
      </c>
      <c r="G257" s="5">
        <v>12156.281784057617</v>
      </c>
      <c r="H257" s="5">
        <v>2.3921374781821214E-4</v>
      </c>
      <c r="I257">
        <v>-10897.5</v>
      </c>
      <c r="J257" s="5">
        <f>liquidity_data[[#This Row],[w_m]]+liquidity_data[[#This Row],[c_m]]+liquidity_data[[#This Row],[cf_m]]+liquidity_data[[#This Row],[kf_m]]+liquidity_data[[#This Row],[equity]]</f>
        <v>12000.007144630596</v>
      </c>
      <c r="K257" s="5">
        <f>liquidity_data[[#This Row],[kf_d]]+liquidity_data[[#This Row],[cf_d]]</f>
        <v>2.3921374781821214E-4</v>
      </c>
      <c r="L257" s="5">
        <f>liquidity_data[[#This Row],[TOTAL_M]]-liquidity_data[[#This Row],[TOTAL_D]]</f>
        <v>12000.006905416847</v>
      </c>
      <c r="M257" s="6">
        <f>liquidity_data[[#This Row],[M-D]]/L256-1</f>
        <v>-6.8101952277466182E-7</v>
      </c>
    </row>
    <row r="258" spans="1:13" x14ac:dyDescent="0.25">
      <c r="A258" s="7" t="s">
        <v>146</v>
      </c>
      <c r="B258">
        <v>257</v>
      </c>
      <c r="C258" s="5">
        <v>10127.474153738935</v>
      </c>
      <c r="D258" s="5">
        <v>502.20742872543633</v>
      </c>
      <c r="E258" s="5">
        <v>75.630080979317427</v>
      </c>
      <c r="F258" s="5">
        <v>0</v>
      </c>
      <c r="G258" s="5">
        <v>12341.149658203125</v>
      </c>
      <c r="H258" s="5">
        <v>2.2725306075699336E-4</v>
      </c>
      <c r="I258">
        <v>-11046.5</v>
      </c>
      <c r="J258" s="5">
        <f>liquidity_data[[#This Row],[w_m]]+liquidity_data[[#This Row],[c_m]]+liquidity_data[[#This Row],[cf_m]]+liquidity_data[[#This Row],[kf_m]]+liquidity_data[[#This Row],[equity]]</f>
        <v>11999.961321646813</v>
      </c>
      <c r="K258" s="5">
        <f>liquidity_data[[#This Row],[kf_d]]+liquidity_data[[#This Row],[cf_d]]</f>
        <v>2.2725306075699336E-4</v>
      </c>
      <c r="L258" s="5">
        <f>liquidity_data[[#This Row],[TOTAL_M]]-liquidity_data[[#This Row],[TOTAL_D]]</f>
        <v>11999.961094393753</v>
      </c>
      <c r="M258" s="6">
        <f>liquidity_data[[#This Row],[M-D]]/L257-1</f>
        <v>-3.8175830610054362E-6</v>
      </c>
    </row>
    <row r="259" spans="1:13" x14ac:dyDescent="0.25">
      <c r="A259" s="7" t="s">
        <v>146</v>
      </c>
      <c r="B259">
        <v>258</v>
      </c>
      <c r="C259" s="5">
        <v>10146.931871306617</v>
      </c>
      <c r="D259" s="5">
        <v>503.56760290265083</v>
      </c>
      <c r="E259" s="5">
        <v>109.16348241828382</v>
      </c>
      <c r="F259" s="5">
        <v>0</v>
      </c>
      <c r="G259" s="5">
        <v>12493.15803527832</v>
      </c>
      <c r="H259" s="5">
        <v>2.1589041091374384E-4</v>
      </c>
      <c r="I259">
        <v>-11252.8</v>
      </c>
      <c r="J259" s="5">
        <f>liquidity_data[[#This Row],[w_m]]+liquidity_data[[#This Row],[c_m]]+liquidity_data[[#This Row],[cf_m]]+liquidity_data[[#This Row],[kf_m]]+liquidity_data[[#This Row],[equity]]</f>
        <v>12000.020991905873</v>
      </c>
      <c r="K259" s="5">
        <f>liquidity_data[[#This Row],[kf_d]]+liquidity_data[[#This Row],[cf_d]]</f>
        <v>2.1589041091374384E-4</v>
      </c>
      <c r="L259" s="5">
        <f>liquidity_data[[#This Row],[TOTAL_M]]-liquidity_data[[#This Row],[TOTAL_D]]</f>
        <v>12000.020776015461</v>
      </c>
      <c r="M259" s="6">
        <f>liquidity_data[[#This Row],[M-D]]/L258-1</f>
        <v>4.9734846003790523E-6</v>
      </c>
    </row>
    <row r="260" spans="1:13" x14ac:dyDescent="0.25">
      <c r="A260" s="7" t="s">
        <v>146</v>
      </c>
      <c r="B260">
        <v>259</v>
      </c>
      <c r="C260" s="5">
        <v>10159.563564371783</v>
      </c>
      <c r="D260" s="5">
        <v>510.45590853691101</v>
      </c>
      <c r="E260" s="5">
        <v>97.28386839106679</v>
      </c>
      <c r="F260" s="5">
        <v>0</v>
      </c>
      <c r="G260" s="5">
        <v>12650.956878662109</v>
      </c>
      <c r="H260" s="5">
        <v>2.0509588500772225E-4</v>
      </c>
      <c r="I260">
        <v>-11418.3</v>
      </c>
      <c r="J260" s="5">
        <f>liquidity_data[[#This Row],[w_m]]+liquidity_data[[#This Row],[c_m]]+liquidity_data[[#This Row],[cf_m]]+liquidity_data[[#This Row],[kf_m]]+liquidity_data[[#This Row],[equity]]</f>
        <v>11999.960219961871</v>
      </c>
      <c r="K260" s="5">
        <f>liquidity_data[[#This Row],[kf_d]]+liquidity_data[[#This Row],[cf_d]]</f>
        <v>2.0509588500772225E-4</v>
      </c>
      <c r="L260" s="5">
        <f>liquidity_data[[#This Row],[TOTAL_M]]-liquidity_data[[#This Row],[TOTAL_D]]</f>
        <v>11999.960014865987</v>
      </c>
      <c r="M260" s="6">
        <f>liquidity_data[[#This Row],[M-D]]/L259-1</f>
        <v>-5.0634203563326707E-6</v>
      </c>
    </row>
    <row r="261" spans="1:13" x14ac:dyDescent="0.25">
      <c r="A261" s="7" t="s">
        <v>146</v>
      </c>
      <c r="B261">
        <v>260</v>
      </c>
      <c r="C261" s="5">
        <v>10171.586329290178</v>
      </c>
      <c r="D261" s="5">
        <v>512.67389848828316</v>
      </c>
      <c r="E261" s="5">
        <v>111.46487063611858</v>
      </c>
      <c r="F261" s="5">
        <v>0</v>
      </c>
      <c r="G261" s="5">
        <v>12783.035049438477</v>
      </c>
      <c r="H261" s="5">
        <v>1.9484109111544967E-4</v>
      </c>
      <c r="I261">
        <v>-11578.8</v>
      </c>
      <c r="J261" s="5">
        <f>liquidity_data[[#This Row],[w_m]]+liquidity_data[[#This Row],[c_m]]+liquidity_data[[#This Row],[cf_m]]+liquidity_data[[#This Row],[kf_m]]+liquidity_data[[#This Row],[equity]]</f>
        <v>11999.960147853057</v>
      </c>
      <c r="K261" s="5">
        <f>liquidity_data[[#This Row],[kf_d]]+liquidity_data[[#This Row],[cf_d]]</f>
        <v>1.9484109111544967E-4</v>
      </c>
      <c r="L261" s="5">
        <f>liquidity_data[[#This Row],[TOTAL_M]]-liquidity_data[[#This Row],[TOTAL_D]]</f>
        <v>11999.959953011965</v>
      </c>
      <c r="M261" s="6">
        <f>liquidity_data[[#This Row],[M-D]]/L260-1</f>
        <v>-5.1545189228008326E-9</v>
      </c>
    </row>
    <row r="262" spans="1:13" x14ac:dyDescent="0.25">
      <c r="A262" s="7" t="s">
        <v>146</v>
      </c>
      <c r="B262">
        <v>261</v>
      </c>
      <c r="C262" s="5">
        <v>10173.92983322544</v>
      </c>
      <c r="D262" s="5">
        <v>519.65571777522564</v>
      </c>
      <c r="E262" s="5">
        <v>124.37549433670938</v>
      </c>
      <c r="F262" s="5">
        <v>0</v>
      </c>
      <c r="G262" s="5">
        <v>12914.92350769043</v>
      </c>
      <c r="H262" s="5">
        <v>1.8509904009533784E-4</v>
      </c>
      <c r="I262">
        <v>-11732.9</v>
      </c>
      <c r="J262" s="5">
        <f>liquidity_data[[#This Row],[w_m]]+liquidity_data[[#This Row],[c_m]]+liquidity_data[[#This Row],[cf_m]]+liquidity_data[[#This Row],[kf_m]]+liquidity_data[[#This Row],[equity]]</f>
        <v>11999.984553027805</v>
      </c>
      <c r="K262" s="5">
        <f>liquidity_data[[#This Row],[kf_d]]+liquidity_data[[#This Row],[cf_d]]</f>
        <v>1.8509904009533784E-4</v>
      </c>
      <c r="L262" s="5">
        <f>liquidity_data[[#This Row],[TOTAL_M]]-liquidity_data[[#This Row],[TOTAL_D]]</f>
        <v>11999.984367928766</v>
      </c>
      <c r="M262" s="6">
        <f>liquidity_data[[#This Row],[M-D]]/L261-1</f>
        <v>2.0345831899248878E-6</v>
      </c>
    </row>
    <row r="263" spans="1:13" x14ac:dyDescent="0.25">
      <c r="A263" s="7" t="s">
        <v>146</v>
      </c>
      <c r="B263">
        <v>262</v>
      </c>
      <c r="C263" s="5">
        <v>10180.239792592125</v>
      </c>
      <c r="D263" s="5">
        <v>526.22176215425134</v>
      </c>
      <c r="E263" s="5">
        <v>110.91470854450017</v>
      </c>
      <c r="F263" s="5">
        <v>0</v>
      </c>
      <c r="G263" s="5">
        <v>13060.769515991211</v>
      </c>
      <c r="H263" s="5">
        <v>1.7584408743687163E-4</v>
      </c>
      <c r="I263">
        <v>-11878.1</v>
      </c>
      <c r="J263" s="5">
        <f>liquidity_data[[#This Row],[w_m]]+liquidity_data[[#This Row],[c_m]]+liquidity_data[[#This Row],[cf_m]]+liquidity_data[[#This Row],[kf_m]]+liquidity_data[[#This Row],[equity]]</f>
        <v>12000.045779282087</v>
      </c>
      <c r="K263" s="5">
        <f>liquidity_data[[#This Row],[kf_d]]+liquidity_data[[#This Row],[cf_d]]</f>
        <v>1.7584408743687163E-4</v>
      </c>
      <c r="L263" s="5">
        <f>liquidity_data[[#This Row],[TOTAL_M]]-liquidity_data[[#This Row],[TOTAL_D]]</f>
        <v>12000.045603438</v>
      </c>
      <c r="M263" s="6">
        <f>liquidity_data[[#This Row],[M-D]]/L262-1</f>
        <v>5.1029657504031434E-6</v>
      </c>
    </row>
    <row r="264" spans="1:13" x14ac:dyDescent="0.25">
      <c r="A264" s="7" t="s">
        <v>146</v>
      </c>
      <c r="B264">
        <v>263</v>
      </c>
      <c r="C264" s="5">
        <v>10181.656259977724</v>
      </c>
      <c r="D264" s="5">
        <v>533.61633738130331</v>
      </c>
      <c r="E264" s="5">
        <v>142.25660929642618</v>
      </c>
      <c r="F264" s="5">
        <v>0</v>
      </c>
      <c r="G264" s="5">
        <v>13180.521255493164</v>
      </c>
      <c r="H264" s="5">
        <v>1.6705187982779535E-4</v>
      </c>
      <c r="I264">
        <v>-12038</v>
      </c>
      <c r="J264" s="5">
        <f>liquidity_data[[#This Row],[w_m]]+liquidity_data[[#This Row],[c_m]]+liquidity_data[[#This Row],[cf_m]]+liquidity_data[[#This Row],[kf_m]]+liquidity_data[[#This Row],[equity]]</f>
        <v>12000.050462148618</v>
      </c>
      <c r="K264" s="5">
        <f>liquidity_data[[#This Row],[kf_d]]+liquidity_data[[#This Row],[cf_d]]</f>
        <v>1.6705187982779535E-4</v>
      </c>
      <c r="L264" s="5">
        <f>liquidity_data[[#This Row],[TOTAL_M]]-liquidity_data[[#This Row],[TOTAL_D]]</f>
        <v>12000.050295096738</v>
      </c>
      <c r="M264" s="6">
        <f>liquidity_data[[#This Row],[M-D]]/L263-1</f>
        <v>3.9097007564770081E-7</v>
      </c>
    </row>
    <row r="265" spans="1:13" x14ac:dyDescent="0.25">
      <c r="A265" s="7" t="s">
        <v>146</v>
      </c>
      <c r="B265">
        <v>264</v>
      </c>
      <c r="C265" s="5">
        <v>10189.368640650762</v>
      </c>
      <c r="D265" s="5">
        <v>529.58525733649731</v>
      </c>
      <c r="E265" s="5">
        <v>143.06495852023363</v>
      </c>
      <c r="F265" s="5">
        <v>0</v>
      </c>
      <c r="G265" s="5">
        <v>13304.554626464844</v>
      </c>
      <c r="H265" s="5">
        <v>1.5869929205791777E-4</v>
      </c>
      <c r="I265">
        <v>-12166.6</v>
      </c>
      <c r="J265" s="5">
        <f>liquidity_data[[#This Row],[w_m]]+liquidity_data[[#This Row],[c_m]]+liquidity_data[[#This Row],[cf_m]]+liquidity_data[[#This Row],[kf_m]]+liquidity_data[[#This Row],[equity]]</f>
        <v>11999.973482972337</v>
      </c>
      <c r="K265" s="5">
        <f>liquidity_data[[#This Row],[kf_d]]+liquidity_data[[#This Row],[cf_d]]</f>
        <v>1.5869929205791777E-4</v>
      </c>
      <c r="L265" s="5">
        <f>liquidity_data[[#This Row],[TOTAL_M]]-liquidity_data[[#This Row],[TOTAL_D]]</f>
        <v>11999.973324273045</v>
      </c>
      <c r="M265" s="6">
        <f>liquidity_data[[#This Row],[M-D]]/L264-1</f>
        <v>-6.4142084241769481E-6</v>
      </c>
    </row>
    <row r="266" spans="1:13" x14ac:dyDescent="0.25">
      <c r="A266" s="7" t="s">
        <v>146</v>
      </c>
      <c r="B266">
        <v>265</v>
      </c>
      <c r="C266" s="5">
        <v>10189.65106480848</v>
      </c>
      <c r="D266" s="5">
        <v>534.69720797613263</v>
      </c>
      <c r="E266" s="5">
        <v>143.34043645486236</v>
      </c>
      <c r="F266" s="5">
        <v>0</v>
      </c>
      <c r="G266" s="5">
        <v>13444.189895629883</v>
      </c>
      <c r="H266" s="5">
        <v>1.5076432612204371E-4</v>
      </c>
      <c r="I266">
        <v>-12311.9</v>
      </c>
      <c r="J266" s="5">
        <f>liquidity_data[[#This Row],[w_m]]+liquidity_data[[#This Row],[c_m]]+liquidity_data[[#This Row],[cf_m]]+liquidity_data[[#This Row],[kf_m]]+liquidity_data[[#This Row],[equity]]</f>
        <v>11999.978604869359</v>
      </c>
      <c r="K266" s="5">
        <f>liquidity_data[[#This Row],[kf_d]]+liquidity_data[[#This Row],[cf_d]]</f>
        <v>1.5076432612204371E-4</v>
      </c>
      <c r="L266" s="5">
        <f>liquidity_data[[#This Row],[TOTAL_M]]-liquidity_data[[#This Row],[TOTAL_D]]</f>
        <v>11999.978454105032</v>
      </c>
      <c r="M266" s="6">
        <f>liquidity_data[[#This Row],[M-D]]/L265-1</f>
        <v>4.2748694917271735E-7</v>
      </c>
    </row>
    <row r="267" spans="1:13" x14ac:dyDescent="0.25">
      <c r="A267" s="7" t="s">
        <v>146</v>
      </c>
      <c r="B267">
        <v>266</v>
      </c>
      <c r="C267" s="5">
        <v>10187.112600183362</v>
      </c>
      <c r="D267" s="5">
        <v>538.21929978276603</v>
      </c>
      <c r="E267" s="5">
        <v>171.97018617764115</v>
      </c>
      <c r="F267" s="5">
        <v>0</v>
      </c>
      <c r="G267" s="5">
        <v>13563.027618408203</v>
      </c>
      <c r="H267" s="5">
        <v>1.4322610849148987E-4</v>
      </c>
      <c r="I267">
        <v>-12460.3</v>
      </c>
      <c r="J267" s="5">
        <f>liquidity_data[[#This Row],[w_m]]+liquidity_data[[#This Row],[c_m]]+liquidity_data[[#This Row],[cf_m]]+liquidity_data[[#This Row],[kf_m]]+liquidity_data[[#This Row],[equity]]</f>
        <v>12000.029704551973</v>
      </c>
      <c r="K267" s="5">
        <f>liquidity_data[[#This Row],[kf_d]]+liquidity_data[[#This Row],[cf_d]]</f>
        <v>1.4322610849148987E-4</v>
      </c>
      <c r="L267" s="5">
        <f>liquidity_data[[#This Row],[TOTAL_M]]-liquidity_data[[#This Row],[TOTAL_D]]</f>
        <v>12000.029561325864</v>
      </c>
      <c r="M267" s="6">
        <f>liquidity_data[[#This Row],[M-D]]/L266-1</f>
        <v>4.2589427162731397E-6</v>
      </c>
    </row>
    <row r="268" spans="1:13" x14ac:dyDescent="0.25">
      <c r="A268" s="7" t="s">
        <v>146</v>
      </c>
      <c r="B268">
        <v>267</v>
      </c>
      <c r="C268" s="5">
        <v>10180.783333430081</v>
      </c>
      <c r="D268" s="5">
        <v>548.68472204986028</v>
      </c>
      <c r="E268" s="5">
        <v>155.22664738073945</v>
      </c>
      <c r="F268" s="5">
        <v>0</v>
      </c>
      <c r="G268" s="5">
        <v>13690.983764648438</v>
      </c>
      <c r="H268" s="5">
        <v>1.3606480206362903E-4</v>
      </c>
      <c r="I268">
        <v>-12575.7</v>
      </c>
      <c r="J268" s="5">
        <f>liquidity_data[[#This Row],[w_m]]+liquidity_data[[#This Row],[c_m]]+liquidity_data[[#This Row],[cf_m]]+liquidity_data[[#This Row],[kf_m]]+liquidity_data[[#This Row],[equity]]</f>
        <v>11999.978467509118</v>
      </c>
      <c r="K268" s="5">
        <f>liquidity_data[[#This Row],[kf_d]]+liquidity_data[[#This Row],[cf_d]]</f>
        <v>1.3606480206362903E-4</v>
      </c>
      <c r="L268" s="5">
        <f>liquidity_data[[#This Row],[TOTAL_M]]-liquidity_data[[#This Row],[TOTAL_D]]</f>
        <v>11999.978331444316</v>
      </c>
      <c r="M268" s="6">
        <f>liquidity_data[[#This Row],[M-D]]/L267-1</f>
        <v>-4.2691462789345991E-6</v>
      </c>
    </row>
    <row r="269" spans="1:13" x14ac:dyDescent="0.25">
      <c r="A269" s="7" t="s">
        <v>146</v>
      </c>
      <c r="B269">
        <v>268</v>
      </c>
      <c r="C269" s="5">
        <v>10192.066205032417</v>
      </c>
      <c r="D269" s="5">
        <v>546.72700143419206</v>
      </c>
      <c r="E269" s="5">
        <v>195.8279414921999</v>
      </c>
      <c r="F269" s="5">
        <v>0</v>
      </c>
      <c r="G269" s="5">
        <v>13792.394165039063</v>
      </c>
      <c r="H269" s="5">
        <v>1.292615613124326E-4</v>
      </c>
      <c r="I269">
        <v>-12727</v>
      </c>
      <c r="J269" s="5">
        <f>liquidity_data[[#This Row],[w_m]]+liquidity_data[[#This Row],[c_m]]+liquidity_data[[#This Row],[cf_m]]+liquidity_data[[#This Row],[kf_m]]+liquidity_data[[#This Row],[equity]]</f>
        <v>12000.015312997872</v>
      </c>
      <c r="K269" s="5">
        <f>liquidity_data[[#This Row],[kf_d]]+liquidity_data[[#This Row],[cf_d]]</f>
        <v>1.292615613124326E-4</v>
      </c>
      <c r="L269" s="5">
        <f>liquidity_data[[#This Row],[TOTAL_M]]-liquidity_data[[#This Row],[TOTAL_D]]</f>
        <v>12000.01518373631</v>
      </c>
      <c r="M269" s="6">
        <f>liquidity_data[[#This Row],[M-D]]/L268-1</f>
        <v>3.0710298781766454E-6</v>
      </c>
    </row>
    <row r="270" spans="1:13" x14ac:dyDescent="0.25">
      <c r="A270" s="7" t="s">
        <v>146</v>
      </c>
      <c r="B270">
        <v>269</v>
      </c>
      <c r="C270" s="5">
        <v>10213.082025829484</v>
      </c>
      <c r="D270" s="5">
        <v>554.65190225094557</v>
      </c>
      <c r="E270" s="5">
        <v>108.00765843782574</v>
      </c>
      <c r="F270" s="5">
        <v>0</v>
      </c>
      <c r="G270" s="5">
        <v>13981.055145263672</v>
      </c>
      <c r="H270" s="5">
        <v>1.2279848539265004E-4</v>
      </c>
      <c r="I270">
        <v>-12856.8</v>
      </c>
      <c r="J270" s="5">
        <f>liquidity_data[[#This Row],[w_m]]+liquidity_data[[#This Row],[c_m]]+liquidity_data[[#This Row],[cf_m]]+liquidity_data[[#This Row],[kf_m]]+liquidity_data[[#This Row],[equity]]</f>
        <v>11999.996731781928</v>
      </c>
      <c r="K270" s="5">
        <f>liquidity_data[[#This Row],[kf_d]]+liquidity_data[[#This Row],[cf_d]]</f>
        <v>1.2279848539265004E-4</v>
      </c>
      <c r="L270" s="5">
        <f>liquidity_data[[#This Row],[TOTAL_M]]-liquidity_data[[#This Row],[TOTAL_D]]</f>
        <v>11999.996608983443</v>
      </c>
      <c r="M270" s="6">
        <f>liquidity_data[[#This Row],[M-D]]/L269-1</f>
        <v>-1.547894113662629E-6</v>
      </c>
    </row>
    <row r="271" spans="1:13" x14ac:dyDescent="0.25">
      <c r="A271" s="7" t="s">
        <v>146</v>
      </c>
      <c r="B271">
        <v>270</v>
      </c>
      <c r="C271" s="5">
        <v>10224.111762170694</v>
      </c>
      <c r="D271" s="5">
        <v>559.87246205843985</v>
      </c>
      <c r="E271" s="5">
        <v>155.02527924999595</v>
      </c>
      <c r="F271" s="5">
        <v>0</v>
      </c>
      <c r="G271" s="5">
        <v>14126.141586303711</v>
      </c>
      <c r="H271" s="5">
        <v>1.1665855703313355E-4</v>
      </c>
      <c r="I271">
        <v>-13065.2</v>
      </c>
      <c r="J271" s="5">
        <f>liquidity_data[[#This Row],[w_m]]+liquidity_data[[#This Row],[c_m]]+liquidity_data[[#This Row],[cf_m]]+liquidity_data[[#This Row],[kf_m]]+liquidity_data[[#This Row],[equity]]</f>
        <v>11999.95108978284</v>
      </c>
      <c r="K271" s="5">
        <f>liquidity_data[[#This Row],[kf_d]]+liquidity_data[[#This Row],[cf_d]]</f>
        <v>1.1665855703313355E-4</v>
      </c>
      <c r="L271" s="5">
        <f>liquidity_data[[#This Row],[TOTAL_M]]-liquidity_data[[#This Row],[TOTAL_D]]</f>
        <v>11999.950973124283</v>
      </c>
      <c r="M271" s="6">
        <f>liquidity_data[[#This Row],[M-D]]/L270-1</f>
        <v>-3.8029893379976087E-6</v>
      </c>
    </row>
    <row r="272" spans="1:13" x14ac:dyDescent="0.25">
      <c r="A272" s="7" t="s">
        <v>146</v>
      </c>
      <c r="B272">
        <v>271</v>
      </c>
      <c r="C272" s="5">
        <v>10242.804614738634</v>
      </c>
      <c r="D272" s="5">
        <v>562.68346106447279</v>
      </c>
      <c r="E272" s="5">
        <v>131.93421041220427</v>
      </c>
      <c r="F272" s="5">
        <v>0</v>
      </c>
      <c r="G272" s="5">
        <v>14290.696960449219</v>
      </c>
      <c r="H272" s="5">
        <v>1.1082563418085556E-4</v>
      </c>
      <c r="I272">
        <v>-13228.1</v>
      </c>
      <c r="J272" s="5">
        <f>liquidity_data[[#This Row],[w_m]]+liquidity_data[[#This Row],[c_m]]+liquidity_data[[#This Row],[cf_m]]+liquidity_data[[#This Row],[kf_m]]+liquidity_data[[#This Row],[equity]]</f>
        <v>12000.019246664529</v>
      </c>
      <c r="K272" s="5">
        <f>liquidity_data[[#This Row],[kf_d]]+liquidity_data[[#This Row],[cf_d]]</f>
        <v>1.1082563418085556E-4</v>
      </c>
      <c r="L272" s="5">
        <f>liquidity_data[[#This Row],[TOTAL_M]]-liquidity_data[[#This Row],[TOTAL_D]]</f>
        <v>12000.019135838895</v>
      </c>
      <c r="M272" s="6">
        <f>liquidity_data[[#This Row],[M-D]]/L271-1</f>
        <v>5.6802494245999924E-6</v>
      </c>
    </row>
    <row r="273" spans="1:13" x14ac:dyDescent="0.25">
      <c r="A273" s="7" t="s">
        <v>146</v>
      </c>
      <c r="B273">
        <v>272</v>
      </c>
      <c r="C273" s="5">
        <v>10259.556192325443</v>
      </c>
      <c r="D273" s="5">
        <v>568.95563517650589</v>
      </c>
      <c r="E273" s="5">
        <v>124.64705666713417</v>
      </c>
      <c r="F273" s="5">
        <v>0</v>
      </c>
      <c r="G273" s="5">
        <v>14459.1611328125</v>
      </c>
      <c r="H273" s="5">
        <v>1.0528434972911782E-4</v>
      </c>
      <c r="I273">
        <v>-13412.3</v>
      </c>
      <c r="J273" s="5">
        <f>liquidity_data[[#This Row],[w_m]]+liquidity_data[[#This Row],[c_m]]+liquidity_data[[#This Row],[cf_m]]+liquidity_data[[#This Row],[kf_m]]+liquidity_data[[#This Row],[equity]]</f>
        <v>12000.020016981583</v>
      </c>
      <c r="K273" s="5">
        <f>liquidity_data[[#This Row],[kf_d]]+liquidity_data[[#This Row],[cf_d]]</f>
        <v>1.0528434972911782E-4</v>
      </c>
      <c r="L273" s="5">
        <f>liquidity_data[[#This Row],[TOTAL_M]]-liquidity_data[[#This Row],[TOTAL_D]]</f>
        <v>12000.019911697234</v>
      </c>
      <c r="M273" s="6">
        <f>liquidity_data[[#This Row],[M-D]]/L272-1</f>
        <v>6.465475843597801E-8</v>
      </c>
    </row>
    <row r="274" spans="1:13" x14ac:dyDescent="0.25">
      <c r="A274" s="7" t="s">
        <v>146</v>
      </c>
      <c r="B274">
        <v>273</v>
      </c>
      <c r="C274" s="5">
        <v>10282.64061832591</v>
      </c>
      <c r="D274" s="5">
        <v>572.07878922764212</v>
      </c>
      <c r="E274" s="5">
        <v>121.23008361458778</v>
      </c>
      <c r="F274" s="5">
        <v>0</v>
      </c>
      <c r="G274" s="5">
        <v>14619.300445556641</v>
      </c>
      <c r="H274" s="5">
        <v>1.0002013203802562E-4</v>
      </c>
      <c r="I274">
        <v>-13595.2</v>
      </c>
      <c r="J274" s="5">
        <f>liquidity_data[[#This Row],[w_m]]+liquidity_data[[#This Row],[c_m]]+liquidity_data[[#This Row],[cf_m]]+liquidity_data[[#This Row],[kf_m]]+liquidity_data[[#This Row],[equity]]</f>
        <v>12000.049936724779</v>
      </c>
      <c r="K274" s="5">
        <f>liquidity_data[[#This Row],[kf_d]]+liquidity_data[[#This Row],[cf_d]]</f>
        <v>1.0002013203802562E-4</v>
      </c>
      <c r="L274" s="5">
        <f>liquidity_data[[#This Row],[TOTAL_M]]-liquidity_data[[#This Row],[TOTAL_D]]</f>
        <v>12000.049836704648</v>
      </c>
      <c r="M274" s="6">
        <f>liquidity_data[[#This Row],[M-D]]/L273-1</f>
        <v>2.4937464797591957E-6</v>
      </c>
    </row>
    <row r="275" spans="1:13" x14ac:dyDescent="0.25">
      <c r="A275" s="7" t="s">
        <v>146</v>
      </c>
      <c r="B275">
        <v>274</v>
      </c>
      <c r="C275" s="5">
        <v>10292.077567965724</v>
      </c>
      <c r="D275" s="5">
        <v>600.56065041944385</v>
      </c>
      <c r="E275" s="5">
        <v>17.72650583833456</v>
      </c>
      <c r="F275" s="5">
        <v>0</v>
      </c>
      <c r="G275" s="5">
        <v>14849.464813232422</v>
      </c>
      <c r="H275" s="5">
        <v>9.5019124955797452E-5</v>
      </c>
      <c r="I275">
        <v>-13759.8</v>
      </c>
      <c r="J275" s="5">
        <f>liquidity_data[[#This Row],[w_m]]+liquidity_data[[#This Row],[c_m]]+liquidity_data[[#This Row],[cf_m]]+liquidity_data[[#This Row],[kf_m]]+liquidity_data[[#This Row],[equity]]</f>
        <v>12000.029537455925</v>
      </c>
      <c r="K275" s="5">
        <f>liquidity_data[[#This Row],[kf_d]]+liquidity_data[[#This Row],[cf_d]]</f>
        <v>9.5019124955797452E-5</v>
      </c>
      <c r="L275" s="5">
        <f>liquidity_data[[#This Row],[TOTAL_M]]-liquidity_data[[#This Row],[TOTAL_D]]</f>
        <v>12000.0294424368</v>
      </c>
      <c r="M275" s="6">
        <f>liquidity_data[[#This Row],[M-D]]/L274-1</f>
        <v>-1.6995152624099674E-6</v>
      </c>
    </row>
    <row r="276" spans="1:13" x14ac:dyDescent="0.25">
      <c r="A276" s="7" t="s">
        <v>146</v>
      </c>
      <c r="B276">
        <v>275</v>
      </c>
      <c r="C276" s="5">
        <v>10318.131969931768</v>
      </c>
      <c r="D276" s="5">
        <v>597.6108875721693</v>
      </c>
      <c r="E276" s="5">
        <v>87.276059390511364</v>
      </c>
      <c r="F276" s="5">
        <v>0</v>
      </c>
      <c r="G276" s="5">
        <v>15005.388305664063</v>
      </c>
      <c r="H276" s="5">
        <v>9.0268169401497289E-5</v>
      </c>
      <c r="I276">
        <v>-14008.4</v>
      </c>
      <c r="J276" s="5">
        <f>liquidity_data[[#This Row],[w_m]]+liquidity_data[[#This Row],[c_m]]+liquidity_data[[#This Row],[cf_m]]+liquidity_data[[#This Row],[kf_m]]+liquidity_data[[#This Row],[equity]]</f>
        <v>12000.007222558512</v>
      </c>
      <c r="K276" s="5">
        <f>liquidity_data[[#This Row],[kf_d]]+liquidity_data[[#This Row],[cf_d]]</f>
        <v>9.0268169401497289E-5</v>
      </c>
      <c r="L276" s="5">
        <f>liquidity_data[[#This Row],[TOTAL_M]]-liquidity_data[[#This Row],[TOTAL_D]]</f>
        <v>12000.007132290342</v>
      </c>
      <c r="M276" s="6">
        <f>liquidity_data[[#This Row],[M-D]]/L275-1</f>
        <v>-1.8591743099483082E-6</v>
      </c>
    </row>
    <row r="277" spans="1:13" x14ac:dyDescent="0.25">
      <c r="A277" s="7" t="s">
        <v>146</v>
      </c>
      <c r="B277">
        <v>276</v>
      </c>
      <c r="C277" s="5">
        <v>10335.426069845213</v>
      </c>
      <c r="D277" s="5">
        <v>594.75367232039571</v>
      </c>
      <c r="E277" s="5">
        <v>126.46401889435947</v>
      </c>
      <c r="F277" s="5">
        <v>0</v>
      </c>
      <c r="G277" s="5">
        <v>15127.387985229492</v>
      </c>
      <c r="H277" s="5">
        <v>8.575476164196516E-5</v>
      </c>
      <c r="I277">
        <v>-14184</v>
      </c>
      <c r="J277" s="5">
        <f>liquidity_data[[#This Row],[w_m]]+liquidity_data[[#This Row],[c_m]]+liquidity_data[[#This Row],[cf_m]]+liquidity_data[[#This Row],[kf_m]]+liquidity_data[[#This Row],[equity]]</f>
        <v>12000.03174628946</v>
      </c>
      <c r="K277" s="5">
        <f>liquidity_data[[#This Row],[kf_d]]+liquidity_data[[#This Row],[cf_d]]</f>
        <v>8.575476164196516E-5</v>
      </c>
      <c r="L277" s="5">
        <f>liquidity_data[[#This Row],[TOTAL_M]]-liquidity_data[[#This Row],[TOTAL_D]]</f>
        <v>12000.031660534698</v>
      </c>
      <c r="M277" s="6">
        <f>liquidity_data[[#This Row],[M-D]]/L276-1</f>
        <v>2.0440191481618797E-6</v>
      </c>
    </row>
    <row r="278" spans="1:13" x14ac:dyDescent="0.25">
      <c r="A278" s="7" t="s">
        <v>146</v>
      </c>
      <c r="B278">
        <v>277</v>
      </c>
      <c r="C278" s="5">
        <v>10355.397141164285</v>
      </c>
      <c r="D278" s="5">
        <v>600.88918312359601</v>
      </c>
      <c r="E278" s="5">
        <v>78.142422175034881</v>
      </c>
      <c r="F278" s="5">
        <v>0</v>
      </c>
      <c r="G278" s="5">
        <v>15297.920104980469</v>
      </c>
      <c r="H278" s="5">
        <v>8.1467024841685998E-5</v>
      </c>
      <c r="I278">
        <v>-14332.3</v>
      </c>
      <c r="J278" s="5">
        <f>liquidity_data[[#This Row],[w_m]]+liquidity_data[[#This Row],[c_m]]+liquidity_data[[#This Row],[cf_m]]+liquidity_data[[#This Row],[kf_m]]+liquidity_data[[#This Row],[equity]]</f>
        <v>12000.048851443386</v>
      </c>
      <c r="K278" s="5">
        <f>liquidity_data[[#This Row],[kf_d]]+liquidity_data[[#This Row],[cf_d]]</f>
        <v>8.1467024841685998E-5</v>
      </c>
      <c r="L278" s="5">
        <f>liquidity_data[[#This Row],[TOTAL_M]]-liquidity_data[[#This Row],[TOTAL_D]]</f>
        <v>12000.04876997636</v>
      </c>
      <c r="M278" s="6">
        <f>liquidity_data[[#This Row],[M-D]]/L277-1</f>
        <v>1.4257830434072361E-6</v>
      </c>
    </row>
    <row r="279" spans="1:13" x14ac:dyDescent="0.25">
      <c r="A279" s="7" t="s">
        <v>146</v>
      </c>
      <c r="B279">
        <v>278</v>
      </c>
      <c r="C279" s="5">
        <v>10363.43794608285</v>
      </c>
      <c r="D279" s="5">
        <v>616.53601850289851</v>
      </c>
      <c r="E279" s="5">
        <v>77.054133087396622</v>
      </c>
      <c r="F279" s="5">
        <v>0</v>
      </c>
      <c r="G279" s="5">
        <v>15486.680084228516</v>
      </c>
      <c r="H279" s="5">
        <v>7.7393672086145671E-5</v>
      </c>
      <c r="I279">
        <v>-14543.7</v>
      </c>
      <c r="J279" s="5">
        <f>liquidity_data[[#This Row],[w_m]]+liquidity_data[[#This Row],[c_m]]+liquidity_data[[#This Row],[cf_m]]+liquidity_data[[#This Row],[kf_m]]+liquidity_data[[#This Row],[equity]]</f>
        <v>12000.00818190166</v>
      </c>
      <c r="K279" s="5">
        <f>liquidity_data[[#This Row],[kf_d]]+liquidity_data[[#This Row],[cf_d]]</f>
        <v>7.7393672086145671E-5</v>
      </c>
      <c r="L279" s="5">
        <f>liquidity_data[[#This Row],[TOTAL_M]]-liquidity_data[[#This Row],[TOTAL_D]]</f>
        <v>12000.008104507988</v>
      </c>
      <c r="M279" s="6">
        <f>liquidity_data[[#This Row],[M-D]]/L278-1</f>
        <v>-3.3887752584060848E-6</v>
      </c>
    </row>
    <row r="280" spans="1:13" x14ac:dyDescent="0.25">
      <c r="A280" s="7" t="s">
        <v>146</v>
      </c>
      <c r="B280">
        <v>279</v>
      </c>
      <c r="C280" s="5">
        <v>10375.875461600313</v>
      </c>
      <c r="D280" s="5">
        <v>609.24874325841665</v>
      </c>
      <c r="E280" s="5">
        <v>125.28376989951357</v>
      </c>
      <c r="F280" s="5">
        <v>0</v>
      </c>
      <c r="G280" s="5">
        <v>15619.871810913086</v>
      </c>
      <c r="H280" s="5">
        <v>7.3523988191936951E-5</v>
      </c>
      <c r="I280">
        <v>-14730.3</v>
      </c>
      <c r="J280" s="5">
        <f>liquidity_data[[#This Row],[w_m]]+liquidity_data[[#This Row],[c_m]]+liquidity_data[[#This Row],[cf_m]]+liquidity_data[[#This Row],[kf_m]]+liquidity_data[[#This Row],[equity]]</f>
        <v>11999.97978567133</v>
      </c>
      <c r="K280" s="5">
        <f>liquidity_data[[#This Row],[kf_d]]+liquidity_data[[#This Row],[cf_d]]</f>
        <v>7.3523988191936951E-5</v>
      </c>
      <c r="L280" s="5">
        <f>liquidity_data[[#This Row],[TOTAL_M]]-liquidity_data[[#This Row],[TOTAL_D]]</f>
        <v>11999.979712147342</v>
      </c>
      <c r="M280" s="6">
        <f>liquidity_data[[#This Row],[M-D]]/L279-1</f>
        <v>-2.3660284558246758E-6</v>
      </c>
    </row>
    <row r="281" spans="1:13" x14ac:dyDescent="0.25">
      <c r="A281" s="7" t="s">
        <v>146</v>
      </c>
      <c r="B281">
        <v>280</v>
      </c>
      <c r="C281" s="5">
        <v>10385.866474632057</v>
      </c>
      <c r="D281" s="5">
        <v>616.58907858282328</v>
      </c>
      <c r="E281" s="5">
        <v>78.225316463969648</v>
      </c>
      <c r="F281" s="5">
        <v>0</v>
      </c>
      <c r="G281" s="5">
        <v>15783.79508972168</v>
      </c>
      <c r="H281" s="5">
        <v>6.9847791110078106E-5</v>
      </c>
      <c r="I281">
        <v>-14864.5</v>
      </c>
      <c r="J281" s="5">
        <f>liquidity_data[[#This Row],[w_m]]+liquidity_data[[#This Row],[c_m]]+liquidity_data[[#This Row],[cf_m]]+liquidity_data[[#This Row],[kf_m]]+liquidity_data[[#This Row],[equity]]</f>
        <v>11999.97595940053</v>
      </c>
      <c r="K281" s="5">
        <f>liquidity_data[[#This Row],[kf_d]]+liquidity_data[[#This Row],[cf_d]]</f>
        <v>6.9847791110078106E-5</v>
      </c>
      <c r="L281" s="5">
        <f>liquidity_data[[#This Row],[TOTAL_M]]-liquidity_data[[#This Row],[TOTAL_D]]</f>
        <v>11999.975889552739</v>
      </c>
      <c r="M281" s="6">
        <f>liquidity_data[[#This Row],[M-D]]/L280-1</f>
        <v>-3.1855008875147917E-7</v>
      </c>
    </row>
    <row r="282" spans="1:13" x14ac:dyDescent="0.25">
      <c r="A282" s="7" t="s">
        <v>146</v>
      </c>
      <c r="B282">
        <v>281</v>
      </c>
      <c r="C282" s="5">
        <v>10405.035076312604</v>
      </c>
      <c r="D282" s="5">
        <v>606.67947712144814</v>
      </c>
      <c r="E282" s="5">
        <v>125.0271168500185</v>
      </c>
      <c r="F282" s="5">
        <v>0</v>
      </c>
      <c r="G282" s="5">
        <v>15902.551254272461</v>
      </c>
      <c r="H282" s="5">
        <v>6.6355400122120045E-5</v>
      </c>
      <c r="I282">
        <v>-15039.3</v>
      </c>
      <c r="J282" s="5">
        <f>liquidity_data[[#This Row],[w_m]]+liquidity_data[[#This Row],[c_m]]+liquidity_data[[#This Row],[cf_m]]+liquidity_data[[#This Row],[kf_m]]+liquidity_data[[#This Row],[equity]]</f>
        <v>11999.992924556533</v>
      </c>
      <c r="K282" s="5">
        <f>liquidity_data[[#This Row],[kf_d]]+liquidity_data[[#This Row],[cf_d]]</f>
        <v>6.6355400122120045E-5</v>
      </c>
      <c r="L282" s="5">
        <f>liquidity_data[[#This Row],[TOTAL_M]]-liquidity_data[[#This Row],[TOTAL_D]]</f>
        <v>11999.992858201133</v>
      </c>
      <c r="M282" s="6">
        <f>liquidity_data[[#This Row],[M-D]]/L281-1</f>
        <v>1.4140568738163495E-6</v>
      </c>
    </row>
    <row r="283" spans="1:13" x14ac:dyDescent="0.25">
      <c r="A283" s="7" t="s">
        <v>146</v>
      </c>
      <c r="B283">
        <v>282</v>
      </c>
      <c r="C283" s="5">
        <v>10417.307714067545</v>
      </c>
      <c r="D283" s="5">
        <v>606.28392895776778</v>
      </c>
      <c r="E283" s="5">
        <v>117.34991745837033</v>
      </c>
      <c r="F283" s="5">
        <v>0</v>
      </c>
      <c r="G283" s="5">
        <v>16042.095611572266</v>
      </c>
      <c r="H283" s="5">
        <v>6.303762845050187E-5</v>
      </c>
      <c r="I283">
        <v>-15183</v>
      </c>
      <c r="J283" s="5">
        <f>liquidity_data[[#This Row],[w_m]]+liquidity_data[[#This Row],[c_m]]+liquidity_data[[#This Row],[cf_m]]+liquidity_data[[#This Row],[kf_m]]+liquidity_data[[#This Row],[equity]]</f>
        <v>12000.037172055949</v>
      </c>
      <c r="K283" s="5">
        <f>liquidity_data[[#This Row],[kf_d]]+liquidity_data[[#This Row],[cf_d]]</f>
        <v>6.303762845050187E-5</v>
      </c>
      <c r="L283" s="5">
        <f>liquidity_data[[#This Row],[TOTAL_M]]-liquidity_data[[#This Row],[TOTAL_D]]</f>
        <v>12000.03710901832</v>
      </c>
      <c r="M283" s="6">
        <f>liquidity_data[[#This Row],[M-D]]/L282-1</f>
        <v>3.6875702935645904E-6</v>
      </c>
    </row>
    <row r="284" spans="1:13" x14ac:dyDescent="0.25">
      <c r="A284" s="7" t="s">
        <v>146</v>
      </c>
      <c r="B284">
        <v>283</v>
      </c>
      <c r="C284" s="5">
        <v>10425.327914611844</v>
      </c>
      <c r="D284" s="5">
        <v>608.86031430680305</v>
      </c>
      <c r="E284" s="5">
        <v>137.54194578155875</v>
      </c>
      <c r="F284" s="5">
        <v>0</v>
      </c>
      <c r="G284" s="5">
        <v>16175.999359130859</v>
      </c>
      <c r="H284" s="5">
        <v>5.9885748072474598E-5</v>
      </c>
      <c r="I284">
        <v>-15347.7</v>
      </c>
      <c r="J284" s="5">
        <f>liquidity_data[[#This Row],[w_m]]+liquidity_data[[#This Row],[c_m]]+liquidity_data[[#This Row],[cf_m]]+liquidity_data[[#This Row],[kf_m]]+liquidity_data[[#This Row],[equity]]</f>
        <v>12000.029533831064</v>
      </c>
      <c r="K284" s="5">
        <f>liquidity_data[[#This Row],[kf_d]]+liquidity_data[[#This Row],[cf_d]]</f>
        <v>5.9885748072474598E-5</v>
      </c>
      <c r="L284" s="5">
        <f>liquidity_data[[#This Row],[TOTAL_M]]-liquidity_data[[#This Row],[TOTAL_D]]</f>
        <v>12000.029473945317</v>
      </c>
      <c r="M284" s="6">
        <f>liquidity_data[[#This Row],[M-D]]/L283-1</f>
        <v>-6.3625411605983118E-7</v>
      </c>
    </row>
    <row r="285" spans="1:13" x14ac:dyDescent="0.25">
      <c r="A285" s="7" t="s">
        <v>146</v>
      </c>
      <c r="B285">
        <v>284</v>
      </c>
      <c r="C285" s="5">
        <v>10442.859267049003</v>
      </c>
      <c r="D285" s="5">
        <v>602.92450514224765</v>
      </c>
      <c r="E285" s="5">
        <v>133.58164596557617</v>
      </c>
      <c r="F285" s="5">
        <v>0</v>
      </c>
      <c r="G285" s="5">
        <v>16314.93896484375</v>
      </c>
      <c r="H285" s="5">
        <v>5.6891461042596347E-5</v>
      </c>
      <c r="I285">
        <v>-15494.3</v>
      </c>
      <c r="J285" s="5">
        <f>liquidity_data[[#This Row],[w_m]]+liquidity_data[[#This Row],[c_m]]+liquidity_data[[#This Row],[cf_m]]+liquidity_data[[#This Row],[kf_m]]+liquidity_data[[#This Row],[equity]]</f>
        <v>12000.004383000578</v>
      </c>
      <c r="K285" s="5">
        <f>liquidity_data[[#This Row],[kf_d]]+liquidity_data[[#This Row],[cf_d]]</f>
        <v>5.6891461042596347E-5</v>
      </c>
      <c r="L285" s="5">
        <f>liquidity_data[[#This Row],[TOTAL_M]]-liquidity_data[[#This Row],[TOTAL_D]]</f>
        <v>12000.004326109118</v>
      </c>
      <c r="M285" s="6">
        <f>liquidity_data[[#This Row],[M-D]]/L284-1</f>
        <v>-2.0956478693490155E-6</v>
      </c>
    </row>
    <row r="286" spans="1:13" x14ac:dyDescent="0.25">
      <c r="A286" s="7" t="s">
        <v>146</v>
      </c>
      <c r="B286">
        <v>285</v>
      </c>
      <c r="C286" s="5">
        <v>10453.589794370579</v>
      </c>
      <c r="D286" s="5">
        <v>607.90599146299064</v>
      </c>
      <c r="E286" s="5">
        <v>120.59292837779503</v>
      </c>
      <c r="F286" s="5">
        <v>0</v>
      </c>
      <c r="G286" s="5">
        <v>16451.0263671875</v>
      </c>
      <c r="H286" s="5">
        <v>5.4046889033543266E-5</v>
      </c>
      <c r="I286">
        <v>-15633.1</v>
      </c>
      <c r="J286" s="5">
        <f>liquidity_data[[#This Row],[w_m]]+liquidity_data[[#This Row],[c_m]]+liquidity_data[[#This Row],[cf_m]]+liquidity_data[[#This Row],[kf_m]]+liquidity_data[[#This Row],[equity]]</f>
        <v>12000.015081398864</v>
      </c>
      <c r="K286" s="5">
        <f>liquidity_data[[#This Row],[kf_d]]+liquidity_data[[#This Row],[cf_d]]</f>
        <v>5.4046889033543266E-5</v>
      </c>
      <c r="L286" s="5">
        <f>liquidity_data[[#This Row],[TOTAL_M]]-liquidity_data[[#This Row],[TOTAL_D]]</f>
        <v>12000.015027351976</v>
      </c>
      <c r="M286" s="6">
        <f>liquidity_data[[#This Row],[M-D]]/L285-1</f>
        <v>8.9176991657780036E-7</v>
      </c>
    </row>
    <row r="287" spans="1:13" x14ac:dyDescent="0.25">
      <c r="A287" s="7" t="s">
        <v>146</v>
      </c>
      <c r="B287">
        <v>286</v>
      </c>
      <c r="C287" s="5">
        <v>10465.375705122191</v>
      </c>
      <c r="D287" s="5">
        <v>633.41412518173456</v>
      </c>
      <c r="E287" s="5">
        <v>9.995052594691515</v>
      </c>
      <c r="F287" s="5">
        <v>0</v>
      </c>
      <c r="G287" s="5">
        <v>16678.843017578125</v>
      </c>
      <c r="H287" s="5">
        <v>5.1344543123832409E-5</v>
      </c>
      <c r="I287">
        <v>-15787.6</v>
      </c>
      <c r="J287" s="5">
        <f>liquidity_data[[#This Row],[w_m]]+liquidity_data[[#This Row],[c_m]]+liquidity_data[[#This Row],[cf_m]]+liquidity_data[[#This Row],[kf_m]]+liquidity_data[[#This Row],[equity]]</f>
        <v>12000.027900476742</v>
      </c>
      <c r="K287" s="5">
        <f>liquidity_data[[#This Row],[kf_d]]+liquidity_data[[#This Row],[cf_d]]</f>
        <v>5.1344543123832409E-5</v>
      </c>
      <c r="L287" s="5">
        <f>liquidity_data[[#This Row],[TOTAL_M]]-liquidity_data[[#This Row],[TOTAL_D]]</f>
        <v>12000.027849132199</v>
      </c>
      <c r="M287" s="6">
        <f>liquidity_data[[#This Row],[M-D]]/L286-1</f>
        <v>1.0684803473104409E-6</v>
      </c>
    </row>
    <row r="288" spans="1:13" x14ac:dyDescent="0.25">
      <c r="A288" s="7" t="s">
        <v>146</v>
      </c>
      <c r="B288">
        <v>287</v>
      </c>
      <c r="C288" s="5">
        <v>10482.581901879748</v>
      </c>
      <c r="D288" s="5">
        <v>627.61940962076187</v>
      </c>
      <c r="E288" s="5">
        <v>136.45989433303475</v>
      </c>
      <c r="F288" s="5">
        <v>0</v>
      </c>
      <c r="G288" s="5">
        <v>16802.640350341797</v>
      </c>
      <c r="H288" s="5">
        <v>4.877731512920036E-5</v>
      </c>
      <c r="I288">
        <v>-16049.3</v>
      </c>
      <c r="J288" s="5">
        <f>liquidity_data[[#This Row],[w_m]]+liquidity_data[[#This Row],[c_m]]+liquidity_data[[#This Row],[cf_m]]+liquidity_data[[#This Row],[kf_m]]+liquidity_data[[#This Row],[equity]]</f>
        <v>12000.001556175343</v>
      </c>
      <c r="K288" s="5">
        <f>liquidity_data[[#This Row],[kf_d]]+liquidity_data[[#This Row],[cf_d]]</f>
        <v>4.877731512920036E-5</v>
      </c>
      <c r="L288" s="5">
        <f>liquidity_data[[#This Row],[TOTAL_M]]-liquidity_data[[#This Row],[TOTAL_D]]</f>
        <v>12000.001507398027</v>
      </c>
      <c r="M288" s="6">
        <f>liquidity_data[[#This Row],[M-D]]/L287-1</f>
        <v>-2.1951394199026808E-6</v>
      </c>
    </row>
    <row r="289" spans="1:13" x14ac:dyDescent="0.25">
      <c r="A289" s="7" t="s">
        <v>146</v>
      </c>
      <c r="B289">
        <v>288</v>
      </c>
      <c r="C289" s="5">
        <v>10502.960764552816</v>
      </c>
      <c r="D289" s="5">
        <v>630.33883010596037</v>
      </c>
      <c r="E289" s="5">
        <v>86.055964849889278</v>
      </c>
      <c r="F289" s="5">
        <v>0</v>
      </c>
      <c r="G289" s="5">
        <v>16971.113983154297</v>
      </c>
      <c r="H289" s="5">
        <v>4.6338450204075343E-5</v>
      </c>
      <c r="I289">
        <v>-16190.5</v>
      </c>
      <c r="J289" s="5">
        <f>liquidity_data[[#This Row],[w_m]]+liquidity_data[[#This Row],[c_m]]+liquidity_data[[#This Row],[cf_m]]+liquidity_data[[#This Row],[kf_m]]+liquidity_data[[#This Row],[equity]]</f>
        <v>11999.969542662962</v>
      </c>
      <c r="K289" s="5">
        <f>liquidity_data[[#This Row],[kf_d]]+liquidity_data[[#This Row],[cf_d]]</f>
        <v>4.6338450204075343E-5</v>
      </c>
      <c r="L289" s="5">
        <f>liquidity_data[[#This Row],[TOTAL_M]]-liquidity_data[[#This Row],[TOTAL_D]]</f>
        <v>11999.969496324513</v>
      </c>
      <c r="M289" s="6">
        <f>liquidity_data[[#This Row],[M-D]]/L288-1</f>
        <v>-2.6675891243721495E-6</v>
      </c>
    </row>
    <row r="290" spans="1:13" x14ac:dyDescent="0.25">
      <c r="A290" s="7" t="s">
        <v>146</v>
      </c>
      <c r="B290">
        <v>289</v>
      </c>
      <c r="C290" s="5">
        <v>10526.662095059757</v>
      </c>
      <c r="D290" s="5">
        <v>621.47009574621916</v>
      </c>
      <c r="E290" s="5">
        <v>150.22559175267816</v>
      </c>
      <c r="F290" s="5">
        <v>0</v>
      </c>
      <c r="G290" s="5">
        <v>17100.280303955078</v>
      </c>
      <c r="H290" s="5">
        <v>4.4021529433280193E-5</v>
      </c>
      <c r="I290">
        <v>-16398.599999999999</v>
      </c>
      <c r="J290" s="5">
        <f>liquidity_data[[#This Row],[w_m]]+liquidity_data[[#This Row],[c_m]]+liquidity_data[[#This Row],[cf_m]]+liquidity_data[[#This Row],[kf_m]]+liquidity_data[[#This Row],[equity]]</f>
        <v>12000.038086513734</v>
      </c>
      <c r="K290" s="5">
        <f>liquidity_data[[#This Row],[kf_d]]+liquidity_data[[#This Row],[cf_d]]</f>
        <v>4.4021529433280193E-5</v>
      </c>
      <c r="L290" s="5">
        <f>liquidity_data[[#This Row],[TOTAL_M]]-liquidity_data[[#This Row],[TOTAL_D]]</f>
        <v>12000.038042492204</v>
      </c>
      <c r="M290" s="6">
        <f>liquidity_data[[#This Row],[M-D]]/L289-1</f>
        <v>5.7121951611005528E-6</v>
      </c>
    </row>
    <row r="291" spans="1:13" x14ac:dyDescent="0.25">
      <c r="A291" s="7" t="s">
        <v>146</v>
      </c>
      <c r="B291">
        <v>290</v>
      </c>
      <c r="C291" s="5">
        <v>10552.68562128098</v>
      </c>
      <c r="D291" s="5">
        <v>626.5113759636879</v>
      </c>
      <c r="E291" s="5">
        <v>95.329164506867528</v>
      </c>
      <c r="F291" s="5">
        <v>0</v>
      </c>
      <c r="G291" s="5">
        <v>17292.686614990234</v>
      </c>
      <c r="H291" s="5">
        <v>4.182045205425311E-5</v>
      </c>
      <c r="I291">
        <v>-16567.2</v>
      </c>
      <c r="J291" s="5">
        <f>liquidity_data[[#This Row],[w_m]]+liquidity_data[[#This Row],[c_m]]+liquidity_data[[#This Row],[cf_m]]+liquidity_data[[#This Row],[kf_m]]+liquidity_data[[#This Row],[equity]]</f>
        <v>12000.012776741769</v>
      </c>
      <c r="K291" s="5">
        <f>liquidity_data[[#This Row],[kf_d]]+liquidity_data[[#This Row],[cf_d]]</f>
        <v>4.182045205425311E-5</v>
      </c>
      <c r="L291" s="5">
        <f>liquidity_data[[#This Row],[TOTAL_M]]-liquidity_data[[#This Row],[TOTAL_D]]</f>
        <v>12000.012734921316</v>
      </c>
      <c r="M291" s="6">
        <f>liquidity_data[[#This Row],[M-D]]/L290-1</f>
        <v>-2.1089575548138839E-6</v>
      </c>
    </row>
    <row r="292" spans="1:13" x14ac:dyDescent="0.25">
      <c r="A292" s="7" t="s">
        <v>146</v>
      </c>
      <c r="B292">
        <v>291</v>
      </c>
      <c r="C292" s="5">
        <v>10579.555185301986</v>
      </c>
      <c r="D292" s="5">
        <v>629.21790281683207</v>
      </c>
      <c r="E292" s="5">
        <v>87.285580926341936</v>
      </c>
      <c r="F292" s="5">
        <v>0</v>
      </c>
      <c r="G292" s="5">
        <v>17471.362243652344</v>
      </c>
      <c r="H292" s="5">
        <v>3.9729428749524232E-5</v>
      </c>
      <c r="I292">
        <v>-16767.400000000001</v>
      </c>
      <c r="J292" s="5">
        <f>liquidity_data[[#This Row],[w_m]]+liquidity_data[[#This Row],[c_m]]+liquidity_data[[#This Row],[cf_m]]+liquidity_data[[#This Row],[kf_m]]+liquidity_data[[#This Row],[equity]]</f>
        <v>12000.020912697502</v>
      </c>
      <c r="K292" s="5">
        <f>liquidity_data[[#This Row],[kf_d]]+liquidity_data[[#This Row],[cf_d]]</f>
        <v>3.9729428749524232E-5</v>
      </c>
      <c r="L292" s="5">
        <f>liquidity_data[[#This Row],[TOTAL_M]]-liquidity_data[[#This Row],[TOTAL_D]]</f>
        <v>12000.020872968074</v>
      </c>
      <c r="M292" s="6">
        <f>liquidity_data[[#This Row],[M-D]]/L291-1</f>
        <v>6.7816984339330588E-7</v>
      </c>
    </row>
    <row r="293" spans="1:13" x14ac:dyDescent="0.25">
      <c r="A293" s="7" t="s">
        <v>146</v>
      </c>
      <c r="B293">
        <v>292</v>
      </c>
      <c r="C293" s="5">
        <v>10601.264993794961</v>
      </c>
      <c r="D293" s="5">
        <v>636.46582052111626</v>
      </c>
      <c r="E293" s="5">
        <v>76.773123741149902</v>
      </c>
      <c r="F293" s="5">
        <v>0</v>
      </c>
      <c r="G293" s="5">
        <v>17647.947113037109</v>
      </c>
      <c r="H293" s="5">
        <v>3.7742957744058003E-5</v>
      </c>
      <c r="I293">
        <v>-16962.5</v>
      </c>
      <c r="J293" s="5">
        <f>liquidity_data[[#This Row],[w_m]]+liquidity_data[[#This Row],[c_m]]+liquidity_data[[#This Row],[cf_m]]+liquidity_data[[#This Row],[kf_m]]+liquidity_data[[#This Row],[equity]]</f>
        <v>11999.951051094336</v>
      </c>
      <c r="K293" s="5">
        <f>liquidity_data[[#This Row],[kf_d]]+liquidity_data[[#This Row],[cf_d]]</f>
        <v>3.7742957744058003E-5</v>
      </c>
      <c r="L293" s="5">
        <f>liquidity_data[[#This Row],[TOTAL_M]]-liquidity_data[[#This Row],[TOTAL_D]]</f>
        <v>11999.95101335138</v>
      </c>
      <c r="M293" s="6">
        <f>liquidity_data[[#This Row],[M-D]]/L292-1</f>
        <v>-5.8216245983899739E-6</v>
      </c>
    </row>
    <row r="294" spans="1:13" x14ac:dyDescent="0.25">
      <c r="A294" s="7" t="s">
        <v>146</v>
      </c>
      <c r="B294">
        <v>293</v>
      </c>
      <c r="C294" s="5">
        <v>10622.076735259558</v>
      </c>
      <c r="D294" s="5">
        <v>648.38423048332334</v>
      </c>
      <c r="E294" s="5">
        <v>48.309319954365492</v>
      </c>
      <c r="F294" s="5">
        <v>0</v>
      </c>
      <c r="G294" s="5">
        <v>17844.735977172852</v>
      </c>
      <c r="H294" s="5">
        <v>3.5855809670692906E-5</v>
      </c>
      <c r="I294">
        <v>-17163.5</v>
      </c>
      <c r="J294" s="5">
        <f>liquidity_data[[#This Row],[w_m]]+liquidity_data[[#This Row],[c_m]]+liquidity_data[[#This Row],[cf_m]]+liquidity_data[[#This Row],[kf_m]]+liquidity_data[[#This Row],[equity]]</f>
        <v>12000.006262870098</v>
      </c>
      <c r="K294" s="5">
        <f>liquidity_data[[#This Row],[kf_d]]+liquidity_data[[#This Row],[cf_d]]</f>
        <v>3.5855809670692906E-5</v>
      </c>
      <c r="L294" s="5">
        <f>liquidity_data[[#This Row],[TOTAL_M]]-liquidity_data[[#This Row],[TOTAL_D]]</f>
        <v>12000.006227014288</v>
      </c>
      <c r="M294" s="6">
        <f>liquidity_data[[#This Row],[M-D]]/L293-1</f>
        <v>4.6011573586746124E-6</v>
      </c>
    </row>
    <row r="295" spans="1:13" x14ac:dyDescent="0.25">
      <c r="A295" s="7" t="s">
        <v>146</v>
      </c>
      <c r="B295">
        <v>294</v>
      </c>
      <c r="C295" s="5">
        <v>10640.338066777273</v>
      </c>
      <c r="D295" s="5">
        <v>653.15324347093701</v>
      </c>
      <c r="E295" s="5">
        <v>90.841848149895668</v>
      </c>
      <c r="F295" s="5">
        <v>0</v>
      </c>
      <c r="G295" s="5">
        <v>18013.699356079102</v>
      </c>
      <c r="H295" s="5">
        <v>3.4063019541008543E-5</v>
      </c>
      <c r="I295">
        <v>-17398</v>
      </c>
      <c r="J295" s="5">
        <f>liquidity_data[[#This Row],[w_m]]+liquidity_data[[#This Row],[c_m]]+liquidity_data[[#This Row],[cf_m]]+liquidity_data[[#This Row],[kf_m]]+liquidity_data[[#This Row],[equity]]</f>
        <v>12000.032514477207</v>
      </c>
      <c r="K295" s="5">
        <f>liquidity_data[[#This Row],[kf_d]]+liquidity_data[[#This Row],[cf_d]]</f>
        <v>3.4063019541008543E-5</v>
      </c>
      <c r="L295" s="5">
        <f>liquidity_data[[#This Row],[TOTAL_M]]-liquidity_data[[#This Row],[TOTAL_D]]</f>
        <v>12000.032480414187</v>
      </c>
      <c r="M295" s="6">
        <f>liquidity_data[[#This Row],[M-D]]/L294-1</f>
        <v>2.187782189633225E-6</v>
      </c>
    </row>
    <row r="296" spans="1:13" x14ac:dyDescent="0.25">
      <c r="A296" s="7" t="s">
        <v>146</v>
      </c>
      <c r="B296">
        <v>295</v>
      </c>
      <c r="C296" s="5">
        <v>10663.806236002827</v>
      </c>
      <c r="D296" s="5">
        <v>659.55145506933331</v>
      </c>
      <c r="E296" s="5">
        <v>74.385411874391139</v>
      </c>
      <c r="F296" s="5">
        <v>0</v>
      </c>
      <c r="G296" s="5">
        <v>18193.465347290039</v>
      </c>
      <c r="H296" s="5">
        <v>3.2359868114895107E-5</v>
      </c>
      <c r="I296">
        <v>-17591.2</v>
      </c>
      <c r="J296" s="5">
        <f>liquidity_data[[#This Row],[w_m]]+liquidity_data[[#This Row],[c_m]]+liquidity_data[[#This Row],[cf_m]]+liquidity_data[[#This Row],[kf_m]]+liquidity_data[[#This Row],[equity]]</f>
        <v>12000.00845023659</v>
      </c>
      <c r="K296" s="5">
        <f>liquidity_data[[#This Row],[kf_d]]+liquidity_data[[#This Row],[cf_d]]</f>
        <v>3.2359868114895107E-5</v>
      </c>
      <c r="L296" s="5">
        <f>liquidity_data[[#This Row],[TOTAL_M]]-liquidity_data[[#This Row],[TOTAL_D]]</f>
        <v>12000.008417876721</v>
      </c>
      <c r="M296" s="6">
        <f>liquidity_data[[#This Row],[M-D]]/L295-1</f>
        <v>-2.0052060279995843E-6</v>
      </c>
    </row>
    <row r="297" spans="1:13" x14ac:dyDescent="0.25">
      <c r="A297" s="7" t="s">
        <v>146</v>
      </c>
      <c r="B297">
        <v>296</v>
      </c>
      <c r="C297" s="5">
        <v>10680.610888883093</v>
      </c>
      <c r="D297" s="5">
        <v>667.25237026810646</v>
      </c>
      <c r="E297" s="5">
        <v>97.748400868847966</v>
      </c>
      <c r="F297" s="5">
        <v>0</v>
      </c>
      <c r="G297" s="5">
        <v>18349.100479125977</v>
      </c>
      <c r="H297" s="5">
        <v>3.0741874681439185E-5</v>
      </c>
      <c r="I297">
        <v>-17794.7</v>
      </c>
      <c r="J297" s="5">
        <f>liquidity_data[[#This Row],[w_m]]+liquidity_data[[#This Row],[c_m]]+liquidity_data[[#This Row],[cf_m]]+liquidity_data[[#This Row],[kf_m]]+liquidity_data[[#This Row],[equity]]</f>
        <v>12000.012139146023</v>
      </c>
      <c r="K297" s="5">
        <f>liquidity_data[[#This Row],[kf_d]]+liquidity_data[[#This Row],[cf_d]]</f>
        <v>3.0741874681439185E-5</v>
      </c>
      <c r="L297" s="5">
        <f>liquidity_data[[#This Row],[TOTAL_M]]-liquidity_data[[#This Row],[TOTAL_D]]</f>
        <v>12000.012108404149</v>
      </c>
      <c r="M297" s="6">
        <f>liquidity_data[[#This Row],[M-D]]/L296-1</f>
        <v>3.0754373669950041E-7</v>
      </c>
    </row>
    <row r="298" spans="1:13" x14ac:dyDescent="0.25">
      <c r="A298" s="7" t="s">
        <v>146</v>
      </c>
      <c r="B298">
        <v>297</v>
      </c>
      <c r="C298" s="5">
        <v>10704.1276308503</v>
      </c>
      <c r="D298" s="5">
        <v>676.46584937721491</v>
      </c>
      <c r="E298" s="5">
        <v>65.719764170236886</v>
      </c>
      <c r="F298" s="5">
        <v>0</v>
      </c>
      <c r="G298" s="5">
        <v>18525.101150512695</v>
      </c>
      <c r="H298" s="5">
        <v>2.9204780901181948E-5</v>
      </c>
      <c r="I298">
        <v>-17971.400000000001</v>
      </c>
      <c r="J298" s="5">
        <f>liquidity_data[[#This Row],[w_m]]+liquidity_data[[#This Row],[c_m]]+liquidity_data[[#This Row],[cf_m]]+liquidity_data[[#This Row],[kf_m]]+liquidity_data[[#This Row],[equity]]</f>
        <v>12000.014394910446</v>
      </c>
      <c r="K298" s="5">
        <f>liquidity_data[[#This Row],[kf_d]]+liquidity_data[[#This Row],[cf_d]]</f>
        <v>2.9204780901181948E-5</v>
      </c>
      <c r="L298" s="5">
        <f>liquidity_data[[#This Row],[TOTAL_M]]-liquidity_data[[#This Row],[TOTAL_D]]</f>
        <v>12000.014365705665</v>
      </c>
      <c r="M298" s="6">
        <f>liquidity_data[[#This Row],[M-D]]/L297-1</f>
        <v>1.8810826984960727E-7</v>
      </c>
    </row>
    <row r="299" spans="1:13" x14ac:dyDescent="0.25">
      <c r="A299" s="7" t="s">
        <v>146</v>
      </c>
      <c r="B299">
        <v>298</v>
      </c>
      <c r="C299" s="5">
        <v>10721.127543726237</v>
      </c>
      <c r="D299" s="5">
        <v>692.63476661592722</v>
      </c>
      <c r="E299" s="5">
        <v>24.240048602223396</v>
      </c>
      <c r="F299" s="5">
        <v>0</v>
      </c>
      <c r="G299" s="5">
        <v>18749.319107055664</v>
      </c>
      <c r="H299" s="5">
        <v>2.7744542506979997E-5</v>
      </c>
      <c r="I299">
        <v>-18187.3</v>
      </c>
      <c r="J299" s="5">
        <f>liquidity_data[[#This Row],[w_m]]+liquidity_data[[#This Row],[c_m]]+liquidity_data[[#This Row],[cf_m]]+liquidity_data[[#This Row],[kf_m]]+liquidity_data[[#This Row],[equity]]</f>
        <v>12000.021466000053</v>
      </c>
      <c r="K299" s="5">
        <f>liquidity_data[[#This Row],[kf_d]]+liquidity_data[[#This Row],[cf_d]]</f>
        <v>2.7744542506979997E-5</v>
      </c>
      <c r="L299" s="5">
        <f>liquidity_data[[#This Row],[TOTAL_M]]-liquidity_data[[#This Row],[TOTAL_D]]</f>
        <v>12000.02143825551</v>
      </c>
      <c r="M299" s="6">
        <f>liquidity_data[[#This Row],[M-D]]/L298-1</f>
        <v>5.8937844804596295E-7</v>
      </c>
    </row>
    <row r="300" spans="1:13" x14ac:dyDescent="0.25">
      <c r="A300" s="7" t="s">
        <v>146</v>
      </c>
      <c r="B300">
        <v>299</v>
      </c>
      <c r="C300" s="5">
        <v>10741.666432990751</v>
      </c>
      <c r="D300" s="5">
        <v>702.18735530995764</v>
      </c>
      <c r="E300" s="5">
        <v>49.282890446484089</v>
      </c>
      <c r="F300" s="5">
        <v>0</v>
      </c>
      <c r="G300" s="5">
        <v>18961.205993652344</v>
      </c>
      <c r="H300" s="5">
        <v>2.6357314823144407E-5</v>
      </c>
      <c r="I300">
        <v>-18454.3</v>
      </c>
      <c r="J300" s="5">
        <f>liquidity_data[[#This Row],[w_m]]+liquidity_data[[#This Row],[c_m]]+liquidity_data[[#This Row],[cf_m]]+liquidity_data[[#This Row],[kf_m]]+liquidity_data[[#This Row],[equity]]</f>
        <v>12000.042672399537</v>
      </c>
      <c r="K300" s="5">
        <f>liquidity_data[[#This Row],[kf_d]]+liquidity_data[[#This Row],[cf_d]]</f>
        <v>2.6357314823144407E-5</v>
      </c>
      <c r="L300" s="5">
        <f>liquidity_data[[#This Row],[TOTAL_M]]-liquidity_data[[#This Row],[TOTAL_D]]</f>
        <v>12000.042646042222</v>
      </c>
      <c r="M300" s="6">
        <f>liquidity_data[[#This Row],[M-D]]/L299-1</f>
        <v>1.7673124019790265E-6</v>
      </c>
    </row>
    <row r="301" spans="1:13" x14ac:dyDescent="0.25">
      <c r="A301" s="7" t="s">
        <v>146</v>
      </c>
      <c r="B301">
        <v>300</v>
      </c>
      <c r="C301" s="5">
        <v>10766.688422020641</v>
      </c>
      <c r="D301" s="5">
        <v>709.00655954354443</v>
      </c>
      <c r="E301" s="5">
        <v>55.609503757208586</v>
      </c>
      <c r="F301" s="5">
        <v>0</v>
      </c>
      <c r="G301" s="5">
        <v>19147.719329833984</v>
      </c>
      <c r="H301" s="5">
        <v>2.5039449127461921E-5</v>
      </c>
      <c r="I301">
        <v>-18679</v>
      </c>
      <c r="J301" s="5">
        <f>liquidity_data[[#This Row],[w_m]]+liquidity_data[[#This Row],[c_m]]+liquidity_data[[#This Row],[cf_m]]+liquidity_data[[#This Row],[kf_m]]+liquidity_data[[#This Row],[equity]]</f>
        <v>12000.023815155379</v>
      </c>
      <c r="K301" s="5">
        <f>liquidity_data[[#This Row],[kf_d]]+liquidity_data[[#This Row],[cf_d]]</f>
        <v>2.5039449127461921E-5</v>
      </c>
      <c r="L301" s="5">
        <f>liquidity_data[[#This Row],[TOTAL_M]]-liquidity_data[[#This Row],[TOTAL_D]]</f>
        <v>12000.023790115929</v>
      </c>
      <c r="M301" s="6">
        <f>liquidity_data[[#This Row],[M-D]]/L300-1</f>
        <v>-1.5713216069412894E-6</v>
      </c>
    </row>
    <row r="302" spans="1:13" x14ac:dyDescent="0.25">
      <c r="A302" s="7" t="s">
        <v>146</v>
      </c>
      <c r="B302">
        <v>301</v>
      </c>
      <c r="C302" s="5">
        <v>10781.898311671277</v>
      </c>
      <c r="D302" s="5">
        <v>736.1390306497924</v>
      </c>
      <c r="E302" s="5">
        <v>0.24844016134738922</v>
      </c>
      <c r="F302" s="5">
        <v>0</v>
      </c>
      <c r="G302" s="5">
        <v>19370.628051757813</v>
      </c>
      <c r="H302" s="5">
        <v>2.3787476720826817E-5</v>
      </c>
      <c r="I302">
        <v>-18888.900000000001</v>
      </c>
      <c r="J302" s="5">
        <f>liquidity_data[[#This Row],[w_m]]+liquidity_data[[#This Row],[c_m]]+liquidity_data[[#This Row],[cf_m]]+liquidity_data[[#This Row],[kf_m]]+liquidity_data[[#This Row],[equity]]</f>
        <v>12000.013834240228</v>
      </c>
      <c r="K302" s="5">
        <f>liquidity_data[[#This Row],[kf_d]]+liquidity_data[[#This Row],[cf_d]]</f>
        <v>2.3787476720826817E-5</v>
      </c>
      <c r="L302" s="5">
        <f>liquidity_data[[#This Row],[TOTAL_M]]-liquidity_data[[#This Row],[TOTAL_D]]</f>
        <v>12000.01381045275</v>
      </c>
      <c r="M302" s="6">
        <f>liquidity_data[[#This Row],[M-D]]/L301-1</f>
        <v>-8.3163694952759215E-7</v>
      </c>
    </row>
    <row r="303" spans="1:13" x14ac:dyDescent="0.25">
      <c r="A303" s="7" t="s">
        <v>146</v>
      </c>
      <c r="B303">
        <v>302</v>
      </c>
      <c r="C303" s="5">
        <v>10817.454882615246</v>
      </c>
      <c r="D303" s="5">
        <v>741.74827546573943</v>
      </c>
      <c r="E303" s="5">
        <v>28.381304401904345</v>
      </c>
      <c r="F303" s="5">
        <v>0</v>
      </c>
      <c r="G303" s="5">
        <v>19573.038879394531</v>
      </c>
      <c r="H303" s="5">
        <v>2.2598103043947049E-5</v>
      </c>
      <c r="I303">
        <v>-19160.599999999999</v>
      </c>
      <c r="J303" s="5">
        <f>liquidity_data[[#This Row],[w_m]]+liquidity_data[[#This Row],[c_m]]+liquidity_data[[#This Row],[cf_m]]+liquidity_data[[#This Row],[kf_m]]+liquidity_data[[#This Row],[equity]]</f>
        <v>12000.023341877422</v>
      </c>
      <c r="K303" s="5">
        <f>liquidity_data[[#This Row],[kf_d]]+liquidity_data[[#This Row],[cf_d]]</f>
        <v>2.2598103043947049E-5</v>
      </c>
      <c r="L303" s="5">
        <f>liquidity_data[[#This Row],[TOTAL_M]]-liquidity_data[[#This Row],[TOTAL_D]]</f>
        <v>12000.023319279318</v>
      </c>
      <c r="M303" s="6">
        <f>liquidity_data[[#This Row],[M-D]]/L302-1</f>
        <v>7.9240130212987481E-7</v>
      </c>
    </row>
    <row r="304" spans="1:13" x14ac:dyDescent="0.25">
      <c r="A304" s="7" t="s">
        <v>146</v>
      </c>
      <c r="B304">
        <v>303</v>
      </c>
      <c r="C304" s="5">
        <v>10830.545222882181</v>
      </c>
      <c r="D304" s="5">
        <v>770.1963652963168</v>
      </c>
      <c r="E304" s="5">
        <v>-14.23724303022027</v>
      </c>
      <c r="F304" s="5">
        <v>0</v>
      </c>
      <c r="G304" s="5">
        <v>19814.833740234375</v>
      </c>
      <c r="H304" s="5">
        <v>2.1468198255547577E-5</v>
      </c>
      <c r="I304">
        <v>-19401.3</v>
      </c>
      <c r="J304" s="5">
        <f>liquidity_data[[#This Row],[w_m]]+liquidity_data[[#This Row],[c_m]]+liquidity_data[[#This Row],[cf_m]]+liquidity_data[[#This Row],[kf_m]]+liquidity_data[[#This Row],[equity]]</f>
        <v>12000.038085382654</v>
      </c>
      <c r="K304" s="5">
        <f>liquidity_data[[#This Row],[kf_d]]+liquidity_data[[#This Row],[cf_d]]</f>
        <v>2.1468198255547577E-5</v>
      </c>
      <c r="L304" s="5">
        <f>liquidity_data[[#This Row],[TOTAL_M]]-liquidity_data[[#This Row],[TOTAL_D]]</f>
        <v>12000.038063914455</v>
      </c>
      <c r="M304" s="6">
        <f>liquidity_data[[#This Row],[M-D]]/L303-1</f>
        <v>1.2287172070912789E-6</v>
      </c>
    </row>
    <row r="305" spans="1:13" x14ac:dyDescent="0.25">
      <c r="A305" s="7" t="s">
        <v>146</v>
      </c>
      <c r="B305">
        <v>304</v>
      </c>
      <c r="C305" s="5">
        <v>10850.044710222166</v>
      </c>
      <c r="D305" s="5">
        <v>774.39209629414836</v>
      </c>
      <c r="E305" s="5">
        <v>42.676749426871538</v>
      </c>
      <c r="F305" s="5">
        <v>0</v>
      </c>
      <c r="G305" s="5">
        <v>19987.269897460938</v>
      </c>
      <c r="H305" s="5">
        <v>2.0394787490829458E-5</v>
      </c>
      <c r="I305">
        <v>-19654.400000000001</v>
      </c>
      <c r="J305" s="5">
        <f>liquidity_data[[#This Row],[w_m]]+liquidity_data[[#This Row],[c_m]]+liquidity_data[[#This Row],[cf_m]]+liquidity_data[[#This Row],[kf_m]]+liquidity_data[[#This Row],[equity]]</f>
        <v>11999.983453404122</v>
      </c>
      <c r="K305" s="5">
        <f>liquidity_data[[#This Row],[kf_d]]+liquidity_data[[#This Row],[cf_d]]</f>
        <v>2.0394787490829458E-5</v>
      </c>
      <c r="L305" s="5">
        <f>liquidity_data[[#This Row],[TOTAL_M]]-liquidity_data[[#This Row],[TOTAL_D]]</f>
        <v>11999.983433009334</v>
      </c>
      <c r="M305" s="6">
        <f>liquidity_data[[#This Row],[M-D]]/L304-1</f>
        <v>-4.5525609859708993E-6</v>
      </c>
    </row>
    <row r="306" spans="1:13" x14ac:dyDescent="0.25">
      <c r="A306" s="7" t="s">
        <v>146</v>
      </c>
      <c r="B306">
        <v>305</v>
      </c>
      <c r="C306" s="5">
        <v>10867.492044348968</v>
      </c>
      <c r="D306" s="5">
        <v>786.16503809392452</v>
      </c>
      <c r="E306" s="5">
        <v>52.463312102481723</v>
      </c>
      <c r="F306" s="5">
        <v>0</v>
      </c>
      <c r="G306" s="5">
        <v>20170.181762695313</v>
      </c>
      <c r="H306" s="5">
        <v>1.9375048424308261E-5</v>
      </c>
      <c r="I306">
        <v>-19876.3</v>
      </c>
      <c r="J306" s="5">
        <f>liquidity_data[[#This Row],[w_m]]+liquidity_data[[#This Row],[c_m]]+liquidity_data[[#This Row],[cf_m]]+liquidity_data[[#This Row],[kf_m]]+liquidity_data[[#This Row],[equity]]</f>
        <v>12000.002157240688</v>
      </c>
      <c r="K306" s="5">
        <f>liquidity_data[[#This Row],[kf_d]]+liquidity_data[[#This Row],[cf_d]]</f>
        <v>1.9375048424308261E-5</v>
      </c>
      <c r="L306" s="5">
        <f>liquidity_data[[#This Row],[TOTAL_M]]-liquidity_data[[#This Row],[TOTAL_D]]</f>
        <v>12000.002137865638</v>
      </c>
      <c r="M306" s="6">
        <f>liquidity_data[[#This Row],[M-D]]/L305-1</f>
        <v>1.5587401773764498E-6</v>
      </c>
    </row>
    <row r="307" spans="1:13" x14ac:dyDescent="0.25">
      <c r="A307" s="7" t="s">
        <v>146</v>
      </c>
      <c r="B307">
        <v>306</v>
      </c>
      <c r="C307" s="5">
        <v>10889.172932658577</v>
      </c>
      <c r="D307" s="5">
        <v>813.42085957527161</v>
      </c>
      <c r="E307" s="5">
        <v>-68.371763719245791</v>
      </c>
      <c r="F307" s="5">
        <v>0</v>
      </c>
      <c r="G307" s="5">
        <v>20473.415496826172</v>
      </c>
      <c r="H307" s="5">
        <v>1.8406295765771574E-5</v>
      </c>
      <c r="I307">
        <v>-20107.599999999999</v>
      </c>
      <c r="J307" s="5">
        <f>liquidity_data[[#This Row],[w_m]]+liquidity_data[[#This Row],[c_m]]+liquidity_data[[#This Row],[cf_m]]+liquidity_data[[#This Row],[kf_m]]+liquidity_data[[#This Row],[equity]]</f>
        <v>12000.037525340776</v>
      </c>
      <c r="K307" s="5">
        <f>liquidity_data[[#This Row],[kf_d]]+liquidity_data[[#This Row],[cf_d]]</f>
        <v>1.8406295765771574E-5</v>
      </c>
      <c r="L307" s="5">
        <f>liquidity_data[[#This Row],[TOTAL_M]]-liquidity_data[[#This Row],[TOTAL_D]]</f>
        <v>12000.037506934481</v>
      </c>
      <c r="M307" s="6">
        <f>liquidity_data[[#This Row],[M-D]]/L306-1</f>
        <v>2.9474218783409611E-6</v>
      </c>
    </row>
    <row r="308" spans="1:13" x14ac:dyDescent="0.25">
      <c r="A308" s="7" t="s">
        <v>146</v>
      </c>
      <c r="B308">
        <v>307</v>
      </c>
      <c r="C308" s="5">
        <v>10916.949058527243</v>
      </c>
      <c r="D308" s="5">
        <v>798.99039775878191</v>
      </c>
      <c r="E308" s="5">
        <v>97.299591142684221</v>
      </c>
      <c r="F308" s="5">
        <v>0</v>
      </c>
      <c r="G308" s="5">
        <v>20626.203399658203</v>
      </c>
      <c r="H308" s="5">
        <v>1.7485981260279004E-5</v>
      </c>
      <c r="I308">
        <v>-20439.400000000001</v>
      </c>
      <c r="J308" s="5">
        <f>liquidity_data[[#This Row],[w_m]]+liquidity_data[[#This Row],[c_m]]+liquidity_data[[#This Row],[cf_m]]+liquidity_data[[#This Row],[kf_m]]+liquidity_data[[#This Row],[equity]]</f>
        <v>12000.042447086911</v>
      </c>
      <c r="K308" s="5">
        <f>liquidity_data[[#This Row],[kf_d]]+liquidity_data[[#This Row],[cf_d]]</f>
        <v>1.7485981260279004E-5</v>
      </c>
      <c r="L308" s="5">
        <f>liquidity_data[[#This Row],[TOTAL_M]]-liquidity_data[[#This Row],[TOTAL_D]]</f>
        <v>12000.04242960093</v>
      </c>
      <c r="M308" s="6">
        <f>liquidity_data[[#This Row],[M-D]]/L307-1</f>
        <v>4.1022092189813009E-7</v>
      </c>
    </row>
    <row r="309" spans="1:13" x14ac:dyDescent="0.25">
      <c r="A309" s="7" t="s">
        <v>146</v>
      </c>
      <c r="B309">
        <v>308</v>
      </c>
      <c r="C309" s="5">
        <v>10930.932986257947</v>
      </c>
      <c r="D309" s="5">
        <v>799.91746767424047</v>
      </c>
      <c r="E309" s="5">
        <v>120.18224183470011</v>
      </c>
      <c r="F309" s="5">
        <v>0</v>
      </c>
      <c r="G309" s="5">
        <v>20781.589996337891</v>
      </c>
      <c r="H309" s="5">
        <v>1.6611682205791567E-5</v>
      </c>
      <c r="I309">
        <v>-20632.599999999999</v>
      </c>
      <c r="J309" s="5">
        <f>liquidity_data[[#This Row],[w_m]]+liquidity_data[[#This Row],[c_m]]+liquidity_data[[#This Row],[cf_m]]+liquidity_data[[#This Row],[kf_m]]+liquidity_data[[#This Row],[equity]]</f>
        <v>12000.02269210478</v>
      </c>
      <c r="K309" s="5">
        <f>liquidity_data[[#This Row],[kf_d]]+liquidity_data[[#This Row],[cf_d]]</f>
        <v>1.6611682205791567E-5</v>
      </c>
      <c r="L309" s="5">
        <f>liquidity_data[[#This Row],[TOTAL_M]]-liquidity_data[[#This Row],[TOTAL_D]]</f>
        <v>12000.022675493097</v>
      </c>
      <c r="M309" s="6">
        <f>liquidity_data[[#This Row],[M-D]]/L308-1</f>
        <v>-1.6461698321146301E-6</v>
      </c>
    </row>
    <row r="310" spans="1:13" x14ac:dyDescent="0.25">
      <c r="A310" s="7" t="s">
        <v>146</v>
      </c>
      <c r="B310">
        <v>309</v>
      </c>
      <c r="C310" s="5">
        <v>10950.156300442759</v>
      </c>
      <c r="D310" s="5">
        <v>812.26881184242666</v>
      </c>
      <c r="E310" s="5">
        <v>72.602496914565563</v>
      </c>
      <c r="F310" s="5">
        <v>0</v>
      </c>
      <c r="G310" s="5">
        <v>20992.77099609375</v>
      </c>
      <c r="H310" s="5">
        <v>1.5781097637557195E-5</v>
      </c>
      <c r="I310">
        <v>-20827.8</v>
      </c>
      <c r="J310" s="5">
        <f>liquidity_data[[#This Row],[w_m]]+liquidity_data[[#This Row],[c_m]]+liquidity_data[[#This Row],[cf_m]]+liquidity_data[[#This Row],[kf_m]]+liquidity_data[[#This Row],[equity]]</f>
        <v>11999.998605293502</v>
      </c>
      <c r="K310" s="5">
        <f>liquidity_data[[#This Row],[kf_d]]+liquidity_data[[#This Row],[cf_d]]</f>
        <v>1.5781097637557195E-5</v>
      </c>
      <c r="L310" s="5">
        <f>liquidity_data[[#This Row],[TOTAL_M]]-liquidity_data[[#This Row],[TOTAL_D]]</f>
        <v>11999.998589512405</v>
      </c>
      <c r="M310" s="6">
        <f>liquidity_data[[#This Row],[M-D]]/L309-1</f>
        <v>-2.0071612649719128E-6</v>
      </c>
    </row>
    <row r="311" spans="1:13" x14ac:dyDescent="0.25">
      <c r="A311" s="7" t="s">
        <v>146</v>
      </c>
      <c r="B311">
        <v>310</v>
      </c>
      <c r="C311" s="5">
        <v>10979.019850633922</v>
      </c>
      <c r="D311" s="5">
        <v>832.53491484932601</v>
      </c>
      <c r="E311" s="5">
        <v>17.811436645686626</v>
      </c>
      <c r="F311" s="5">
        <v>0</v>
      </c>
      <c r="G311" s="5">
        <v>21252.815856933594</v>
      </c>
      <c r="H311" s="5">
        <v>1.4992043418260437E-5</v>
      </c>
      <c r="I311">
        <v>-21082.2</v>
      </c>
      <c r="J311" s="5">
        <f>liquidity_data[[#This Row],[w_m]]+liquidity_data[[#This Row],[c_m]]+liquidity_data[[#This Row],[cf_m]]+liquidity_data[[#This Row],[kf_m]]+liquidity_data[[#This Row],[equity]]</f>
        <v>11999.982059062528</v>
      </c>
      <c r="K311" s="5">
        <f>liquidity_data[[#This Row],[kf_d]]+liquidity_data[[#This Row],[cf_d]]</f>
        <v>1.4992043418260437E-5</v>
      </c>
      <c r="L311" s="5">
        <f>liquidity_data[[#This Row],[TOTAL_M]]-liquidity_data[[#This Row],[TOTAL_D]]</f>
        <v>11999.982044070484</v>
      </c>
      <c r="M311" s="6">
        <f>liquidity_data[[#This Row],[M-D]]/L310-1</f>
        <v>-1.3787869888037818E-6</v>
      </c>
    </row>
    <row r="312" spans="1:13" x14ac:dyDescent="0.25">
      <c r="A312" s="7" t="s">
        <v>146</v>
      </c>
      <c r="B312">
        <v>311</v>
      </c>
      <c r="C312" s="5">
        <v>11013.265034582</v>
      </c>
      <c r="D312" s="5">
        <v>851.91680398583412</v>
      </c>
      <c r="E312" s="5">
        <v>-34.512039691209793</v>
      </c>
      <c r="F312" s="5">
        <v>0</v>
      </c>
      <c r="G312" s="5">
        <v>21521.111572265625</v>
      </c>
      <c r="H312" s="5">
        <v>1.4242441132239492E-5</v>
      </c>
      <c r="I312">
        <v>-21351.8</v>
      </c>
      <c r="J312" s="5">
        <f>liquidity_data[[#This Row],[w_m]]+liquidity_data[[#This Row],[c_m]]+liquidity_data[[#This Row],[cf_m]]+liquidity_data[[#This Row],[kf_m]]+liquidity_data[[#This Row],[equity]]</f>
        <v>11999.98137114225</v>
      </c>
      <c r="K312" s="5">
        <f>liquidity_data[[#This Row],[kf_d]]+liquidity_data[[#This Row],[cf_d]]</f>
        <v>1.4242441132239492E-5</v>
      </c>
      <c r="L312" s="5">
        <f>liquidity_data[[#This Row],[TOTAL_M]]-liquidity_data[[#This Row],[TOTAL_D]]</f>
        <v>11999.981356899809</v>
      </c>
      <c r="M312" s="6">
        <f>liquidity_data[[#This Row],[M-D]]/L311-1</f>
        <v>-5.7264308628290905E-8</v>
      </c>
    </row>
    <row r="313" spans="1:13" x14ac:dyDescent="0.25">
      <c r="A313" s="7" t="s">
        <v>146</v>
      </c>
      <c r="B313">
        <v>312</v>
      </c>
      <c r="C313" s="5">
        <v>11049.572824163653</v>
      </c>
      <c r="D313" s="5">
        <v>848.87914419174194</v>
      </c>
      <c r="E313" s="5">
        <v>70.776557918637991</v>
      </c>
      <c r="F313" s="5">
        <v>0</v>
      </c>
      <c r="G313" s="5">
        <v>21703.849548339844</v>
      </c>
      <c r="H313" s="5">
        <v>1.353031930761972E-5</v>
      </c>
      <c r="I313">
        <v>-21673.1</v>
      </c>
      <c r="J313" s="5">
        <f>liquidity_data[[#This Row],[w_m]]+liquidity_data[[#This Row],[c_m]]+liquidity_data[[#This Row],[cf_m]]+liquidity_data[[#This Row],[kf_m]]+liquidity_data[[#This Row],[equity]]</f>
        <v>11999.978074613879</v>
      </c>
      <c r="K313" s="5">
        <f>liquidity_data[[#This Row],[kf_d]]+liquidity_data[[#This Row],[cf_d]]</f>
        <v>1.353031930761972E-5</v>
      </c>
      <c r="L313" s="5">
        <f>liquidity_data[[#This Row],[TOTAL_M]]-liquidity_data[[#This Row],[TOTAL_D]]</f>
        <v>11999.978061083559</v>
      </c>
      <c r="M313" s="6">
        <f>liquidity_data[[#This Row],[M-D]]/L312-1</f>
        <v>-2.7465178087382469E-7</v>
      </c>
    </row>
    <row r="314" spans="1:13" x14ac:dyDescent="0.25">
      <c r="A314" s="7" t="s">
        <v>146</v>
      </c>
      <c r="B314">
        <v>313</v>
      </c>
      <c r="C314" s="5">
        <v>11072.792593836144</v>
      </c>
      <c r="D314" s="5">
        <v>877.56646728515625</v>
      </c>
      <c r="E314" s="5">
        <v>-28.030368313193321</v>
      </c>
      <c r="F314" s="5">
        <v>0</v>
      </c>
      <c r="G314" s="5">
        <v>21964.677490234375</v>
      </c>
      <c r="H314" s="5">
        <v>1.2853802630274913E-5</v>
      </c>
      <c r="I314">
        <v>-21887</v>
      </c>
      <c r="J314" s="5">
        <f>liquidity_data[[#This Row],[w_m]]+liquidity_data[[#This Row],[c_m]]+liquidity_data[[#This Row],[cf_m]]+liquidity_data[[#This Row],[kf_m]]+liquidity_data[[#This Row],[equity]]</f>
        <v>12000.006183042482</v>
      </c>
      <c r="K314" s="5">
        <f>liquidity_data[[#This Row],[kf_d]]+liquidity_data[[#This Row],[cf_d]]</f>
        <v>1.2853802630274913E-5</v>
      </c>
      <c r="L314" s="5">
        <f>liquidity_data[[#This Row],[TOTAL_M]]-liquidity_data[[#This Row],[TOTAL_D]]</f>
        <v>12000.006170188679</v>
      </c>
      <c r="M314" s="6">
        <f>liquidity_data[[#This Row],[M-D]]/L313-1</f>
        <v>2.3424297093121993E-6</v>
      </c>
    </row>
    <row r="315" spans="1:13" x14ac:dyDescent="0.25">
      <c r="A315" s="7" t="s">
        <v>146</v>
      </c>
      <c r="B315">
        <v>314</v>
      </c>
      <c r="C315" s="5">
        <v>11106.352290755429</v>
      </c>
      <c r="D315" s="5">
        <v>884.21068501472473</v>
      </c>
      <c r="E315" s="5">
        <v>21.633850075304508</v>
      </c>
      <c r="F315" s="5">
        <v>0</v>
      </c>
      <c r="G315" s="5">
        <v>22186.391448974609</v>
      </c>
      <c r="H315" s="5">
        <v>1.2211112739635155E-5</v>
      </c>
      <c r="I315">
        <v>-22198.6</v>
      </c>
      <c r="J315" s="5">
        <f>liquidity_data[[#This Row],[w_m]]+liquidity_data[[#This Row],[c_m]]+liquidity_data[[#This Row],[cf_m]]+liquidity_data[[#This Row],[kf_m]]+liquidity_data[[#This Row],[equity]]</f>
        <v>11999.988274820069</v>
      </c>
      <c r="K315" s="5">
        <f>liquidity_data[[#This Row],[kf_d]]+liquidity_data[[#This Row],[cf_d]]</f>
        <v>1.2211112739635155E-5</v>
      </c>
      <c r="L315" s="5">
        <f>liquidity_data[[#This Row],[TOTAL_M]]-liquidity_data[[#This Row],[TOTAL_D]]</f>
        <v>11999.988262608957</v>
      </c>
      <c r="M315" s="6">
        <f>liquidity_data[[#This Row],[M-D]]/L314-1</f>
        <v>-1.4922975428710572E-6</v>
      </c>
    </row>
    <row r="316" spans="1:13" x14ac:dyDescent="0.25">
      <c r="A316" s="7" t="s">
        <v>146</v>
      </c>
      <c r="B316">
        <v>315</v>
      </c>
      <c r="C316" s="5">
        <v>11119.58108509687</v>
      </c>
      <c r="D316" s="5">
        <v>923.73049251362681</v>
      </c>
      <c r="E316" s="5">
        <v>-58.819112710654736</v>
      </c>
      <c r="F316" s="5">
        <v>0</v>
      </c>
      <c r="G316" s="5">
        <v>22470.441711425781</v>
      </c>
      <c r="H316" s="5">
        <v>1.1600557318303117E-5</v>
      </c>
      <c r="I316">
        <v>-22454.9</v>
      </c>
      <c r="J316" s="5">
        <f>liquidity_data[[#This Row],[w_m]]+liquidity_data[[#This Row],[c_m]]+liquidity_data[[#This Row],[cf_m]]+liquidity_data[[#This Row],[kf_m]]+liquidity_data[[#This Row],[equity]]</f>
        <v>12000.034176325622</v>
      </c>
      <c r="K316" s="5">
        <f>liquidity_data[[#This Row],[kf_d]]+liquidity_data[[#This Row],[cf_d]]</f>
        <v>1.1600557318303117E-5</v>
      </c>
      <c r="L316" s="5">
        <f>liquidity_data[[#This Row],[TOTAL_M]]-liquidity_data[[#This Row],[TOTAL_D]]</f>
        <v>12000.034164725064</v>
      </c>
      <c r="M316" s="6">
        <f>liquidity_data[[#This Row],[M-D]]/L315-1</f>
        <v>3.8251800837940664E-6</v>
      </c>
    </row>
    <row r="317" spans="1:13" x14ac:dyDescent="0.25">
      <c r="A317" s="7" t="s">
        <v>146</v>
      </c>
      <c r="B317">
        <v>316</v>
      </c>
      <c r="C317" s="5">
        <v>11147.474300863396</v>
      </c>
      <c r="D317" s="5">
        <v>926.21667424961925</v>
      </c>
      <c r="E317" s="5">
        <v>21.353655807673931</v>
      </c>
      <c r="F317" s="5">
        <v>0</v>
      </c>
      <c r="G317" s="5">
        <v>22677.715087890625</v>
      </c>
      <c r="H317" s="5">
        <v>1.1020529562699721E-5</v>
      </c>
      <c r="I317">
        <v>-22772.799999999999</v>
      </c>
      <c r="J317" s="5">
        <f>liquidity_data[[#This Row],[w_m]]+liquidity_data[[#This Row],[c_m]]+liquidity_data[[#This Row],[cf_m]]+liquidity_data[[#This Row],[kf_m]]+liquidity_data[[#This Row],[equity]]</f>
        <v>11999.959718811315</v>
      </c>
      <c r="K317" s="5">
        <f>liquidity_data[[#This Row],[kf_d]]+liquidity_data[[#This Row],[cf_d]]</f>
        <v>1.1020529562699721E-5</v>
      </c>
      <c r="L317" s="5">
        <f>liquidity_data[[#This Row],[TOTAL_M]]-liquidity_data[[#This Row],[TOTAL_D]]</f>
        <v>11999.959707790786</v>
      </c>
      <c r="M317" s="6">
        <f>liquidity_data[[#This Row],[M-D]]/L316-1</f>
        <v>-6.2047268579723536E-6</v>
      </c>
    </row>
    <row r="318" spans="1:13" x14ac:dyDescent="0.25">
      <c r="A318" s="7" t="s">
        <v>146</v>
      </c>
      <c r="B318">
        <v>317</v>
      </c>
      <c r="C318" s="5">
        <v>11165.58542412956</v>
      </c>
      <c r="D318" s="5">
        <v>943.66444156039506</v>
      </c>
      <c r="E318" s="5">
        <v>11.197515428066254</v>
      </c>
      <c r="F318" s="5">
        <v>0</v>
      </c>
      <c r="G318" s="5">
        <v>22896.869720458984</v>
      </c>
      <c r="H318" s="5">
        <v>1.046950304939287E-5</v>
      </c>
      <c r="I318">
        <v>-23017.3</v>
      </c>
      <c r="J318" s="5">
        <f>liquidity_data[[#This Row],[w_m]]+liquidity_data[[#This Row],[c_m]]+liquidity_data[[#This Row],[cf_m]]+liquidity_data[[#This Row],[kf_m]]+liquidity_data[[#This Row],[equity]]</f>
        <v>12000.017101577007</v>
      </c>
      <c r="K318" s="5">
        <f>liquidity_data[[#This Row],[kf_d]]+liquidity_data[[#This Row],[cf_d]]</f>
        <v>1.046950304939287E-5</v>
      </c>
      <c r="L318" s="5">
        <f>liquidity_data[[#This Row],[TOTAL_M]]-liquidity_data[[#This Row],[TOTAL_D]]</f>
        <v>12000.017091107504</v>
      </c>
      <c r="M318" s="6">
        <f>liquidity_data[[#This Row],[M-D]]/L317-1</f>
        <v>4.7819591162401309E-6</v>
      </c>
    </row>
    <row r="319" spans="1:13" x14ac:dyDescent="0.25">
      <c r="A319" s="7" t="s">
        <v>146</v>
      </c>
      <c r="B319">
        <v>318</v>
      </c>
      <c r="C319" s="5">
        <v>11191.306538620498</v>
      </c>
      <c r="D319" s="5">
        <v>963.53668075799942</v>
      </c>
      <c r="E319" s="5">
        <v>-34.181705985218287</v>
      </c>
      <c r="F319" s="5">
        <v>0</v>
      </c>
      <c r="G319" s="5">
        <v>23150.615661621094</v>
      </c>
      <c r="H319" s="5">
        <v>9.9460278484286846E-6</v>
      </c>
      <c r="I319">
        <v>-23271.3</v>
      </c>
      <c r="J319" s="5">
        <f>liquidity_data[[#This Row],[w_m]]+liquidity_data[[#This Row],[c_m]]+liquidity_data[[#This Row],[cf_m]]+liquidity_data[[#This Row],[kf_m]]+liquidity_data[[#This Row],[equity]]</f>
        <v>11999.977175014374</v>
      </c>
      <c r="K319" s="5">
        <f>liquidity_data[[#This Row],[kf_d]]+liquidity_data[[#This Row],[cf_d]]</f>
        <v>9.9460278484286846E-6</v>
      </c>
      <c r="L319" s="5">
        <f>liquidity_data[[#This Row],[TOTAL_M]]-liquidity_data[[#This Row],[TOTAL_D]]</f>
        <v>11999.977165068345</v>
      </c>
      <c r="M319" s="6">
        <f>liquidity_data[[#This Row],[M-D]]/L318-1</f>
        <v>-3.3271651911359612E-6</v>
      </c>
    </row>
    <row r="320" spans="1:13" x14ac:dyDescent="0.25">
      <c r="A320" s="7" t="s">
        <v>146</v>
      </c>
      <c r="B320">
        <v>319</v>
      </c>
      <c r="C320" s="5">
        <v>11230.712004202604</v>
      </c>
      <c r="D320" s="5">
        <v>961.23113113641739</v>
      </c>
      <c r="E320" s="5">
        <v>-8.9367827698588371</v>
      </c>
      <c r="F320" s="5">
        <v>0</v>
      </c>
      <c r="G320" s="5">
        <v>23380.326995849609</v>
      </c>
      <c r="H320" s="5">
        <v>9.4487262316533815E-6</v>
      </c>
      <c r="I320">
        <v>-23563.3</v>
      </c>
      <c r="J320" s="5">
        <f>liquidity_data[[#This Row],[w_m]]+liquidity_data[[#This Row],[c_m]]+liquidity_data[[#This Row],[cf_m]]+liquidity_data[[#This Row],[kf_m]]+liquidity_data[[#This Row],[equity]]</f>
        <v>12000.033348418776</v>
      </c>
      <c r="K320" s="5">
        <f>liquidity_data[[#This Row],[kf_d]]+liquidity_data[[#This Row],[cf_d]]</f>
        <v>9.4487262316533815E-6</v>
      </c>
      <c r="L320" s="5">
        <f>liquidity_data[[#This Row],[TOTAL_M]]-liquidity_data[[#This Row],[TOTAL_D]]</f>
        <v>12000.03333897005</v>
      </c>
      <c r="M320" s="6">
        <f>liquidity_data[[#This Row],[M-D]]/L319-1</f>
        <v>4.6811673832802825E-6</v>
      </c>
    </row>
    <row r="321" spans="1:13" x14ac:dyDescent="0.25">
      <c r="A321" s="7" t="s">
        <v>146</v>
      </c>
      <c r="B321">
        <v>320</v>
      </c>
      <c r="C321" s="5">
        <v>11249.50849022828</v>
      </c>
      <c r="D321" s="5">
        <v>965.67893172800541</v>
      </c>
      <c r="E321" s="5">
        <v>66.247075192630291</v>
      </c>
      <c r="F321" s="5">
        <v>0</v>
      </c>
      <c r="G321" s="5">
        <v>23551.299285888672</v>
      </c>
      <c r="H321" s="5">
        <v>8.9762898518586098E-6</v>
      </c>
      <c r="I321">
        <v>-23832.7</v>
      </c>
      <c r="J321" s="5">
        <f>liquidity_data[[#This Row],[w_m]]+liquidity_data[[#This Row],[c_m]]+liquidity_data[[#This Row],[cf_m]]+liquidity_data[[#This Row],[kf_m]]+liquidity_data[[#This Row],[equity]]</f>
        <v>12000.03378303759</v>
      </c>
      <c r="K321" s="5">
        <f>liquidity_data[[#This Row],[kf_d]]+liquidity_data[[#This Row],[cf_d]]</f>
        <v>8.9762898518586098E-6</v>
      </c>
      <c r="L321" s="5">
        <f>liquidity_data[[#This Row],[TOTAL_M]]-liquidity_data[[#This Row],[TOTAL_D]]</f>
        <v>12000.033774061299</v>
      </c>
      <c r="M321" s="6">
        <f>liquidity_data[[#This Row],[M-D]]/L320-1</f>
        <v>3.6257503444048211E-8</v>
      </c>
    </row>
    <row r="322" spans="1:13" x14ac:dyDescent="0.25">
      <c r="A322" s="7" t="s">
        <v>146</v>
      </c>
      <c r="B322">
        <v>321</v>
      </c>
      <c r="C322" s="5">
        <v>11285.397247387747</v>
      </c>
      <c r="D322" s="5">
        <v>972.11393566429615</v>
      </c>
      <c r="E322" s="5">
        <v>10.079990401864052</v>
      </c>
      <c r="F322" s="5">
        <v>0</v>
      </c>
      <c r="G322" s="5">
        <v>23769.545715332031</v>
      </c>
      <c r="H322" s="5">
        <v>8.5274756145281572E-6</v>
      </c>
      <c r="I322">
        <v>-24037.1</v>
      </c>
      <c r="J322" s="5">
        <f>liquidity_data[[#This Row],[w_m]]+liquidity_data[[#This Row],[c_m]]+liquidity_data[[#This Row],[cf_m]]+liquidity_data[[#This Row],[kf_m]]+liquidity_data[[#This Row],[equity]]</f>
        <v>12000.036888785944</v>
      </c>
      <c r="K322" s="5">
        <f>liquidity_data[[#This Row],[kf_d]]+liquidity_data[[#This Row],[cf_d]]</f>
        <v>8.5274756145281572E-6</v>
      </c>
      <c r="L322" s="5">
        <f>liquidity_data[[#This Row],[TOTAL_M]]-liquidity_data[[#This Row],[TOTAL_D]]</f>
        <v>12000.036880258469</v>
      </c>
      <c r="M322" s="6">
        <f>liquidity_data[[#This Row],[M-D]]/L321-1</f>
        <v>2.5884903553929917E-7</v>
      </c>
    </row>
    <row r="323" spans="1:13" x14ac:dyDescent="0.25">
      <c r="A323" s="7" t="s">
        <v>146</v>
      </c>
      <c r="B323">
        <v>322</v>
      </c>
      <c r="C323" s="5">
        <v>11321.49723295333</v>
      </c>
      <c r="D323" s="5">
        <v>979.71711665391922</v>
      </c>
      <c r="E323" s="5">
        <v>13.889080007560551</v>
      </c>
      <c r="F323" s="5">
        <v>0</v>
      </c>
      <c r="G323" s="5">
        <v>23982.206665039063</v>
      </c>
      <c r="H323" s="5">
        <v>8.1011016170862149E-6</v>
      </c>
      <c r="I323">
        <v>-24297.3</v>
      </c>
      <c r="J323" s="5">
        <f>liquidity_data[[#This Row],[w_m]]+liquidity_data[[#This Row],[c_m]]+liquidity_data[[#This Row],[cf_m]]+liquidity_data[[#This Row],[kf_m]]+liquidity_data[[#This Row],[equity]]</f>
        <v>12000.010094653877</v>
      </c>
      <c r="K323" s="5">
        <f>liquidity_data[[#This Row],[kf_d]]+liquidity_data[[#This Row],[cf_d]]</f>
        <v>8.1011016170862149E-6</v>
      </c>
      <c r="L323" s="5">
        <f>liquidity_data[[#This Row],[TOTAL_M]]-liquidity_data[[#This Row],[TOTAL_D]]</f>
        <v>12000.010086552775</v>
      </c>
      <c r="M323" s="6">
        <f>liquidity_data[[#This Row],[M-D]]/L322-1</f>
        <v>-2.2328019456674397E-6</v>
      </c>
    </row>
    <row r="324" spans="1:13" x14ac:dyDescent="0.25">
      <c r="A324" s="7" t="s">
        <v>146</v>
      </c>
      <c r="B324">
        <v>323</v>
      </c>
      <c r="C324" s="5">
        <v>11336.404823894438</v>
      </c>
      <c r="D324" s="5">
        <v>1007.6486228555441</v>
      </c>
      <c r="E324" s="5">
        <v>-15.64676109328866</v>
      </c>
      <c r="F324" s="5">
        <v>0</v>
      </c>
      <c r="G324" s="5">
        <v>24226.813446044922</v>
      </c>
      <c r="H324" s="5">
        <v>7.6960465129616296E-6</v>
      </c>
      <c r="I324">
        <v>-24555.200000000001</v>
      </c>
      <c r="J324" s="5">
        <f>liquidity_data[[#This Row],[w_m]]+liquidity_data[[#This Row],[c_m]]+liquidity_data[[#This Row],[cf_m]]+liquidity_data[[#This Row],[kf_m]]+liquidity_data[[#This Row],[equity]]</f>
        <v>12000.020131701614</v>
      </c>
      <c r="K324" s="5">
        <f>liquidity_data[[#This Row],[kf_d]]+liquidity_data[[#This Row],[cf_d]]</f>
        <v>7.6960465129616296E-6</v>
      </c>
      <c r="L324" s="5">
        <f>liquidity_data[[#This Row],[TOTAL_M]]-liquidity_data[[#This Row],[TOTAL_D]]</f>
        <v>12000.020124005569</v>
      </c>
      <c r="M324" s="6">
        <f>liquidity_data[[#This Row],[M-D]]/L323-1</f>
        <v>8.3645369630680477E-7</v>
      </c>
    </row>
    <row r="325" spans="1:13" x14ac:dyDescent="0.25">
      <c r="A325" s="7" t="s">
        <v>146</v>
      </c>
      <c r="B325">
        <v>324</v>
      </c>
      <c r="C325" s="5">
        <v>11370.763823132496</v>
      </c>
      <c r="D325" s="5">
        <v>1007.9719675630331</v>
      </c>
      <c r="E325" s="5">
        <v>22.074610393494368</v>
      </c>
      <c r="F325" s="5">
        <v>0</v>
      </c>
      <c r="G325" s="5">
        <v>24434.758697509766</v>
      </c>
      <c r="H325" s="5">
        <v>7.3112444951561883E-6</v>
      </c>
      <c r="I325">
        <v>-24835.599999999999</v>
      </c>
      <c r="J325" s="5">
        <f>liquidity_data[[#This Row],[w_m]]+liquidity_data[[#This Row],[c_m]]+liquidity_data[[#This Row],[cf_m]]+liquidity_data[[#This Row],[kf_m]]+liquidity_data[[#This Row],[equity]]</f>
        <v>11999.969098598791</v>
      </c>
      <c r="K325" s="5">
        <f>liquidity_data[[#This Row],[kf_d]]+liquidity_data[[#This Row],[cf_d]]</f>
        <v>7.3112444951561883E-6</v>
      </c>
      <c r="L325" s="5">
        <f>liquidity_data[[#This Row],[TOTAL_M]]-liquidity_data[[#This Row],[TOTAL_D]]</f>
        <v>11999.969091287547</v>
      </c>
      <c r="M325" s="6">
        <f>liquidity_data[[#This Row],[M-D]]/L324-1</f>
        <v>-4.2527193699903876E-6</v>
      </c>
    </row>
    <row r="326" spans="1:13" x14ac:dyDescent="0.25">
      <c r="A326" s="7" t="s">
        <v>146</v>
      </c>
      <c r="B326">
        <v>325</v>
      </c>
      <c r="C326" s="5">
        <v>11397.43923709495</v>
      </c>
      <c r="D326" s="5">
        <v>1018.7902437821031</v>
      </c>
      <c r="E326" s="5">
        <v>3.4225020557641983E-2</v>
      </c>
      <c r="F326" s="5">
        <v>0</v>
      </c>
      <c r="G326" s="5">
        <v>24677.977813720703</v>
      </c>
      <c r="H326" s="5">
        <v>6.9456821449875861E-6</v>
      </c>
      <c r="I326">
        <v>-25094.2</v>
      </c>
      <c r="J326" s="5">
        <f>liquidity_data[[#This Row],[w_m]]+liquidity_data[[#This Row],[c_m]]+liquidity_data[[#This Row],[cf_m]]+liquidity_data[[#This Row],[kf_m]]+liquidity_data[[#This Row],[equity]]</f>
        <v>12000.041519618313</v>
      </c>
      <c r="K326" s="5">
        <f>liquidity_data[[#This Row],[kf_d]]+liquidity_data[[#This Row],[cf_d]]</f>
        <v>6.9456821449875861E-6</v>
      </c>
      <c r="L326" s="5">
        <f>liquidity_data[[#This Row],[TOTAL_M]]-liquidity_data[[#This Row],[TOTAL_D]]</f>
        <v>12000.041512672631</v>
      </c>
      <c r="M326" s="6">
        <f>liquidity_data[[#This Row],[M-D]]/L325-1</f>
        <v>6.0351309685291454E-6</v>
      </c>
    </row>
    <row r="327" spans="1:13" x14ac:dyDescent="0.25">
      <c r="A327" s="7" t="s">
        <v>146</v>
      </c>
      <c r="B327">
        <v>326</v>
      </c>
      <c r="C327" s="5">
        <v>11433.218107922003</v>
      </c>
      <c r="D327" s="5">
        <v>1018.5873524323106</v>
      </c>
      <c r="E327" s="5">
        <v>10.068387031555176</v>
      </c>
      <c r="F327" s="5">
        <v>0</v>
      </c>
      <c r="G327" s="5">
        <v>24912.50390625</v>
      </c>
      <c r="H327" s="5">
        <v>6.5983980093164973E-6</v>
      </c>
      <c r="I327">
        <v>-25374.400000000001</v>
      </c>
      <c r="J327" s="5">
        <f>liquidity_data[[#This Row],[w_m]]+liquidity_data[[#This Row],[c_m]]+liquidity_data[[#This Row],[cf_m]]+liquidity_data[[#This Row],[kf_m]]+liquidity_data[[#This Row],[equity]]</f>
        <v>11999.977753635867</v>
      </c>
      <c r="K327" s="5">
        <f>liquidity_data[[#This Row],[kf_d]]+liquidity_data[[#This Row],[cf_d]]</f>
        <v>6.5983980093164973E-6</v>
      </c>
      <c r="L327" s="5">
        <f>liquidity_data[[#This Row],[TOTAL_M]]-liquidity_data[[#This Row],[TOTAL_D]]</f>
        <v>11999.977747037468</v>
      </c>
      <c r="M327" s="6">
        <f>liquidity_data[[#This Row],[M-D]]/L326-1</f>
        <v>-5.3137845478223866E-6</v>
      </c>
    </row>
    <row r="328" spans="1:13" x14ac:dyDescent="0.25">
      <c r="A328" s="7" t="s">
        <v>146</v>
      </c>
      <c r="B328">
        <v>327</v>
      </c>
      <c r="C328" s="5">
        <v>11453.568449565675</v>
      </c>
      <c r="D328" s="5">
        <v>1032.9042012766004</v>
      </c>
      <c r="E328" s="5">
        <v>6.7168596835108474</v>
      </c>
      <c r="F328" s="5">
        <v>0</v>
      </c>
      <c r="G328" s="5">
        <v>25150.216186523438</v>
      </c>
      <c r="H328" s="5">
        <v>6.2684781418909097E-6</v>
      </c>
      <c r="I328">
        <v>-25643.4</v>
      </c>
      <c r="J328" s="5">
        <f>liquidity_data[[#This Row],[w_m]]+liquidity_data[[#This Row],[c_m]]+liquidity_data[[#This Row],[cf_m]]+liquidity_data[[#This Row],[kf_m]]+liquidity_data[[#This Row],[equity]]</f>
        <v>12000.005697049222</v>
      </c>
      <c r="K328" s="5">
        <f>liquidity_data[[#This Row],[kf_d]]+liquidity_data[[#This Row],[cf_d]]</f>
        <v>6.2684781418909097E-6</v>
      </c>
      <c r="L328" s="5">
        <f>liquidity_data[[#This Row],[TOTAL_M]]-liquidity_data[[#This Row],[TOTAL_D]]</f>
        <v>12000.005690780745</v>
      </c>
      <c r="M328" s="6">
        <f>liquidity_data[[#This Row],[M-D]]/L327-1</f>
        <v>2.3286495913765748E-6</v>
      </c>
    </row>
    <row r="329" spans="1:13" x14ac:dyDescent="0.25">
      <c r="A329" s="7" t="s">
        <v>146</v>
      </c>
      <c r="B329">
        <v>328</v>
      </c>
      <c r="C329" s="5">
        <v>11487.23436910403</v>
      </c>
      <c r="D329" s="5">
        <v>1037.3190391138196</v>
      </c>
      <c r="E329" s="5">
        <v>2.4854979421943426</v>
      </c>
      <c r="F329" s="5">
        <v>0</v>
      </c>
      <c r="G329" s="5">
        <v>25390.905914306641</v>
      </c>
      <c r="H329" s="5">
        <v>5.955054273698579E-6</v>
      </c>
      <c r="I329">
        <v>-25917.9</v>
      </c>
      <c r="J329" s="5">
        <f>liquidity_data[[#This Row],[w_m]]+liquidity_data[[#This Row],[c_m]]+liquidity_data[[#This Row],[cf_m]]+liquidity_data[[#This Row],[kf_m]]+liquidity_data[[#This Row],[equity]]</f>
        <v>12000.044820466683</v>
      </c>
      <c r="K329" s="5">
        <f>liquidity_data[[#This Row],[kf_d]]+liquidity_data[[#This Row],[cf_d]]</f>
        <v>5.955054273698579E-6</v>
      </c>
      <c r="L329" s="5">
        <f>liquidity_data[[#This Row],[TOTAL_M]]-liquidity_data[[#This Row],[TOTAL_D]]</f>
        <v>12000.044814511628</v>
      </c>
      <c r="M329" s="6">
        <f>liquidity_data[[#This Row],[M-D]]/L328-1</f>
        <v>3.2603093607086464E-6</v>
      </c>
    </row>
    <row r="330" spans="1:13" x14ac:dyDescent="0.25">
      <c r="A330" s="7" t="s">
        <v>146</v>
      </c>
      <c r="B330">
        <v>329</v>
      </c>
      <c r="C330" s="5">
        <v>11518.69616243802</v>
      </c>
      <c r="D330" s="5">
        <v>1026.7235656455159</v>
      </c>
      <c r="E330" s="5">
        <v>81.017341662198305</v>
      </c>
      <c r="F330" s="5">
        <v>0</v>
      </c>
      <c r="G330" s="5">
        <v>25557.221740722656</v>
      </c>
      <c r="H330" s="5">
        <v>5.6573014628469309E-6</v>
      </c>
      <c r="I330">
        <v>-26183.7</v>
      </c>
      <c r="J330" s="5">
        <f>liquidity_data[[#This Row],[w_m]]+liquidity_data[[#This Row],[c_m]]+liquidity_data[[#This Row],[cf_m]]+liquidity_data[[#This Row],[kf_m]]+liquidity_data[[#This Row],[equity]]</f>
        <v>11999.95881046839</v>
      </c>
      <c r="K330" s="5">
        <f>liquidity_data[[#This Row],[kf_d]]+liquidity_data[[#This Row],[cf_d]]</f>
        <v>5.6573014628469309E-6</v>
      </c>
      <c r="L330" s="5">
        <f>liquidity_data[[#This Row],[TOTAL_M]]-liquidity_data[[#This Row],[TOTAL_D]]</f>
        <v>11999.958804811089</v>
      </c>
      <c r="M330" s="6">
        <f>liquidity_data[[#This Row],[M-D]]/L329-1</f>
        <v>-7.1674482777783766E-6</v>
      </c>
    </row>
    <row r="331" spans="1:13" x14ac:dyDescent="0.25">
      <c r="A331" s="7" t="s">
        <v>146</v>
      </c>
      <c r="B331">
        <v>330</v>
      </c>
      <c r="C331" s="5">
        <v>11550.652232086286</v>
      </c>
      <c r="D331" s="5">
        <v>1033.9338384345174</v>
      </c>
      <c r="E331" s="5">
        <v>31.166336830705404</v>
      </c>
      <c r="F331" s="5">
        <v>0</v>
      </c>
      <c r="G331" s="5">
        <v>25781.362640380859</v>
      </c>
      <c r="H331" s="5">
        <v>5.3744364389984867E-6</v>
      </c>
      <c r="I331">
        <v>-26397.1</v>
      </c>
      <c r="J331" s="5">
        <f>liquidity_data[[#This Row],[w_m]]+liquidity_data[[#This Row],[c_m]]+liquidity_data[[#This Row],[cf_m]]+liquidity_data[[#This Row],[kf_m]]+liquidity_data[[#This Row],[equity]]</f>
        <v>12000.01504773237</v>
      </c>
      <c r="K331" s="5">
        <f>liquidity_data[[#This Row],[kf_d]]+liquidity_data[[#This Row],[cf_d]]</f>
        <v>5.3744364389984867E-6</v>
      </c>
      <c r="L331" s="5">
        <f>liquidity_data[[#This Row],[TOTAL_M]]-liquidity_data[[#This Row],[TOTAL_D]]</f>
        <v>12000.015042357933</v>
      </c>
      <c r="M331" s="6">
        <f>liquidity_data[[#This Row],[M-D]]/L330-1</f>
        <v>4.6864783254108033E-6</v>
      </c>
    </row>
    <row r="332" spans="1:13" x14ac:dyDescent="0.25">
      <c r="A332" s="7" t="s">
        <v>146</v>
      </c>
      <c r="B332">
        <v>331</v>
      </c>
      <c r="C332" s="5">
        <v>11586.40203710366</v>
      </c>
      <c r="D332" s="5">
        <v>1049.3299216777086</v>
      </c>
      <c r="E332" s="5">
        <v>-58.089784938842058</v>
      </c>
      <c r="F332" s="5">
        <v>0</v>
      </c>
      <c r="G332" s="5">
        <v>26080.926666259766</v>
      </c>
      <c r="H332" s="5">
        <v>5.1057145444843854E-6</v>
      </c>
      <c r="I332">
        <v>-26658.6</v>
      </c>
      <c r="J332" s="5">
        <f>liquidity_data[[#This Row],[w_m]]+liquidity_data[[#This Row],[c_m]]+liquidity_data[[#This Row],[cf_m]]+liquidity_data[[#This Row],[kf_m]]+liquidity_data[[#This Row],[equity]]</f>
        <v>11999.968840102294</v>
      </c>
      <c r="K332" s="5">
        <f>liquidity_data[[#This Row],[kf_d]]+liquidity_data[[#This Row],[cf_d]]</f>
        <v>5.1057145444843854E-6</v>
      </c>
      <c r="L332" s="5">
        <f>liquidity_data[[#This Row],[TOTAL_M]]-liquidity_data[[#This Row],[TOTAL_D]]</f>
        <v>11999.96883499658</v>
      </c>
      <c r="M332" s="6">
        <f>liquidity_data[[#This Row],[M-D]]/L331-1</f>
        <v>-3.8506086191825162E-6</v>
      </c>
    </row>
    <row r="333" spans="1:13" x14ac:dyDescent="0.25">
      <c r="A333" s="7" t="s">
        <v>146</v>
      </c>
      <c r="B333">
        <v>332</v>
      </c>
      <c r="C333" s="5">
        <v>11613.65293023744</v>
      </c>
      <c r="D333" s="5">
        <v>1060.5169504731894</v>
      </c>
      <c r="E333" s="5">
        <v>-10.023077806457877</v>
      </c>
      <c r="F333" s="5">
        <v>0</v>
      </c>
      <c r="G333" s="5">
        <v>26331.383117675781</v>
      </c>
      <c r="H333" s="5">
        <v>4.8504288621131764E-6</v>
      </c>
      <c r="I333">
        <v>-26995.5</v>
      </c>
      <c r="J333" s="5">
        <f>liquidity_data[[#This Row],[w_m]]+liquidity_data[[#This Row],[c_m]]+liquidity_data[[#This Row],[cf_m]]+liquidity_data[[#This Row],[kf_m]]+liquidity_data[[#This Row],[equity]]</f>
        <v>12000.029920579953</v>
      </c>
      <c r="K333" s="5">
        <f>liquidity_data[[#This Row],[kf_d]]+liquidity_data[[#This Row],[cf_d]]</f>
        <v>4.8504288621131764E-6</v>
      </c>
      <c r="L333" s="5">
        <f>liquidity_data[[#This Row],[TOTAL_M]]-liquidity_data[[#This Row],[TOTAL_D]]</f>
        <v>12000.029915729525</v>
      </c>
      <c r="M333" s="6">
        <f>liquidity_data[[#This Row],[M-D]]/L332-1</f>
        <v>5.0900742980530822E-6</v>
      </c>
    </row>
    <row r="334" spans="1:13" x14ac:dyDescent="0.25">
      <c r="A334" s="7" t="s">
        <v>146</v>
      </c>
      <c r="B334">
        <v>333</v>
      </c>
      <c r="C334" s="5">
        <v>11648.164728909498</v>
      </c>
      <c r="D334" s="5">
        <v>1065.9831238538027</v>
      </c>
      <c r="E334" s="5">
        <v>24.825438560917974</v>
      </c>
      <c r="F334" s="5">
        <v>0</v>
      </c>
      <c r="G334" s="5">
        <v>26564.791290283203</v>
      </c>
      <c r="H334" s="5">
        <v>4.6079074600413605E-6</v>
      </c>
      <c r="I334">
        <v>-27303.8</v>
      </c>
      <c r="J334" s="5">
        <f>liquidity_data[[#This Row],[w_m]]+liquidity_data[[#This Row],[c_m]]+liquidity_data[[#This Row],[cf_m]]+liquidity_data[[#This Row],[kf_m]]+liquidity_data[[#This Row],[equity]]</f>
        <v>11999.964581607423</v>
      </c>
      <c r="K334" s="5">
        <f>liquidity_data[[#This Row],[kf_d]]+liquidity_data[[#This Row],[cf_d]]</f>
        <v>4.6079074600413605E-6</v>
      </c>
      <c r="L334" s="5">
        <f>liquidity_data[[#This Row],[TOTAL_M]]-liquidity_data[[#This Row],[TOTAL_D]]</f>
        <v>11999.964576999515</v>
      </c>
      <c r="M334" s="6">
        <f>liquidity_data[[#This Row],[M-D]]/L333-1</f>
        <v>-5.4448805935081168E-6</v>
      </c>
    </row>
    <row r="335" spans="1:13" x14ac:dyDescent="0.25">
      <c r="A335" s="7" t="s">
        <v>146</v>
      </c>
      <c r="B335">
        <v>334</v>
      </c>
      <c r="C335" s="5">
        <v>11682.133105552872</v>
      </c>
      <c r="D335" s="5">
        <v>1071.6985313147306</v>
      </c>
      <c r="E335" s="5">
        <v>31.280722610652447</v>
      </c>
      <c r="F335" s="5">
        <v>0</v>
      </c>
      <c r="G335" s="5">
        <v>26794.319213867188</v>
      </c>
      <c r="H335" s="5">
        <v>4.3775120417421931E-6</v>
      </c>
      <c r="I335">
        <v>-27579.4</v>
      </c>
      <c r="J335" s="5">
        <f>liquidity_data[[#This Row],[w_m]]+liquidity_data[[#This Row],[c_m]]+liquidity_data[[#This Row],[cf_m]]+liquidity_data[[#This Row],[kf_m]]+liquidity_data[[#This Row],[equity]]</f>
        <v>12000.031573345441</v>
      </c>
      <c r="K335" s="5">
        <f>liquidity_data[[#This Row],[kf_d]]+liquidity_data[[#This Row],[cf_d]]</f>
        <v>4.3775120417421931E-6</v>
      </c>
      <c r="L335" s="5">
        <f>liquidity_data[[#This Row],[TOTAL_M]]-liquidity_data[[#This Row],[TOTAL_D]]</f>
        <v>12000.031568967928</v>
      </c>
      <c r="M335" s="6">
        <f>liquidity_data[[#This Row],[M-D]]/L334-1</f>
        <v>5.5826805140934965E-6</v>
      </c>
    </row>
    <row r="336" spans="1:13" x14ac:dyDescent="0.25">
      <c r="A336" s="7" t="s">
        <v>146</v>
      </c>
      <c r="B336">
        <v>335</v>
      </c>
      <c r="C336" s="5">
        <v>11723.266968483105</v>
      </c>
      <c r="D336" s="5">
        <v>1078.7549175173044</v>
      </c>
      <c r="E336" s="5">
        <v>15.360237525776029</v>
      </c>
      <c r="F336" s="5">
        <v>0</v>
      </c>
      <c r="G336" s="5">
        <v>27029.779052734375</v>
      </c>
      <c r="H336" s="5">
        <v>4.1586363810353077E-6</v>
      </c>
      <c r="I336">
        <v>-27847.200000000001</v>
      </c>
      <c r="J336" s="5">
        <f>liquidity_data[[#This Row],[w_m]]+liquidity_data[[#This Row],[c_m]]+liquidity_data[[#This Row],[cf_m]]+liquidity_data[[#This Row],[kf_m]]+liquidity_data[[#This Row],[equity]]</f>
        <v>11999.96117626056</v>
      </c>
      <c r="K336" s="5">
        <f>liquidity_data[[#This Row],[kf_d]]+liquidity_data[[#This Row],[cf_d]]</f>
        <v>4.1586363810353077E-6</v>
      </c>
      <c r="L336" s="5">
        <f>liquidity_data[[#This Row],[TOTAL_M]]-liquidity_data[[#This Row],[TOTAL_D]]</f>
        <v>11999.961172101923</v>
      </c>
      <c r="M336" s="6">
        <f>liquidity_data[[#This Row],[M-D]]/L335-1</f>
        <v>-5.8663900674993386E-6</v>
      </c>
    </row>
    <row r="337" spans="1:13" x14ac:dyDescent="0.25">
      <c r="A337" s="7" t="s">
        <v>146</v>
      </c>
      <c r="B337">
        <v>336</v>
      </c>
      <c r="C337" s="5">
        <v>11774.016576326685</v>
      </c>
      <c r="D337" s="5">
        <v>1084.4937593489885</v>
      </c>
      <c r="E337" s="5">
        <v>-28.481115598231554</v>
      </c>
      <c r="F337" s="5">
        <v>0</v>
      </c>
      <c r="G337" s="5">
        <v>27301.203033447266</v>
      </c>
      <c r="H337" s="5">
        <v>3.9507046665221424E-6</v>
      </c>
      <c r="I337">
        <v>-28131.200000000001</v>
      </c>
      <c r="J337" s="5">
        <f>liquidity_data[[#This Row],[w_m]]+liquidity_data[[#This Row],[c_m]]+liquidity_data[[#This Row],[cf_m]]+liquidity_data[[#This Row],[kf_m]]+liquidity_data[[#This Row],[equity]]</f>
        <v>12000.032253524707</v>
      </c>
      <c r="K337" s="5">
        <f>liquidity_data[[#This Row],[kf_d]]+liquidity_data[[#This Row],[cf_d]]</f>
        <v>3.9507046665221424E-6</v>
      </c>
      <c r="L337" s="5">
        <f>liquidity_data[[#This Row],[TOTAL_M]]-liquidity_data[[#This Row],[TOTAL_D]]</f>
        <v>12000.032249574002</v>
      </c>
      <c r="M337" s="6">
        <f>liquidity_data[[#This Row],[M-D]]/L336-1</f>
        <v>5.9231418385596868E-6</v>
      </c>
    </row>
    <row r="338" spans="1:13" x14ac:dyDescent="0.25">
      <c r="A338" s="7" t="s">
        <v>146</v>
      </c>
      <c r="B338">
        <v>337</v>
      </c>
      <c r="C338" s="5">
        <v>11809.669755180192</v>
      </c>
      <c r="D338" s="5">
        <v>1106.1179242730141</v>
      </c>
      <c r="E338" s="5">
        <v>-66.246136395260692</v>
      </c>
      <c r="F338" s="5">
        <v>0</v>
      </c>
      <c r="G338" s="5">
        <v>27602.228790283203</v>
      </c>
      <c r="H338" s="5">
        <v>3.7531694818682126E-6</v>
      </c>
      <c r="I338">
        <v>-28451.8</v>
      </c>
      <c r="J338" s="5">
        <f>liquidity_data[[#This Row],[w_m]]+liquidity_data[[#This Row],[c_m]]+liquidity_data[[#This Row],[cf_m]]+liquidity_data[[#This Row],[kf_m]]+liquidity_data[[#This Row],[equity]]</f>
        <v>11999.970333341149</v>
      </c>
      <c r="K338" s="5">
        <f>liquidity_data[[#This Row],[kf_d]]+liquidity_data[[#This Row],[cf_d]]</f>
        <v>3.7531694818682126E-6</v>
      </c>
      <c r="L338" s="5">
        <f>liquidity_data[[#This Row],[TOTAL_M]]-liquidity_data[[#This Row],[TOTAL_D]]</f>
        <v>11999.970329587979</v>
      </c>
      <c r="M338" s="6">
        <f>liquidity_data[[#This Row],[M-D]]/L337-1</f>
        <v>-5.1599849679728749E-6</v>
      </c>
    </row>
    <row r="339" spans="1:13" x14ac:dyDescent="0.25">
      <c r="A339" s="7" t="s">
        <v>146</v>
      </c>
      <c r="B339">
        <v>338</v>
      </c>
      <c r="C339" s="5">
        <v>11855.246792268939</v>
      </c>
      <c r="D339" s="5">
        <v>1115.4141469597816</v>
      </c>
      <c r="E339" s="5">
        <v>-57.805053194984794</v>
      </c>
      <c r="F339" s="5">
        <v>0</v>
      </c>
      <c r="G339" s="5">
        <v>27878.680267333984</v>
      </c>
      <c r="H339" s="5">
        <v>3.5655110082188912E-6</v>
      </c>
      <c r="I339">
        <v>-28791.5</v>
      </c>
      <c r="J339" s="5">
        <f>liquidity_data[[#This Row],[w_m]]+liquidity_data[[#This Row],[c_m]]+liquidity_data[[#This Row],[cf_m]]+liquidity_data[[#This Row],[kf_m]]+liquidity_data[[#This Row],[equity]]</f>
        <v>12000.036153367721</v>
      </c>
      <c r="K339" s="5">
        <f>liquidity_data[[#This Row],[kf_d]]+liquidity_data[[#This Row],[cf_d]]</f>
        <v>3.5655110082188912E-6</v>
      </c>
      <c r="L339" s="5">
        <f>liquidity_data[[#This Row],[TOTAL_M]]-liquidity_data[[#This Row],[TOTAL_D]]</f>
        <v>12000.03614980221</v>
      </c>
      <c r="M339" s="6">
        <f>liquidity_data[[#This Row],[M-D]]/L338-1</f>
        <v>5.4850314146204227E-6</v>
      </c>
    </row>
    <row r="340" spans="1:13" x14ac:dyDescent="0.25">
      <c r="A340" s="7" t="s">
        <v>146</v>
      </c>
      <c r="B340">
        <v>339</v>
      </c>
      <c r="C340" s="5">
        <v>11910.802972410107</v>
      </c>
      <c r="D340" s="5">
        <v>1114.4483346939087</v>
      </c>
      <c r="E340" s="5">
        <v>-45.027421245351434</v>
      </c>
      <c r="F340" s="5">
        <v>0</v>
      </c>
      <c r="G340" s="5">
        <v>28141.303131103516</v>
      </c>
      <c r="H340" s="5">
        <v>3.3872353029096303E-6</v>
      </c>
      <c r="I340">
        <v>-29121.5</v>
      </c>
      <c r="J340" s="5">
        <f>liquidity_data[[#This Row],[w_m]]+liquidity_data[[#This Row],[c_m]]+liquidity_data[[#This Row],[cf_m]]+liquidity_data[[#This Row],[kf_m]]+liquidity_data[[#This Row],[equity]]</f>
        <v>12000.02701696218</v>
      </c>
      <c r="K340" s="5">
        <f>liquidity_data[[#This Row],[kf_d]]+liquidity_data[[#This Row],[cf_d]]</f>
        <v>3.3872353029096303E-6</v>
      </c>
      <c r="L340" s="5">
        <f>liquidity_data[[#This Row],[TOTAL_M]]-liquidity_data[[#This Row],[TOTAL_D]]</f>
        <v>12000.027013574945</v>
      </c>
      <c r="M340" s="6">
        <f>liquidity_data[[#This Row],[M-D]]/L339-1</f>
        <v>-7.6134997850640929E-7</v>
      </c>
    </row>
    <row r="341" spans="1:13" x14ac:dyDescent="0.25">
      <c r="A341" s="7" t="s">
        <v>146</v>
      </c>
      <c r="B341">
        <v>340</v>
      </c>
      <c r="C341" s="5">
        <v>11953.873778134061</v>
      </c>
      <c r="D341" s="5">
        <v>1113.1289796829224</v>
      </c>
      <c r="E341" s="5">
        <v>-4.9114135028794408</v>
      </c>
      <c r="F341" s="5">
        <v>0</v>
      </c>
      <c r="G341" s="5">
        <v>28359.059020996094</v>
      </c>
      <c r="H341" s="5">
        <v>3.2178735693833005E-6</v>
      </c>
      <c r="I341">
        <v>-29421.200000000001</v>
      </c>
      <c r="J341" s="5">
        <f>liquidity_data[[#This Row],[w_m]]+liquidity_data[[#This Row],[c_m]]+liquidity_data[[#This Row],[cf_m]]+liquidity_data[[#This Row],[kf_m]]+liquidity_data[[#This Row],[equity]]</f>
        <v>11999.950365310197</v>
      </c>
      <c r="K341" s="5">
        <f>liquidity_data[[#This Row],[kf_d]]+liquidity_data[[#This Row],[cf_d]]</f>
        <v>3.2178735693833005E-6</v>
      </c>
      <c r="L341" s="5">
        <f>liquidity_data[[#This Row],[TOTAL_M]]-liquidity_data[[#This Row],[TOTAL_D]]</f>
        <v>11999.950362092322</v>
      </c>
      <c r="M341" s="6">
        <f>liquidity_data[[#This Row],[M-D]]/L340-1</f>
        <v>-6.3876091725978412E-6</v>
      </c>
    </row>
    <row r="342" spans="1:13" x14ac:dyDescent="0.25">
      <c r="A342" s="7" t="s">
        <v>146</v>
      </c>
      <c r="B342">
        <v>341</v>
      </c>
      <c r="C342" s="5">
        <v>12000.688130539318</v>
      </c>
      <c r="D342" s="5">
        <v>1108.0470585823059</v>
      </c>
      <c r="E342" s="5">
        <v>-31.951383953914046</v>
      </c>
      <c r="F342" s="5">
        <v>0</v>
      </c>
      <c r="G342" s="5">
        <v>28611.973358154297</v>
      </c>
      <c r="H342" s="5">
        <v>3.0569798870061504E-6</v>
      </c>
      <c r="I342">
        <v>-29688.799999999999</v>
      </c>
      <c r="J342" s="5">
        <f>liquidity_data[[#This Row],[w_m]]+liquidity_data[[#This Row],[c_m]]+liquidity_data[[#This Row],[cf_m]]+liquidity_data[[#This Row],[kf_m]]+liquidity_data[[#This Row],[equity]]</f>
        <v>11999.957163322008</v>
      </c>
      <c r="K342" s="5">
        <f>liquidity_data[[#This Row],[kf_d]]+liquidity_data[[#This Row],[cf_d]]</f>
        <v>3.0569798870061504E-6</v>
      </c>
      <c r="L342" s="5">
        <f>liquidity_data[[#This Row],[TOTAL_M]]-liquidity_data[[#This Row],[TOTAL_D]]</f>
        <v>11999.957160265029</v>
      </c>
      <c r="M342" s="6">
        <f>liquidity_data[[#This Row],[M-D]]/L341-1</f>
        <v>5.6651673552288173E-7</v>
      </c>
    </row>
    <row r="343" spans="1:13" x14ac:dyDescent="0.25">
      <c r="A343" s="7" t="s">
        <v>146</v>
      </c>
      <c r="B343">
        <v>342</v>
      </c>
      <c r="C343" s="5">
        <v>12025.225024365936</v>
      </c>
      <c r="D343" s="5">
        <v>1134.2013244628906</v>
      </c>
      <c r="E343" s="5">
        <v>-109.99206192139536</v>
      </c>
      <c r="F343" s="5">
        <v>0</v>
      </c>
      <c r="G343" s="5">
        <v>28932.899810791016</v>
      </c>
      <c r="H343" s="5">
        <v>2.9041309073107868E-6</v>
      </c>
      <c r="I343">
        <v>-29982.3</v>
      </c>
      <c r="J343" s="5">
        <f>liquidity_data[[#This Row],[w_m]]+liquidity_data[[#This Row],[c_m]]+liquidity_data[[#This Row],[cf_m]]+liquidity_data[[#This Row],[kf_m]]+liquidity_data[[#This Row],[equity]]</f>
        <v>12000.034097698448</v>
      </c>
      <c r="K343" s="5">
        <f>liquidity_data[[#This Row],[kf_d]]+liquidity_data[[#This Row],[cf_d]]</f>
        <v>2.9041309073107868E-6</v>
      </c>
      <c r="L343" s="5">
        <f>liquidity_data[[#This Row],[TOTAL_M]]-liquidity_data[[#This Row],[TOTAL_D]]</f>
        <v>12000.034094794317</v>
      </c>
      <c r="M343" s="6">
        <f>liquidity_data[[#This Row],[M-D]]/L342-1</f>
        <v>6.411233661962612E-6</v>
      </c>
    </row>
    <row r="344" spans="1:13" x14ac:dyDescent="0.25">
      <c r="A344" s="7" t="s">
        <v>146</v>
      </c>
      <c r="B344">
        <v>343</v>
      </c>
      <c r="C344" s="5">
        <v>12054.226404157613</v>
      </c>
      <c r="D344" s="5">
        <v>1128.3833684436977</v>
      </c>
      <c r="E344" s="5">
        <v>18.324852516670944</v>
      </c>
      <c r="F344" s="5">
        <v>0</v>
      </c>
      <c r="G344" s="5">
        <v>29144.708129882813</v>
      </c>
      <c r="H344" s="5">
        <v>2.7589243636327865E-6</v>
      </c>
      <c r="I344">
        <v>-30345.599999999999</v>
      </c>
      <c r="J344" s="5">
        <f>liquidity_data[[#This Row],[w_m]]+liquidity_data[[#This Row],[c_m]]+liquidity_data[[#This Row],[cf_m]]+liquidity_data[[#This Row],[kf_m]]+liquidity_data[[#This Row],[equity]]</f>
        <v>12000.042755000795</v>
      </c>
      <c r="K344" s="5">
        <f>liquidity_data[[#This Row],[kf_d]]+liquidity_data[[#This Row],[cf_d]]</f>
        <v>2.7589243636327865E-6</v>
      </c>
      <c r="L344" s="5">
        <f>liquidity_data[[#This Row],[TOTAL_M]]-liquidity_data[[#This Row],[TOTAL_D]]</f>
        <v>12000.04275224187</v>
      </c>
      <c r="M344" s="6">
        <f>liquidity_data[[#This Row],[M-D]]/L343-1</f>
        <v>7.2145191287731336E-7</v>
      </c>
    </row>
    <row r="345" spans="1:13" x14ac:dyDescent="0.25">
      <c r="A345" s="7" t="s">
        <v>146</v>
      </c>
      <c r="B345">
        <v>344</v>
      </c>
      <c r="C345" s="5">
        <v>12094.342806137051</v>
      </c>
      <c r="D345" s="5">
        <v>1123.4778798632324</v>
      </c>
      <c r="E345" s="5">
        <v>-16.652667880989611</v>
      </c>
      <c r="F345" s="5">
        <v>0</v>
      </c>
      <c r="G345" s="5">
        <v>29377.990783691406</v>
      </c>
      <c r="H345" s="5">
        <v>2.6209782131303427E-6</v>
      </c>
      <c r="I345">
        <v>-30579.200000000001</v>
      </c>
      <c r="J345" s="5">
        <f>liquidity_data[[#This Row],[w_m]]+liquidity_data[[#This Row],[c_m]]+liquidity_data[[#This Row],[cf_m]]+liquidity_data[[#This Row],[kf_m]]+liquidity_data[[#This Row],[equity]]</f>
        <v>11999.958801810699</v>
      </c>
      <c r="K345" s="5">
        <f>liquidity_data[[#This Row],[kf_d]]+liquidity_data[[#This Row],[cf_d]]</f>
        <v>2.6209782131303427E-6</v>
      </c>
      <c r="L345" s="5">
        <f>liquidity_data[[#This Row],[TOTAL_M]]-liquidity_data[[#This Row],[TOTAL_D]]</f>
        <v>11999.958799189721</v>
      </c>
      <c r="M345" s="6">
        <f>liquidity_data[[#This Row],[M-D]]/L344-1</f>
        <v>-6.9960627543386167E-6</v>
      </c>
    </row>
    <row r="346" spans="1:13" x14ac:dyDescent="0.25">
      <c r="A346" s="7" t="s">
        <v>146</v>
      </c>
      <c r="B346">
        <v>345</v>
      </c>
      <c r="C346" s="5">
        <v>12133.975438009133</v>
      </c>
      <c r="D346" s="5">
        <v>1117.0763038210571</v>
      </c>
      <c r="E346" s="5">
        <v>15.287013726774603</v>
      </c>
      <c r="F346" s="5">
        <v>0</v>
      </c>
      <c r="G346" s="5">
        <v>29579.521942138672</v>
      </c>
      <c r="H346" s="5">
        <v>2.4899292618840718E-6</v>
      </c>
      <c r="I346">
        <v>-30845.9</v>
      </c>
      <c r="J346" s="5">
        <f>liquidity_data[[#This Row],[w_m]]+liquidity_data[[#This Row],[c_m]]+liquidity_data[[#This Row],[cf_m]]+liquidity_data[[#This Row],[kf_m]]+liquidity_data[[#This Row],[equity]]</f>
        <v>11999.960697695635</v>
      </c>
      <c r="K346" s="5">
        <f>liquidity_data[[#This Row],[kf_d]]+liquidity_data[[#This Row],[cf_d]]</f>
        <v>2.4899292618840718E-6</v>
      </c>
      <c r="L346" s="5">
        <f>liquidity_data[[#This Row],[TOTAL_M]]-liquidity_data[[#This Row],[TOTAL_D]]</f>
        <v>11999.960695205706</v>
      </c>
      <c r="M346" s="6">
        <f>liquidity_data[[#This Row],[M-D]]/L345-1</f>
        <v>1.580018744729017E-7</v>
      </c>
    </row>
    <row r="347" spans="1:13" x14ac:dyDescent="0.25">
      <c r="A347" s="7" t="s">
        <v>146</v>
      </c>
      <c r="B347">
        <v>346</v>
      </c>
      <c r="C347" s="5">
        <v>12154.549294361525</v>
      </c>
      <c r="D347" s="5">
        <v>1141.5315925180912</v>
      </c>
      <c r="E347" s="5">
        <v>-27.378540300764143</v>
      </c>
      <c r="F347" s="5">
        <v>0</v>
      </c>
      <c r="G347" s="5">
        <v>29825.746215820313</v>
      </c>
      <c r="H347" s="5">
        <v>2.3654328122901802E-6</v>
      </c>
      <c r="I347">
        <v>-31094.400000000001</v>
      </c>
      <c r="J347" s="5">
        <f>liquidity_data[[#This Row],[w_m]]+liquidity_data[[#This Row],[c_m]]+liquidity_data[[#This Row],[cf_m]]+liquidity_data[[#This Row],[kf_m]]+liquidity_data[[#This Row],[equity]]</f>
        <v>12000.048562399163</v>
      </c>
      <c r="K347" s="5">
        <f>liquidity_data[[#This Row],[kf_d]]+liquidity_data[[#This Row],[cf_d]]</f>
        <v>2.3654328122901802E-6</v>
      </c>
      <c r="L347" s="5">
        <f>liquidity_data[[#This Row],[TOTAL_M]]-liquidity_data[[#This Row],[TOTAL_D]]</f>
        <v>12000.048560033731</v>
      </c>
      <c r="M347" s="6">
        <f>liquidity_data[[#This Row],[M-D]]/L346-1</f>
        <v>7.3220929848183403E-6</v>
      </c>
    </row>
    <row r="348" spans="1:13" x14ac:dyDescent="0.25">
      <c r="A348" s="7" t="s">
        <v>146</v>
      </c>
      <c r="B348">
        <v>347</v>
      </c>
      <c r="C348" s="5">
        <v>12199.868238349009</v>
      </c>
      <c r="D348" s="5">
        <v>1144.8941732943058</v>
      </c>
      <c r="E348" s="5">
        <v>-35.510112209245563</v>
      </c>
      <c r="F348" s="5">
        <v>0</v>
      </c>
      <c r="G348" s="5">
        <v>30095.926574707031</v>
      </c>
      <c r="H348" s="5">
        <v>2.2471611780261469E-6</v>
      </c>
      <c r="I348">
        <v>-31405.200000000001</v>
      </c>
      <c r="J348" s="5">
        <f>liquidity_data[[#This Row],[w_m]]+liquidity_data[[#This Row],[c_m]]+liquidity_data[[#This Row],[cf_m]]+liquidity_data[[#This Row],[kf_m]]+liquidity_data[[#This Row],[equity]]</f>
        <v>11999.978874141099</v>
      </c>
      <c r="K348" s="5">
        <f>liquidity_data[[#This Row],[kf_d]]+liquidity_data[[#This Row],[cf_d]]</f>
        <v>2.2471611780261469E-6</v>
      </c>
      <c r="L348" s="5">
        <f>liquidity_data[[#This Row],[TOTAL_M]]-liquidity_data[[#This Row],[TOTAL_D]]</f>
        <v>11999.978871893938</v>
      </c>
      <c r="M348" s="6">
        <f>liquidity_data[[#This Row],[M-D]]/L347-1</f>
        <v>-5.8073214823650687E-6</v>
      </c>
    </row>
    <row r="349" spans="1:13" x14ac:dyDescent="0.25">
      <c r="A349" s="7" t="s">
        <v>146</v>
      </c>
      <c r="B349">
        <v>348</v>
      </c>
      <c r="C349" s="5">
        <v>12225.625138326875</v>
      </c>
      <c r="D349" s="5">
        <v>1183.4852220192552</v>
      </c>
      <c r="E349" s="5">
        <v>-118.22362465132028</v>
      </c>
      <c r="F349" s="5">
        <v>0</v>
      </c>
      <c r="G349" s="5">
        <v>30442.306213378906</v>
      </c>
      <c r="H349" s="5">
        <v>2.1348031564727421E-6</v>
      </c>
      <c r="I349">
        <v>-31733.200000000001</v>
      </c>
      <c r="J349" s="5">
        <f>liquidity_data[[#This Row],[w_m]]+liquidity_data[[#This Row],[c_m]]+liquidity_data[[#This Row],[cf_m]]+liquidity_data[[#This Row],[kf_m]]+liquidity_data[[#This Row],[equity]]</f>
        <v>11999.992949073716</v>
      </c>
      <c r="K349" s="5">
        <f>liquidity_data[[#This Row],[kf_d]]+liquidity_data[[#This Row],[cf_d]]</f>
        <v>2.1348031564727421E-6</v>
      </c>
      <c r="L349" s="5">
        <f>liquidity_data[[#This Row],[TOTAL_M]]-liquidity_data[[#This Row],[TOTAL_D]]</f>
        <v>11999.992946938914</v>
      </c>
      <c r="M349" s="6">
        <f>liquidity_data[[#This Row],[M-D]]/L348-1</f>
        <v>1.1729224798084914E-6</v>
      </c>
    </row>
    <row r="350" spans="1:13" x14ac:dyDescent="0.25">
      <c r="A350" s="7" t="s">
        <v>146</v>
      </c>
      <c r="B350">
        <v>349</v>
      </c>
      <c r="C350" s="5">
        <v>12257.979482834693</v>
      </c>
      <c r="D350" s="5">
        <v>1196.191576346755</v>
      </c>
      <c r="E350" s="5">
        <v>-35.371535187587142</v>
      </c>
      <c r="F350" s="5">
        <v>0</v>
      </c>
      <c r="G350" s="5">
        <v>30715.147094726563</v>
      </c>
      <c r="H350" s="5">
        <v>2.0280629371427494E-6</v>
      </c>
      <c r="I350">
        <v>-32133.9</v>
      </c>
      <c r="J350" s="5">
        <f>liquidity_data[[#This Row],[w_m]]+liquidity_data[[#This Row],[c_m]]+liquidity_data[[#This Row],[cf_m]]+liquidity_data[[#This Row],[kf_m]]+liquidity_data[[#This Row],[equity]]</f>
        <v>12000.046618720422</v>
      </c>
      <c r="K350" s="5">
        <f>liquidity_data[[#This Row],[kf_d]]+liquidity_data[[#This Row],[cf_d]]</f>
        <v>2.0280629371427494E-6</v>
      </c>
      <c r="L350" s="5">
        <f>liquidity_data[[#This Row],[TOTAL_M]]-liquidity_data[[#This Row],[TOTAL_D]]</f>
        <v>12000.04661669236</v>
      </c>
      <c r="M350" s="6">
        <f>liquidity_data[[#This Row],[M-D]]/L349-1</f>
        <v>4.4724820826846923E-6</v>
      </c>
    </row>
    <row r="351" spans="1:13" x14ac:dyDescent="0.25">
      <c r="A351" s="7" t="s">
        <v>146</v>
      </c>
      <c r="B351">
        <v>350</v>
      </c>
      <c r="C351" s="5">
        <v>12291.29537591897</v>
      </c>
      <c r="D351" s="5">
        <v>1206.2635501474142</v>
      </c>
      <c r="E351" s="5">
        <v>-15.636632401961833</v>
      </c>
      <c r="F351" s="5">
        <v>0</v>
      </c>
      <c r="G351" s="5">
        <v>30960.868225097656</v>
      </c>
      <c r="H351" s="5">
        <v>1.9266597961475895E-6</v>
      </c>
      <c r="I351">
        <v>-32442.799999999999</v>
      </c>
      <c r="J351" s="5">
        <f>liquidity_data[[#This Row],[w_m]]+liquidity_data[[#This Row],[c_m]]+liquidity_data[[#This Row],[cf_m]]+liquidity_data[[#This Row],[kf_m]]+liquidity_data[[#This Row],[equity]]</f>
        <v>11999.990518762079</v>
      </c>
      <c r="K351" s="5">
        <f>liquidity_data[[#This Row],[kf_d]]+liquidity_data[[#This Row],[cf_d]]</f>
        <v>1.9266597961475895E-6</v>
      </c>
      <c r="L351" s="5">
        <f>liquidity_data[[#This Row],[TOTAL_M]]-liquidity_data[[#This Row],[TOTAL_D]]</f>
        <v>11999.99051683542</v>
      </c>
      <c r="M351" s="6">
        <f>liquidity_data[[#This Row],[M-D]]/L350-1</f>
        <v>-4.6749699174064574E-6</v>
      </c>
    </row>
    <row r="352" spans="1:13" x14ac:dyDescent="0.25">
      <c r="A352" s="7" t="s">
        <v>146</v>
      </c>
      <c r="B352">
        <v>351</v>
      </c>
      <c r="C352" s="5">
        <v>12334.488048465457</v>
      </c>
      <c r="D352" s="5">
        <v>1218.8995957374573</v>
      </c>
      <c r="E352" s="5">
        <v>-70.495887453667819</v>
      </c>
      <c r="F352" s="5">
        <v>0</v>
      </c>
      <c r="G352" s="5">
        <v>31265.465972900391</v>
      </c>
      <c r="H352" s="5">
        <v>1.8303268261021799E-6</v>
      </c>
      <c r="I352">
        <v>-32748.400000000001</v>
      </c>
      <c r="J352" s="5">
        <f>liquidity_data[[#This Row],[w_m]]+liquidity_data[[#This Row],[c_m]]+liquidity_data[[#This Row],[cf_m]]+liquidity_data[[#This Row],[kf_m]]+liquidity_data[[#This Row],[equity]]</f>
        <v>11999.957729649635</v>
      </c>
      <c r="K352" s="5">
        <f>liquidity_data[[#This Row],[kf_d]]+liquidity_data[[#This Row],[cf_d]]</f>
        <v>1.8303268261021799E-6</v>
      </c>
      <c r="L352" s="5">
        <f>liquidity_data[[#This Row],[TOTAL_M]]-liquidity_data[[#This Row],[TOTAL_D]]</f>
        <v>11999.957727819308</v>
      </c>
      <c r="M352" s="6">
        <f>liquidity_data[[#This Row],[M-D]]/L351-1</f>
        <v>-2.7324201686829142E-6</v>
      </c>
    </row>
    <row r="353" spans="1:13" x14ac:dyDescent="0.25">
      <c r="A353" s="7" t="s">
        <v>146</v>
      </c>
      <c r="B353">
        <v>352</v>
      </c>
      <c r="C353" s="5">
        <v>12384.456194075232</v>
      </c>
      <c r="D353" s="5">
        <v>1221.1270904541016</v>
      </c>
      <c r="E353" s="5">
        <v>-47.503995110280812</v>
      </c>
      <c r="F353" s="5">
        <v>0</v>
      </c>
      <c r="G353" s="5">
        <v>31552.050964355469</v>
      </c>
      <c r="H353" s="5">
        <v>1.7388104360804846E-6</v>
      </c>
      <c r="I353">
        <v>-33110.1</v>
      </c>
      <c r="J353" s="5">
        <f>liquidity_data[[#This Row],[w_m]]+liquidity_data[[#This Row],[c_m]]+liquidity_data[[#This Row],[cf_m]]+liquidity_data[[#This Row],[kf_m]]+liquidity_data[[#This Row],[equity]]</f>
        <v>12000.030253774523</v>
      </c>
      <c r="K353" s="5">
        <f>liquidity_data[[#This Row],[kf_d]]+liquidity_data[[#This Row],[cf_d]]</f>
        <v>1.7388104360804846E-6</v>
      </c>
      <c r="L353" s="5">
        <f>liquidity_data[[#This Row],[TOTAL_M]]-liquidity_data[[#This Row],[TOTAL_D]]</f>
        <v>12000.030252035713</v>
      </c>
      <c r="M353" s="6">
        <f>liquidity_data[[#This Row],[M-D]]/L352-1</f>
        <v>6.0437059903328816E-6</v>
      </c>
    </row>
    <row r="354" spans="1:13" x14ac:dyDescent="0.25">
      <c r="A354" s="7" t="s">
        <v>146</v>
      </c>
      <c r="B354">
        <v>353</v>
      </c>
      <c r="C354" s="5">
        <v>12418.026082463995</v>
      </c>
      <c r="D354" s="5">
        <v>1233.2586164474487</v>
      </c>
      <c r="E354" s="5">
        <v>-23.511191228870302</v>
      </c>
      <c r="F354" s="5">
        <v>0</v>
      </c>
      <c r="G354" s="5">
        <v>31817.444122314453</v>
      </c>
      <c r="H354" s="5">
        <v>1.6518699847978269E-6</v>
      </c>
      <c r="I354">
        <v>-33445.199999999997</v>
      </c>
      <c r="J354" s="5">
        <f>liquidity_data[[#This Row],[w_m]]+liquidity_data[[#This Row],[c_m]]+liquidity_data[[#This Row],[cf_m]]+liquidity_data[[#This Row],[kf_m]]+liquidity_data[[#This Row],[equity]]</f>
        <v>12000.017629997034</v>
      </c>
      <c r="K354" s="5">
        <f>liquidity_data[[#This Row],[kf_d]]+liquidity_data[[#This Row],[cf_d]]</f>
        <v>1.6518699847978269E-6</v>
      </c>
      <c r="L354" s="5">
        <f>liquidity_data[[#This Row],[TOTAL_M]]-liquidity_data[[#This Row],[TOTAL_D]]</f>
        <v>12000.017628345164</v>
      </c>
      <c r="M354" s="6">
        <f>liquidity_data[[#This Row],[M-D]]/L353-1</f>
        <v>-1.0519715604173641E-6</v>
      </c>
    </row>
    <row r="355" spans="1:13" x14ac:dyDescent="0.25">
      <c r="A355" s="7" t="s">
        <v>146</v>
      </c>
      <c r="B355">
        <v>354</v>
      </c>
      <c r="C355" s="5">
        <v>12462.83072693029</v>
      </c>
      <c r="D355" s="5">
        <v>1239.967432975769</v>
      </c>
      <c r="E355" s="5">
        <v>-25.469272990245372</v>
      </c>
      <c r="F355" s="5">
        <v>0</v>
      </c>
      <c r="G355" s="5">
        <v>32097.621765136719</v>
      </c>
      <c r="H355" s="5">
        <v>1.5692764563368655E-6</v>
      </c>
      <c r="I355">
        <v>-33774.9</v>
      </c>
      <c r="J355" s="5">
        <f>liquidity_data[[#This Row],[w_m]]+liquidity_data[[#This Row],[c_m]]+liquidity_data[[#This Row],[cf_m]]+liquidity_data[[#This Row],[kf_m]]+liquidity_data[[#This Row],[equity]]</f>
        <v>12000.05065205253</v>
      </c>
      <c r="K355" s="5">
        <f>liquidity_data[[#This Row],[kf_d]]+liquidity_data[[#This Row],[cf_d]]</f>
        <v>1.5692764563368655E-6</v>
      </c>
      <c r="L355" s="5">
        <f>liquidity_data[[#This Row],[TOTAL_M]]-liquidity_data[[#This Row],[TOTAL_D]]</f>
        <v>12000.050650483254</v>
      </c>
      <c r="M355" s="6">
        <f>liquidity_data[[#This Row],[M-D]]/L354-1</f>
        <v>2.7518407983428972E-6</v>
      </c>
    </row>
    <row r="356" spans="1:13" x14ac:dyDescent="0.25">
      <c r="A356" s="7" t="s">
        <v>146</v>
      </c>
      <c r="B356">
        <v>355</v>
      </c>
      <c r="C356" s="5">
        <v>12508.124154797464</v>
      </c>
      <c r="D356" s="5">
        <v>1238.7525396347046</v>
      </c>
      <c r="E356" s="5">
        <v>14.611460486892611</v>
      </c>
      <c r="F356" s="5">
        <v>0</v>
      </c>
      <c r="G356" s="5">
        <v>32345.445129394531</v>
      </c>
      <c r="H356" s="5">
        <v>1.4908125995916066E-6</v>
      </c>
      <c r="I356">
        <v>-34106.9</v>
      </c>
      <c r="J356" s="5">
        <f>liquidity_data[[#This Row],[w_m]]+liquidity_data[[#This Row],[c_m]]+liquidity_data[[#This Row],[cf_m]]+liquidity_data[[#This Row],[kf_m]]+liquidity_data[[#This Row],[equity]]</f>
        <v>12000.033284313591</v>
      </c>
      <c r="K356" s="5">
        <f>liquidity_data[[#This Row],[kf_d]]+liquidity_data[[#This Row],[cf_d]]</f>
        <v>1.4908125995916066E-6</v>
      </c>
      <c r="L356" s="5">
        <f>liquidity_data[[#This Row],[TOTAL_M]]-liquidity_data[[#This Row],[TOTAL_D]]</f>
        <v>12000.033282822778</v>
      </c>
      <c r="M356" s="6">
        <f>liquidity_data[[#This Row],[M-D]]/L355-1</f>
        <v>-1.4472989307012796E-6</v>
      </c>
    </row>
    <row r="357" spans="1:13" x14ac:dyDescent="0.25">
      <c r="A357" s="7" t="s">
        <v>146</v>
      </c>
      <c r="B357">
        <v>356</v>
      </c>
      <c r="C357" s="5">
        <v>12542.735566735209</v>
      </c>
      <c r="D357" s="5">
        <v>1268.4025573730469</v>
      </c>
      <c r="E357" s="5">
        <v>-100.51806087093428</v>
      </c>
      <c r="F357" s="5">
        <v>0</v>
      </c>
      <c r="G357" s="5">
        <v>32684.150939941406</v>
      </c>
      <c r="H357" s="5">
        <v>1.4162720010091334E-6</v>
      </c>
      <c r="I357">
        <v>-34394.800000000003</v>
      </c>
      <c r="J357" s="5">
        <f>liquidity_data[[#This Row],[w_m]]+liquidity_data[[#This Row],[c_m]]+liquidity_data[[#This Row],[cf_m]]+liquidity_data[[#This Row],[kf_m]]+liquidity_data[[#This Row],[equity]]</f>
        <v>11999.971003178725</v>
      </c>
      <c r="K357" s="5">
        <f>liquidity_data[[#This Row],[kf_d]]+liquidity_data[[#This Row],[cf_d]]</f>
        <v>1.4162720010091334E-6</v>
      </c>
      <c r="L357" s="5">
        <f>liquidity_data[[#This Row],[TOTAL_M]]-liquidity_data[[#This Row],[TOTAL_D]]</f>
        <v>11999.971001762453</v>
      </c>
      <c r="M357" s="6">
        <f>liquidity_data[[#This Row],[M-D]]/L356-1</f>
        <v>-5.1900739653776284E-6</v>
      </c>
    </row>
    <row r="358" spans="1:13" x14ac:dyDescent="0.25">
      <c r="A358" s="7" t="s">
        <v>146</v>
      </c>
      <c r="B358">
        <v>357</v>
      </c>
      <c r="C358" s="5">
        <v>12578.788388010813</v>
      </c>
      <c r="D358" s="5">
        <v>1291.3725919723511</v>
      </c>
      <c r="E358" s="5">
        <v>-69.458057512063533</v>
      </c>
      <c r="F358" s="5">
        <v>0</v>
      </c>
      <c r="G358" s="5">
        <v>32981.768005371094</v>
      </c>
      <c r="H358" s="5">
        <v>1.3454583922545282E-6</v>
      </c>
      <c r="I358">
        <v>-34782.5</v>
      </c>
      <c r="J358" s="5">
        <f>liquidity_data[[#This Row],[w_m]]+liquidity_data[[#This Row],[c_m]]+liquidity_data[[#This Row],[cf_m]]+liquidity_data[[#This Row],[kf_m]]+liquidity_data[[#This Row],[equity]]</f>
        <v>11999.970927842194</v>
      </c>
      <c r="K358" s="5">
        <f>liquidity_data[[#This Row],[kf_d]]+liquidity_data[[#This Row],[cf_d]]</f>
        <v>1.3454583922545282E-6</v>
      </c>
      <c r="L358" s="5">
        <f>liquidity_data[[#This Row],[TOTAL_M]]-liquidity_data[[#This Row],[TOTAL_D]]</f>
        <v>11999.970926496735</v>
      </c>
      <c r="M358" s="6">
        <f>liquidity_data[[#This Row],[M-D]]/L357-1</f>
        <v>-6.2721583482527876E-9</v>
      </c>
    </row>
    <row r="359" spans="1:13" x14ac:dyDescent="0.25">
      <c r="A359" s="7" t="s">
        <v>146</v>
      </c>
      <c r="B359">
        <v>358</v>
      </c>
      <c r="C359" s="5">
        <v>12627.603635425214</v>
      </c>
      <c r="D359" s="5">
        <v>1304.3757486343384</v>
      </c>
      <c r="E359" s="5">
        <v>-100.9205290832324</v>
      </c>
      <c r="F359" s="5">
        <v>0</v>
      </c>
      <c r="G359" s="5">
        <v>33299.986694335938</v>
      </c>
      <c r="H359" s="5">
        <v>1.2781854650256719E-6</v>
      </c>
      <c r="I359">
        <v>-35131</v>
      </c>
      <c r="J359" s="5">
        <f>liquidity_data[[#This Row],[w_m]]+liquidity_data[[#This Row],[c_m]]+liquidity_data[[#This Row],[cf_m]]+liquidity_data[[#This Row],[kf_m]]+liquidity_data[[#This Row],[equity]]</f>
        <v>12000.045549312257</v>
      </c>
      <c r="K359" s="5">
        <f>liquidity_data[[#This Row],[kf_d]]+liquidity_data[[#This Row],[cf_d]]</f>
        <v>1.2781854650256719E-6</v>
      </c>
      <c r="L359" s="5">
        <f>liquidity_data[[#This Row],[TOTAL_M]]-liquidity_data[[#This Row],[TOTAL_D]]</f>
        <v>12000.045548034072</v>
      </c>
      <c r="M359" s="6">
        <f>liquidity_data[[#This Row],[M-D]]/L358-1</f>
        <v>6.2184765108330708E-6</v>
      </c>
    </row>
    <row r="360" spans="1:13" x14ac:dyDescent="0.25">
      <c r="A360" s="7" t="s">
        <v>146</v>
      </c>
      <c r="B360">
        <v>359</v>
      </c>
      <c r="C360" s="5">
        <v>12662.361490737414</v>
      </c>
      <c r="D360" s="5">
        <v>1324.5359935760498</v>
      </c>
      <c r="E360" s="5">
        <v>-66.225956876762211</v>
      </c>
      <c r="F360" s="5">
        <v>0</v>
      </c>
      <c r="G360" s="5">
        <v>33593.081115722656</v>
      </c>
      <c r="H360" s="5">
        <v>1.2142762111366778E-6</v>
      </c>
      <c r="I360">
        <v>-35513.800000000003</v>
      </c>
      <c r="J360" s="5">
        <f>liquidity_data[[#This Row],[w_m]]+liquidity_data[[#This Row],[c_m]]+liquidity_data[[#This Row],[cf_m]]+liquidity_data[[#This Row],[kf_m]]+liquidity_data[[#This Row],[equity]]</f>
        <v>11999.952643159355</v>
      </c>
      <c r="K360" s="5">
        <f>liquidity_data[[#This Row],[kf_d]]+liquidity_data[[#This Row],[cf_d]]</f>
        <v>1.2142762111366778E-6</v>
      </c>
      <c r="L360" s="5">
        <f>liquidity_data[[#This Row],[TOTAL_M]]-liquidity_data[[#This Row],[TOTAL_D]]</f>
        <v>11999.952641945079</v>
      </c>
      <c r="M360" s="6">
        <f>liquidity_data[[#This Row],[M-D]]/L359-1</f>
        <v>-7.7421446960102003E-6</v>
      </c>
    </row>
    <row r="361" spans="1:13" x14ac:dyDescent="0.25">
      <c r="A361" s="7" t="s">
        <v>146</v>
      </c>
      <c r="B361">
        <v>360</v>
      </c>
      <c r="C361" s="5">
        <v>12683.426109807973</v>
      </c>
      <c r="D361" s="5">
        <v>1359.6571869850159</v>
      </c>
      <c r="E361" s="5">
        <v>-93.442079902160913</v>
      </c>
      <c r="F361" s="5">
        <v>0</v>
      </c>
      <c r="G361" s="5">
        <v>33907.075744628906</v>
      </c>
      <c r="H361" s="5">
        <v>1.1535623807290563E-6</v>
      </c>
      <c r="I361">
        <v>-35856.699999999997</v>
      </c>
      <c r="J361" s="5">
        <f>liquidity_data[[#This Row],[w_m]]+liquidity_data[[#This Row],[c_m]]+liquidity_data[[#This Row],[cf_m]]+liquidity_data[[#This Row],[kf_m]]+liquidity_data[[#This Row],[equity]]</f>
        <v>12000.016961519737</v>
      </c>
      <c r="K361" s="5">
        <f>liquidity_data[[#This Row],[kf_d]]+liquidity_data[[#This Row],[cf_d]]</f>
        <v>1.1535623807290563E-6</v>
      </c>
      <c r="L361" s="5">
        <f>liquidity_data[[#This Row],[TOTAL_M]]-liquidity_data[[#This Row],[TOTAL_D]]</f>
        <v>12000.016960366174</v>
      </c>
      <c r="M361" s="6">
        <f>liquidity_data[[#This Row],[M-D]]/L360-1</f>
        <v>5.3598895775053279E-6</v>
      </c>
    </row>
    <row r="362" spans="1:13" x14ac:dyDescent="0.25">
      <c r="A362" s="7" t="s">
        <v>146</v>
      </c>
      <c r="B362">
        <v>361</v>
      </c>
      <c r="C362" s="5">
        <v>12733.962569841649</v>
      </c>
      <c r="D362" s="5">
        <v>1363.1955337524414</v>
      </c>
      <c r="E362" s="5">
        <v>-86.503649612423033</v>
      </c>
      <c r="F362" s="5">
        <v>0</v>
      </c>
      <c r="G362" s="5">
        <v>34216.9736328125</v>
      </c>
      <c r="H362" s="5">
        <v>1.0958842806552127E-6</v>
      </c>
      <c r="I362">
        <v>-36227.599999999999</v>
      </c>
      <c r="J362" s="5">
        <f>liquidity_data[[#This Row],[w_m]]+liquidity_data[[#This Row],[c_m]]+liquidity_data[[#This Row],[cf_m]]+liquidity_data[[#This Row],[kf_m]]+liquidity_data[[#This Row],[equity]]</f>
        <v>12000.028086794169</v>
      </c>
      <c r="K362" s="5">
        <f>liquidity_data[[#This Row],[kf_d]]+liquidity_data[[#This Row],[cf_d]]</f>
        <v>1.0958842806552127E-6</v>
      </c>
      <c r="L362" s="5">
        <f>liquidity_data[[#This Row],[TOTAL_M]]-liquidity_data[[#This Row],[TOTAL_D]]</f>
        <v>12000.028085698284</v>
      </c>
      <c r="M362" s="6">
        <f>liquidity_data[[#This Row],[M-D]]/L361-1</f>
        <v>9.2710969878950777E-7</v>
      </c>
    </row>
    <row r="363" spans="1:13" x14ac:dyDescent="0.25">
      <c r="A363" s="7" t="s">
        <v>146</v>
      </c>
      <c r="B363">
        <v>362</v>
      </c>
      <c r="C363" s="5">
        <v>12771.295815490244</v>
      </c>
      <c r="D363" s="5">
        <v>1389.4165325164795</v>
      </c>
      <c r="E363" s="5">
        <v>-107.69049581000581</v>
      </c>
      <c r="F363" s="5">
        <v>0</v>
      </c>
      <c r="G363" s="5">
        <v>34547.633666992188</v>
      </c>
      <c r="H363" s="5">
        <v>1.0410900666002476E-6</v>
      </c>
      <c r="I363">
        <v>-36600.699999999997</v>
      </c>
      <c r="J363" s="5">
        <f>liquidity_data[[#This Row],[w_m]]+liquidity_data[[#This Row],[c_m]]+liquidity_data[[#This Row],[cf_m]]+liquidity_data[[#This Row],[kf_m]]+liquidity_data[[#This Row],[equity]]</f>
        <v>11999.955519188909</v>
      </c>
      <c r="K363" s="5">
        <f>liquidity_data[[#This Row],[kf_d]]+liquidity_data[[#This Row],[cf_d]]</f>
        <v>1.0410900666002476E-6</v>
      </c>
      <c r="L363" s="5">
        <f>liquidity_data[[#This Row],[TOTAL_M]]-liquidity_data[[#This Row],[TOTAL_D]]</f>
        <v>11999.955518147819</v>
      </c>
      <c r="M363" s="6">
        <f>liquidity_data[[#This Row],[M-D]]/L362-1</f>
        <v>-6.0472817186019157E-6</v>
      </c>
    </row>
    <row r="364" spans="1:13" x14ac:dyDescent="0.25">
      <c r="A364" s="7" t="s">
        <v>146</v>
      </c>
      <c r="B364">
        <v>363</v>
      </c>
      <c r="C364" s="5">
        <v>12813.661308202019</v>
      </c>
      <c r="D364" s="5">
        <v>1419.2437969744205</v>
      </c>
      <c r="E364" s="5">
        <v>-133.4133796626702</v>
      </c>
      <c r="F364" s="5">
        <v>0</v>
      </c>
      <c r="G364" s="5">
        <v>34901.026184082031</v>
      </c>
      <c r="H364" s="5">
        <v>9.8903554546225791E-7</v>
      </c>
      <c r="I364">
        <v>-37000.5</v>
      </c>
      <c r="J364" s="5">
        <f>liquidity_data[[#This Row],[w_m]]+liquidity_data[[#This Row],[c_m]]+liquidity_data[[#This Row],[cf_m]]+liquidity_data[[#This Row],[kf_m]]+liquidity_data[[#This Row],[equity]]</f>
        <v>12000.017909595801</v>
      </c>
      <c r="K364" s="5">
        <f>liquidity_data[[#This Row],[kf_d]]+liquidity_data[[#This Row],[cf_d]]</f>
        <v>9.8903554546225791E-7</v>
      </c>
      <c r="L364" s="5">
        <f>liquidity_data[[#This Row],[TOTAL_M]]-liquidity_data[[#This Row],[TOTAL_D]]</f>
        <v>12000.017908606766</v>
      </c>
      <c r="M364" s="6">
        <f>liquidity_data[[#This Row],[M-D]]/L363-1</f>
        <v>5.1992241847376164E-6</v>
      </c>
    </row>
    <row r="365" spans="1:13" x14ac:dyDescent="0.25">
      <c r="A365" s="7" t="s">
        <v>146</v>
      </c>
      <c r="B365">
        <v>364</v>
      </c>
      <c r="C365" s="5">
        <v>12860.362127895736</v>
      </c>
      <c r="D365" s="5">
        <v>1445.3725382387638</v>
      </c>
      <c r="E365" s="5">
        <v>-142.52473680721596</v>
      </c>
      <c r="F365" s="5">
        <v>0</v>
      </c>
      <c r="G365" s="5">
        <v>35256.614929199219</v>
      </c>
      <c r="H365" s="5">
        <v>9.3958377744840504E-7</v>
      </c>
      <c r="I365">
        <v>-37419.800000000003</v>
      </c>
      <c r="J365" s="5">
        <f>liquidity_data[[#This Row],[w_m]]+liquidity_data[[#This Row],[c_m]]+liquidity_data[[#This Row],[cf_m]]+liquidity_data[[#This Row],[kf_m]]+liquidity_data[[#This Row],[equity]]</f>
        <v>12000.0248585265</v>
      </c>
      <c r="K365" s="5">
        <f>liquidity_data[[#This Row],[kf_d]]+liquidity_data[[#This Row],[cf_d]]</f>
        <v>9.3958377744840504E-7</v>
      </c>
      <c r="L365" s="5">
        <f>liquidity_data[[#This Row],[TOTAL_M]]-liquidity_data[[#This Row],[TOTAL_D]]</f>
        <v>12000.024857586915</v>
      </c>
      <c r="M365" s="6">
        <f>liquidity_data[[#This Row],[M-D]]/L364-1</f>
        <v>5.7908081485535945E-7</v>
      </c>
    </row>
    <row r="366" spans="1:13" x14ac:dyDescent="0.25">
      <c r="A366" s="7" t="s">
        <v>146</v>
      </c>
      <c r="B366">
        <v>365</v>
      </c>
      <c r="C366" s="5">
        <v>12901.884349779786</v>
      </c>
      <c r="D366" s="5">
        <v>1470.1253547668457</v>
      </c>
      <c r="E366" s="5">
        <v>-127.34123145928606</v>
      </c>
      <c r="F366" s="5">
        <v>0</v>
      </c>
      <c r="G366" s="5">
        <v>35597.8310546875</v>
      </c>
      <c r="H366" s="5">
        <v>8.9260460089946037E-7</v>
      </c>
      <c r="I366">
        <v>-37842.5</v>
      </c>
      <c r="J366" s="5">
        <f>liquidity_data[[#This Row],[w_m]]+liquidity_data[[#This Row],[c_m]]+liquidity_data[[#This Row],[cf_m]]+liquidity_data[[#This Row],[kf_m]]+liquidity_data[[#This Row],[equity]]</f>
        <v>11999.999527774846</v>
      </c>
      <c r="K366" s="5">
        <f>liquidity_data[[#This Row],[kf_d]]+liquidity_data[[#This Row],[cf_d]]</f>
        <v>8.9260460089946037E-7</v>
      </c>
      <c r="L366" s="5">
        <f>liquidity_data[[#This Row],[TOTAL_M]]-liquidity_data[[#This Row],[TOTAL_D]]</f>
        <v>11999.99952688224</v>
      </c>
      <c r="M366" s="6">
        <f>liquidity_data[[#This Row],[M-D]]/L365-1</f>
        <v>-2.1108876836484214E-6</v>
      </c>
    </row>
    <row r="367" spans="1:13" x14ac:dyDescent="0.25">
      <c r="A367" s="7" t="s">
        <v>146</v>
      </c>
      <c r="B367">
        <v>366</v>
      </c>
      <c r="C367" s="5">
        <v>12933.919708333771</v>
      </c>
      <c r="D367" s="5">
        <v>1502.9117480665445</v>
      </c>
      <c r="E367" s="5">
        <v>-118.52454979578033</v>
      </c>
      <c r="F367" s="5">
        <v>0</v>
      </c>
      <c r="G367" s="5">
        <v>35941.218872070313</v>
      </c>
      <c r="H367" s="5">
        <v>8.4797437294170663E-7</v>
      </c>
      <c r="I367">
        <v>-38259.5</v>
      </c>
      <c r="J367" s="5">
        <f>liquidity_data[[#This Row],[w_m]]+liquidity_data[[#This Row],[c_m]]+liquidity_data[[#This Row],[cf_m]]+liquidity_data[[#This Row],[kf_m]]+liquidity_data[[#This Row],[equity]]</f>
        <v>12000.025778674848</v>
      </c>
      <c r="K367" s="5">
        <f>liquidity_data[[#This Row],[kf_d]]+liquidity_data[[#This Row],[cf_d]]</f>
        <v>8.4797437294170663E-7</v>
      </c>
      <c r="L367" s="5">
        <f>liquidity_data[[#This Row],[TOTAL_M]]-liquidity_data[[#This Row],[TOTAL_D]]</f>
        <v>12000.025777826873</v>
      </c>
      <c r="M367" s="6">
        <f>liquidity_data[[#This Row],[M-D]]/L366-1</f>
        <v>2.1875788056568979E-6</v>
      </c>
    </row>
    <row r="368" spans="1:13" x14ac:dyDescent="0.25">
      <c r="A368" s="7" t="s">
        <v>146</v>
      </c>
      <c r="B368">
        <v>367</v>
      </c>
      <c r="C368" s="5">
        <v>12972.741262640928</v>
      </c>
      <c r="D368" s="5">
        <v>1520.4828022047877</v>
      </c>
      <c r="E368" s="5">
        <v>-91.712733144406229</v>
      </c>
      <c r="F368" s="5">
        <v>0</v>
      </c>
      <c r="G368" s="5">
        <v>36249.628540039063</v>
      </c>
      <c r="H368" s="5">
        <v>8.0557565196315295E-7</v>
      </c>
      <c r="I368">
        <v>-38651.1</v>
      </c>
      <c r="J368" s="5">
        <f>liquidity_data[[#This Row],[w_m]]+liquidity_data[[#This Row],[c_m]]+liquidity_data[[#This Row],[cf_m]]+liquidity_data[[#This Row],[kf_m]]+liquidity_data[[#This Row],[equity]]</f>
        <v>12000.039871740373</v>
      </c>
      <c r="K368" s="5">
        <f>liquidity_data[[#This Row],[kf_d]]+liquidity_data[[#This Row],[cf_d]]</f>
        <v>8.0557565196315295E-7</v>
      </c>
      <c r="L368" s="5">
        <f>liquidity_data[[#This Row],[TOTAL_M]]-liquidity_data[[#This Row],[TOTAL_D]]</f>
        <v>12000.039870934797</v>
      </c>
      <c r="M368" s="6">
        <f>liquidity_data[[#This Row],[M-D]]/L367-1</f>
        <v>1.1744231374066771E-6</v>
      </c>
    </row>
    <row r="369" spans="1:13" x14ac:dyDescent="0.25">
      <c r="A369" s="7" t="s">
        <v>146</v>
      </c>
      <c r="B369">
        <v>368</v>
      </c>
      <c r="C369" s="5">
        <v>13011.255357333204</v>
      </c>
      <c r="D369" s="5">
        <v>1555.5574558340013</v>
      </c>
      <c r="E369" s="5">
        <v>-197.84181621531025</v>
      </c>
      <c r="F369" s="5">
        <v>0</v>
      </c>
      <c r="G369" s="5">
        <v>36646.755859375</v>
      </c>
      <c r="H369" s="5">
        <v>7.6529684012172083E-7</v>
      </c>
      <c r="I369">
        <v>-39015.699999999997</v>
      </c>
      <c r="J369" s="5">
        <f>liquidity_data[[#This Row],[w_m]]+liquidity_data[[#This Row],[c_m]]+liquidity_data[[#This Row],[cf_m]]+liquidity_data[[#This Row],[kf_m]]+liquidity_data[[#This Row],[equity]]</f>
        <v>12000.026856326898</v>
      </c>
      <c r="K369" s="5">
        <f>liquidity_data[[#This Row],[kf_d]]+liquidity_data[[#This Row],[cf_d]]</f>
        <v>7.6529684012172083E-7</v>
      </c>
      <c r="L369" s="5">
        <f>liquidity_data[[#This Row],[TOTAL_M]]-liquidity_data[[#This Row],[TOTAL_D]]</f>
        <v>12000.026855561602</v>
      </c>
      <c r="M369" s="6">
        <f>liquidity_data[[#This Row],[M-D]]/L368-1</f>
        <v>-1.0846108292605905E-6</v>
      </c>
    </row>
    <row r="370" spans="1:13" x14ac:dyDescent="0.25">
      <c r="A370" s="7" t="s">
        <v>146</v>
      </c>
      <c r="B370">
        <v>369</v>
      </c>
      <c r="C370" s="5">
        <v>13054.759285537177</v>
      </c>
      <c r="D370" s="5">
        <v>1556.8723645061255</v>
      </c>
      <c r="E370" s="5">
        <v>-67.033831109758466</v>
      </c>
      <c r="F370" s="5">
        <v>0</v>
      </c>
      <c r="G370" s="5">
        <v>36935.428039550781</v>
      </c>
      <c r="H370" s="5">
        <v>7.270320245833517E-7</v>
      </c>
      <c r="I370">
        <v>-39480</v>
      </c>
      <c r="J370" s="5">
        <f>liquidity_data[[#This Row],[w_m]]+liquidity_data[[#This Row],[c_m]]+liquidity_data[[#This Row],[cf_m]]+liquidity_data[[#This Row],[kf_m]]+liquidity_data[[#This Row],[equity]]</f>
        <v>12000.025858484325</v>
      </c>
      <c r="K370" s="5">
        <f>liquidity_data[[#This Row],[kf_d]]+liquidity_data[[#This Row],[cf_d]]</f>
        <v>7.270320245833517E-7</v>
      </c>
      <c r="L370" s="5">
        <f>liquidity_data[[#This Row],[TOTAL_M]]-liquidity_data[[#This Row],[TOTAL_D]]</f>
        <v>12000.025857757293</v>
      </c>
      <c r="M370" s="6">
        <f>liquidity_data[[#This Row],[M-D]]/L369-1</f>
        <v>-8.3150172969226332E-8</v>
      </c>
    </row>
    <row r="371" spans="1:13" x14ac:dyDescent="0.25">
      <c r="A371" s="7" t="s">
        <v>146</v>
      </c>
      <c r="B371">
        <v>370</v>
      </c>
      <c r="C371" s="5">
        <v>13098.084726821748</v>
      </c>
      <c r="D371" s="5">
        <v>1553.229237370193</v>
      </c>
      <c r="E371" s="5">
        <v>-43.288967833388597</v>
      </c>
      <c r="F371" s="5">
        <v>0</v>
      </c>
      <c r="G371" s="5">
        <v>37204.211547851563</v>
      </c>
      <c r="H371" s="5">
        <v>6.9068041397279956E-7</v>
      </c>
      <c r="I371">
        <v>-39812.199999999997</v>
      </c>
      <c r="J371" s="5">
        <f>liquidity_data[[#This Row],[w_m]]+liquidity_data[[#This Row],[c_m]]+liquidity_data[[#This Row],[cf_m]]+liquidity_data[[#This Row],[kf_m]]+liquidity_data[[#This Row],[equity]]</f>
        <v>12000.036544210117</v>
      </c>
      <c r="K371" s="5">
        <f>liquidity_data[[#This Row],[kf_d]]+liquidity_data[[#This Row],[cf_d]]</f>
        <v>6.9068041397279956E-7</v>
      </c>
      <c r="L371" s="5">
        <f>liquidity_data[[#This Row],[TOTAL_M]]-liquidity_data[[#This Row],[TOTAL_D]]</f>
        <v>12000.036543519436</v>
      </c>
      <c r="M371" s="6">
        <f>liquidity_data[[#This Row],[M-D]]/L370-1</f>
        <v>8.9047825979626793E-7</v>
      </c>
    </row>
    <row r="372" spans="1:13" x14ac:dyDescent="0.25">
      <c r="A372" s="7" t="s">
        <v>146</v>
      </c>
      <c r="B372">
        <v>371</v>
      </c>
      <c r="C372" s="5">
        <v>13129.41581324616</v>
      </c>
      <c r="D372" s="5">
        <v>1582.53509311378</v>
      </c>
      <c r="E372" s="5">
        <v>-143.58225348312408</v>
      </c>
      <c r="F372" s="5">
        <v>0</v>
      </c>
      <c r="G372" s="5">
        <v>37579.620239257813</v>
      </c>
      <c r="H372" s="5">
        <v>6.5614638389277502E-7</v>
      </c>
      <c r="I372">
        <v>-40148</v>
      </c>
      <c r="J372" s="5">
        <f>liquidity_data[[#This Row],[w_m]]+liquidity_data[[#This Row],[c_m]]+liquidity_data[[#This Row],[cf_m]]+liquidity_data[[#This Row],[kf_m]]+liquidity_data[[#This Row],[equity]]</f>
        <v>11999.988892134628</v>
      </c>
      <c r="K372" s="5">
        <f>liquidity_data[[#This Row],[kf_d]]+liquidity_data[[#This Row],[cf_d]]</f>
        <v>6.5614638389277502E-7</v>
      </c>
      <c r="L372" s="5">
        <f>liquidity_data[[#This Row],[TOTAL_M]]-liquidity_data[[#This Row],[TOTAL_D]]</f>
        <v>11999.988891478482</v>
      </c>
      <c r="M372" s="6">
        <f>liquidity_data[[#This Row],[M-D]]/L371-1</f>
        <v>-3.9709913199903468E-6</v>
      </c>
    </row>
    <row r="373" spans="1:13" x14ac:dyDescent="0.25">
      <c r="A373" s="7" t="s">
        <v>146</v>
      </c>
      <c r="B373">
        <v>372</v>
      </c>
      <c r="C373" s="5">
        <v>13173.977113772824</v>
      </c>
      <c r="D373" s="5">
        <v>1590.0110872164369</v>
      </c>
      <c r="E373" s="5">
        <v>-81.857939417008311</v>
      </c>
      <c r="F373" s="5">
        <v>0</v>
      </c>
      <c r="G373" s="5">
        <v>37888.637390136719</v>
      </c>
      <c r="H373" s="5">
        <v>6.2333909012224353E-7</v>
      </c>
      <c r="I373">
        <v>-40570.800000000003</v>
      </c>
      <c r="J373" s="5">
        <f>liquidity_data[[#This Row],[w_m]]+liquidity_data[[#This Row],[c_m]]+liquidity_data[[#This Row],[cf_m]]+liquidity_data[[#This Row],[kf_m]]+liquidity_data[[#This Row],[equity]]</f>
        <v>11999.967651708968</v>
      </c>
      <c r="K373" s="5">
        <f>liquidity_data[[#This Row],[kf_d]]+liquidity_data[[#This Row],[cf_d]]</f>
        <v>6.2333909012224353E-7</v>
      </c>
      <c r="L373" s="5">
        <f>liquidity_data[[#This Row],[TOTAL_M]]-liquidity_data[[#This Row],[TOTAL_D]]</f>
        <v>11999.96765108563</v>
      </c>
      <c r="M373" s="6">
        <f>liquidity_data[[#This Row],[M-D]]/L372-1</f>
        <v>-1.7700343762916404E-6</v>
      </c>
    </row>
    <row r="374" spans="1:13" x14ac:dyDescent="0.25">
      <c r="A374" s="7" t="s">
        <v>146</v>
      </c>
      <c r="B374">
        <v>373</v>
      </c>
      <c r="C374" s="5">
        <v>13195.128311493609</v>
      </c>
      <c r="D374" s="5">
        <v>1617.5585573092103</v>
      </c>
      <c r="E374" s="5">
        <v>-62.966354392934591</v>
      </c>
      <c r="F374" s="5">
        <v>0</v>
      </c>
      <c r="G374" s="5">
        <v>38188.907775878906</v>
      </c>
      <c r="H374" s="5">
        <v>5.9217212533546615E-7</v>
      </c>
      <c r="I374">
        <v>-40938.6</v>
      </c>
      <c r="J374" s="5">
        <f>liquidity_data[[#This Row],[w_m]]+liquidity_data[[#This Row],[c_m]]+liquidity_data[[#This Row],[cf_m]]+liquidity_data[[#This Row],[kf_m]]+liquidity_data[[#This Row],[equity]]</f>
        <v>12000.028290288792</v>
      </c>
      <c r="K374" s="5">
        <f>liquidity_data[[#This Row],[kf_d]]+liquidity_data[[#This Row],[cf_d]]</f>
        <v>5.9217212533546615E-7</v>
      </c>
      <c r="L374" s="5">
        <f>liquidity_data[[#This Row],[TOTAL_M]]-liquidity_data[[#This Row],[TOTAL_D]]</f>
        <v>12000.02828969662</v>
      </c>
      <c r="M374" s="6">
        <f>liquidity_data[[#This Row],[M-D]]/L373-1</f>
        <v>5.0532312048101602E-6</v>
      </c>
    </row>
    <row r="375" spans="1:13" x14ac:dyDescent="0.25">
      <c r="A375" s="7" t="s">
        <v>146</v>
      </c>
      <c r="B375">
        <v>374</v>
      </c>
      <c r="C375" s="5">
        <v>13223.665024276299</v>
      </c>
      <c r="D375" s="5">
        <v>1645.1169444900006</v>
      </c>
      <c r="E375" s="5">
        <v>-102.4475226434879</v>
      </c>
      <c r="F375" s="5">
        <v>0</v>
      </c>
      <c r="G375" s="5">
        <v>38542.962463378906</v>
      </c>
      <c r="H375" s="5">
        <v>5.6256352132244558E-7</v>
      </c>
      <c r="I375">
        <v>-41309.300000000003</v>
      </c>
      <c r="J375" s="5">
        <f>liquidity_data[[#This Row],[w_m]]+liquidity_data[[#This Row],[c_m]]+liquidity_data[[#This Row],[cf_m]]+liquidity_data[[#This Row],[kf_m]]+liquidity_data[[#This Row],[equity]]</f>
        <v>11999.996909501715</v>
      </c>
      <c r="K375" s="5">
        <f>liquidity_data[[#This Row],[kf_d]]+liquidity_data[[#This Row],[cf_d]]</f>
        <v>5.6256352132244558E-7</v>
      </c>
      <c r="L375" s="5">
        <f>liquidity_data[[#This Row],[TOTAL_M]]-liquidity_data[[#This Row],[TOTAL_D]]</f>
        <v>11999.996908939151</v>
      </c>
      <c r="M375" s="6">
        <f>liquidity_data[[#This Row],[M-D]]/L374-1</f>
        <v>-2.6150569575333904E-6</v>
      </c>
    </row>
    <row r="376" spans="1:13" x14ac:dyDescent="0.25">
      <c r="A376" s="7" t="s">
        <v>146</v>
      </c>
      <c r="B376">
        <v>375</v>
      </c>
      <c r="C376" s="5">
        <v>13267.211858665047</v>
      </c>
      <c r="D376" s="5">
        <v>1651.0142642837018</v>
      </c>
      <c r="E376" s="5">
        <v>-71.395660482812673</v>
      </c>
      <c r="F376" s="5">
        <v>0</v>
      </c>
      <c r="G376" s="5">
        <v>38869.421813964844</v>
      </c>
      <c r="H376" s="5">
        <v>5.3443532377350778E-7</v>
      </c>
      <c r="I376">
        <v>-41716.300000000003</v>
      </c>
      <c r="J376" s="5">
        <f>liquidity_data[[#This Row],[w_m]]+liquidity_data[[#This Row],[c_m]]+liquidity_data[[#This Row],[cf_m]]+liquidity_data[[#This Row],[kf_m]]+liquidity_data[[#This Row],[equity]]</f>
        <v>11999.952276430777</v>
      </c>
      <c r="K376" s="5">
        <f>liquidity_data[[#This Row],[kf_d]]+liquidity_data[[#This Row],[cf_d]]</f>
        <v>5.3443532377350778E-7</v>
      </c>
      <c r="L376" s="5">
        <f>liquidity_data[[#This Row],[TOTAL_M]]-liquidity_data[[#This Row],[TOTAL_D]]</f>
        <v>11999.952275896341</v>
      </c>
      <c r="M376" s="6">
        <f>liquidity_data[[#This Row],[M-D]]/L375-1</f>
        <v>-3.7194211921498521E-6</v>
      </c>
    </row>
    <row r="377" spans="1:13" x14ac:dyDescent="0.25">
      <c r="A377" s="7" t="s">
        <v>146</v>
      </c>
      <c r="B377">
        <v>376</v>
      </c>
      <c r="C377" s="5">
        <v>13296.932607498253</v>
      </c>
      <c r="D377" s="5">
        <v>1666.5022711828351</v>
      </c>
      <c r="E377" s="5">
        <v>-18.536800411529839</v>
      </c>
      <c r="F377" s="5">
        <v>0</v>
      </c>
      <c r="G377" s="5">
        <v>39153.428466796875</v>
      </c>
      <c r="H377" s="5">
        <v>5.0771357607004575E-7</v>
      </c>
      <c r="I377">
        <v>-42098.3</v>
      </c>
      <c r="J377" s="5">
        <f>liquidity_data[[#This Row],[w_m]]+liquidity_data[[#This Row],[c_m]]+liquidity_data[[#This Row],[cf_m]]+liquidity_data[[#This Row],[kf_m]]+liquidity_data[[#This Row],[equity]]</f>
        <v>12000.02654506643</v>
      </c>
      <c r="K377" s="5">
        <f>liquidity_data[[#This Row],[kf_d]]+liquidity_data[[#This Row],[cf_d]]</f>
        <v>5.0771357607004575E-7</v>
      </c>
      <c r="L377" s="5">
        <f>liquidity_data[[#This Row],[TOTAL_M]]-liquidity_data[[#This Row],[TOTAL_D]]</f>
        <v>12000.026544558717</v>
      </c>
      <c r="M377" s="6">
        <f>liquidity_data[[#This Row],[M-D]]/L376-1</f>
        <v>6.189079811980136E-6</v>
      </c>
    </row>
    <row r="378" spans="1:13" x14ac:dyDescent="0.25">
      <c r="A378" s="7" t="s">
        <v>146</v>
      </c>
      <c r="B378">
        <v>377</v>
      </c>
      <c r="C378" s="5">
        <v>13336.671521756682</v>
      </c>
      <c r="D378" s="5">
        <v>1705.5513122808188</v>
      </c>
      <c r="E378" s="5">
        <v>-171.30447276635095</v>
      </c>
      <c r="F378" s="5">
        <v>0</v>
      </c>
      <c r="G378" s="5">
        <v>39567.670166015625</v>
      </c>
      <c r="H378" s="5">
        <v>4.8232789806590404E-7</v>
      </c>
      <c r="I378">
        <v>-42438.6</v>
      </c>
      <c r="J378" s="5">
        <f>liquidity_data[[#This Row],[w_m]]+liquidity_data[[#This Row],[c_m]]+liquidity_data[[#This Row],[cf_m]]+liquidity_data[[#This Row],[kf_m]]+liquidity_data[[#This Row],[equity]]</f>
        <v>11999.988527286776</v>
      </c>
      <c r="K378" s="5">
        <f>liquidity_data[[#This Row],[kf_d]]+liquidity_data[[#This Row],[cf_d]]</f>
        <v>4.8232789806590404E-7</v>
      </c>
      <c r="L378" s="5">
        <f>liquidity_data[[#This Row],[TOTAL_M]]-liquidity_data[[#This Row],[TOTAL_D]]</f>
        <v>11999.988526804447</v>
      </c>
      <c r="M378" s="6">
        <f>liquidity_data[[#This Row],[M-D]]/L377-1</f>
        <v>-3.1681391811089199E-6</v>
      </c>
    </row>
    <row r="379" spans="1:13" x14ac:dyDescent="0.25">
      <c r="A379" s="7" t="s">
        <v>146</v>
      </c>
      <c r="B379">
        <v>378</v>
      </c>
      <c r="C379" s="5">
        <v>13372.528845531633</v>
      </c>
      <c r="D379" s="5">
        <v>1722.1185628063977</v>
      </c>
      <c r="E379" s="5">
        <v>-63.320102692116052</v>
      </c>
      <c r="F379" s="5">
        <v>0</v>
      </c>
      <c r="G379" s="5">
        <v>39887.228759765625</v>
      </c>
      <c r="H379" s="5">
        <v>4.5821149807778738E-7</v>
      </c>
      <c r="I379">
        <v>-42918.6</v>
      </c>
      <c r="J379" s="5">
        <f>liquidity_data[[#This Row],[w_m]]+liquidity_data[[#This Row],[c_m]]+liquidity_data[[#This Row],[cf_m]]+liquidity_data[[#This Row],[kf_m]]+liquidity_data[[#This Row],[equity]]</f>
        <v>11999.956065411541</v>
      </c>
      <c r="K379" s="5">
        <f>liquidity_data[[#This Row],[kf_d]]+liquidity_data[[#This Row],[cf_d]]</f>
        <v>4.5821149807778738E-7</v>
      </c>
      <c r="L379" s="5">
        <f>liquidity_data[[#This Row],[TOTAL_M]]-liquidity_data[[#This Row],[TOTAL_D]]</f>
        <v>11999.95606495333</v>
      </c>
      <c r="M379" s="6">
        <f>liquidity_data[[#This Row],[M-D]]/L378-1</f>
        <v>-2.7051568460834119E-6</v>
      </c>
    </row>
    <row r="380" spans="1:13" x14ac:dyDescent="0.25">
      <c r="A380" s="7" t="s">
        <v>146</v>
      </c>
      <c r="B380">
        <v>379</v>
      </c>
      <c r="C380" s="5">
        <v>13411.076053194127</v>
      </c>
      <c r="D380" s="5">
        <v>1752.2244120426476</v>
      </c>
      <c r="E380" s="5">
        <v>-153.35659764427692</v>
      </c>
      <c r="F380" s="5">
        <v>0</v>
      </c>
      <c r="G380" s="5">
        <v>40260.408020019531</v>
      </c>
      <c r="H380" s="5">
        <v>4.3530092153076794E-7</v>
      </c>
      <c r="I380">
        <v>-43270.400000000001</v>
      </c>
      <c r="J380" s="5">
        <f>liquidity_data[[#This Row],[w_m]]+liquidity_data[[#This Row],[c_m]]+liquidity_data[[#This Row],[cf_m]]+liquidity_data[[#This Row],[kf_m]]+liquidity_data[[#This Row],[equity]]</f>
        <v>11999.951887612027</v>
      </c>
      <c r="K380" s="5">
        <f>liquidity_data[[#This Row],[kf_d]]+liquidity_data[[#This Row],[cf_d]]</f>
        <v>4.3530092153076794E-7</v>
      </c>
      <c r="L380" s="5">
        <f>liquidity_data[[#This Row],[TOTAL_M]]-liquidity_data[[#This Row],[TOTAL_D]]</f>
        <v>11999.951887176727</v>
      </c>
      <c r="M380" s="6">
        <f>liquidity_data[[#This Row],[M-D]]/L379-1</f>
        <v>-3.4814932492466255E-7</v>
      </c>
    </row>
    <row r="381" spans="1:13" x14ac:dyDescent="0.25">
      <c r="A381" s="7" t="s">
        <v>146</v>
      </c>
      <c r="B381">
        <v>380</v>
      </c>
      <c r="C381" s="5">
        <v>13457.530198505672</v>
      </c>
      <c r="D381" s="5">
        <v>1775.8108505010605</v>
      </c>
      <c r="E381" s="5">
        <v>-186.91589942807332</v>
      </c>
      <c r="F381" s="5">
        <v>0</v>
      </c>
      <c r="G381" s="5">
        <v>40661.070190429688</v>
      </c>
      <c r="H381" s="5">
        <v>4.1353587754144883E-7</v>
      </c>
      <c r="I381">
        <v>-43707.5</v>
      </c>
      <c r="J381" s="5">
        <f>liquidity_data[[#This Row],[w_m]]+liquidity_data[[#This Row],[c_m]]+liquidity_data[[#This Row],[cf_m]]+liquidity_data[[#This Row],[kf_m]]+liquidity_data[[#This Row],[equity]]</f>
        <v>11999.995340008347</v>
      </c>
      <c r="K381" s="5">
        <f>liquidity_data[[#This Row],[kf_d]]+liquidity_data[[#This Row],[cf_d]]</f>
        <v>4.1353587754144883E-7</v>
      </c>
      <c r="L381" s="5">
        <f>liquidity_data[[#This Row],[TOTAL_M]]-liquidity_data[[#This Row],[TOTAL_D]]</f>
        <v>11999.995339594811</v>
      </c>
      <c r="M381" s="6">
        <f>liquidity_data[[#This Row],[M-D]]/L380-1</f>
        <v>3.6210493585819847E-6</v>
      </c>
    </row>
    <row r="382" spans="1:13" x14ac:dyDescent="0.25">
      <c r="A382" s="7" t="s">
        <v>146</v>
      </c>
      <c r="B382">
        <v>381</v>
      </c>
      <c r="C382" s="5">
        <v>13483.523383343534</v>
      </c>
      <c r="D382" s="5">
        <v>1820.6812958419323</v>
      </c>
      <c r="E382" s="5">
        <v>-195.41735802683979</v>
      </c>
      <c r="F382" s="5">
        <v>0</v>
      </c>
      <c r="G382" s="5">
        <v>41078.647888183594</v>
      </c>
      <c r="H382" s="5">
        <v>3.9285909081421266E-7</v>
      </c>
      <c r="I382">
        <v>-44187.4</v>
      </c>
      <c r="J382" s="5">
        <f>liquidity_data[[#This Row],[w_m]]+liquidity_data[[#This Row],[c_m]]+liquidity_data[[#This Row],[cf_m]]+liquidity_data[[#This Row],[kf_m]]+liquidity_data[[#This Row],[equity]]</f>
        <v>12000.035209342219</v>
      </c>
      <c r="K382" s="5">
        <f>liquidity_data[[#This Row],[kf_d]]+liquidity_data[[#This Row],[cf_d]]</f>
        <v>3.9285909081421266E-7</v>
      </c>
      <c r="L382" s="5">
        <f>liquidity_data[[#This Row],[TOTAL_M]]-liquidity_data[[#This Row],[TOTAL_D]]</f>
        <v>12000.035208949359</v>
      </c>
      <c r="M382" s="6">
        <f>liquidity_data[[#This Row],[M-D]]/L381-1</f>
        <v>3.3224475026738531E-6</v>
      </c>
    </row>
    <row r="383" spans="1:13" x14ac:dyDescent="0.25">
      <c r="A383" s="7" t="s">
        <v>146</v>
      </c>
      <c r="B383">
        <v>382</v>
      </c>
      <c r="C383" s="5">
        <v>13519.305803990108</v>
      </c>
      <c r="D383" s="5">
        <v>1831.5569887161255</v>
      </c>
      <c r="E383" s="5">
        <v>-61.149879975710064</v>
      </c>
      <c r="F383" s="5">
        <v>0</v>
      </c>
      <c r="G383" s="5">
        <v>41390.356323242188</v>
      </c>
      <c r="H383" s="5">
        <v>3.7321613044483115E-7</v>
      </c>
      <c r="I383">
        <v>-44680.1</v>
      </c>
      <c r="J383" s="5">
        <f>liquidity_data[[#This Row],[w_m]]+liquidity_data[[#This Row],[c_m]]+liquidity_data[[#This Row],[cf_m]]+liquidity_data[[#This Row],[kf_m]]+liquidity_data[[#This Row],[equity]]</f>
        <v>11999.969235972712</v>
      </c>
      <c r="K383" s="5">
        <f>liquidity_data[[#This Row],[kf_d]]+liquidity_data[[#This Row],[cf_d]]</f>
        <v>3.7321613044483115E-7</v>
      </c>
      <c r="L383" s="5">
        <f>liquidity_data[[#This Row],[TOTAL_M]]-liquidity_data[[#This Row],[TOTAL_D]]</f>
        <v>11999.969235599496</v>
      </c>
      <c r="M383" s="6">
        <f>liquidity_data[[#This Row],[M-D]]/L382-1</f>
        <v>-5.4977630243868703E-6</v>
      </c>
    </row>
    <row r="384" spans="1:13" x14ac:dyDescent="0.25">
      <c r="A384" s="7" t="s">
        <v>146</v>
      </c>
      <c r="B384">
        <v>383</v>
      </c>
      <c r="C384" s="5">
        <v>13565.606989298656</v>
      </c>
      <c r="D384" s="5">
        <v>1859.9201049804688</v>
      </c>
      <c r="E384" s="5">
        <v>-174.32145041879267</v>
      </c>
      <c r="F384" s="5">
        <v>0</v>
      </c>
      <c r="G384" s="5">
        <v>41789.655639648438</v>
      </c>
      <c r="H384" s="5">
        <v>3.5455531532946338E-7</v>
      </c>
      <c r="I384">
        <v>-45040.9</v>
      </c>
      <c r="J384" s="5">
        <f>liquidity_data[[#This Row],[w_m]]+liquidity_data[[#This Row],[c_m]]+liquidity_data[[#This Row],[cf_m]]+liquidity_data[[#This Row],[kf_m]]+liquidity_data[[#This Row],[equity]]</f>
        <v>11999.961283508768</v>
      </c>
      <c r="K384" s="5">
        <f>liquidity_data[[#This Row],[kf_d]]+liquidity_data[[#This Row],[cf_d]]</f>
        <v>3.5455531532946338E-7</v>
      </c>
      <c r="L384" s="5">
        <f>liquidity_data[[#This Row],[TOTAL_M]]-liquidity_data[[#This Row],[TOTAL_D]]</f>
        <v>11999.961283154213</v>
      </c>
      <c r="M384" s="6">
        <f>liquidity_data[[#This Row],[M-D]]/L383-1</f>
        <v>-6.6270547260938173E-7</v>
      </c>
    </row>
    <row r="385" spans="1:13" x14ac:dyDescent="0.25">
      <c r="A385" s="7" t="s">
        <v>146</v>
      </c>
      <c r="B385">
        <v>384</v>
      </c>
      <c r="C385" s="5">
        <v>13589.071956884523</v>
      </c>
      <c r="D385" s="5">
        <v>1908.5536823272705</v>
      </c>
      <c r="E385" s="5">
        <v>-195.8541973377578</v>
      </c>
      <c r="F385" s="5">
        <v>0</v>
      </c>
      <c r="G385" s="5">
        <v>42212.863830566406</v>
      </c>
      <c r="H385" s="5">
        <v>3.3682755073982662E-7</v>
      </c>
      <c r="I385">
        <v>-45514.6</v>
      </c>
      <c r="J385" s="5">
        <f>liquidity_data[[#This Row],[w_m]]+liquidity_data[[#This Row],[c_m]]+liquidity_data[[#This Row],[cf_m]]+liquidity_data[[#This Row],[kf_m]]+liquidity_data[[#This Row],[equity]]</f>
        <v>12000.035272440444</v>
      </c>
      <c r="K385" s="5">
        <f>liquidity_data[[#This Row],[kf_d]]+liquidity_data[[#This Row],[cf_d]]</f>
        <v>3.3682755073982662E-7</v>
      </c>
      <c r="L385" s="5">
        <f>liquidity_data[[#This Row],[TOTAL_M]]-liquidity_data[[#This Row],[TOTAL_D]]</f>
        <v>12000.035272103616</v>
      </c>
      <c r="M385" s="6">
        <f>liquidity_data[[#This Row],[M-D]]/L384-1</f>
        <v>6.1657656769131819E-6</v>
      </c>
    </row>
    <row r="386" spans="1:13" x14ac:dyDescent="0.25">
      <c r="A386" s="7" t="s">
        <v>146</v>
      </c>
      <c r="B386">
        <v>385</v>
      </c>
      <c r="C386" s="5">
        <v>13638.521288162621</v>
      </c>
      <c r="D386" s="5">
        <v>1908.4035158157349</v>
      </c>
      <c r="E386" s="5">
        <v>-70.584578166250139</v>
      </c>
      <c r="F386" s="5">
        <v>0</v>
      </c>
      <c r="G386" s="5">
        <v>42533.790344238281</v>
      </c>
      <c r="H386" s="5">
        <v>3.1998618044148941E-7</v>
      </c>
      <c r="I386">
        <v>-46010.1</v>
      </c>
      <c r="J386" s="5">
        <f>liquidity_data[[#This Row],[w_m]]+liquidity_data[[#This Row],[c_m]]+liquidity_data[[#This Row],[cf_m]]+liquidity_data[[#This Row],[kf_m]]+liquidity_data[[#This Row],[equity]]</f>
        <v>12000.030570050389</v>
      </c>
      <c r="K386" s="5">
        <f>liquidity_data[[#This Row],[kf_d]]+liquidity_data[[#This Row],[cf_d]]</f>
        <v>3.1998618044148941E-7</v>
      </c>
      <c r="L386" s="5">
        <f>liquidity_data[[#This Row],[TOTAL_M]]-liquidity_data[[#This Row],[TOTAL_D]]</f>
        <v>12000.030569730403</v>
      </c>
      <c r="M386" s="6">
        <f>liquidity_data[[#This Row],[M-D]]/L385-1</f>
        <v>-3.9186328260054637E-7</v>
      </c>
    </row>
    <row r="387" spans="1:13" x14ac:dyDescent="0.25">
      <c r="A387" s="7" t="s">
        <v>146</v>
      </c>
      <c r="B387">
        <v>386</v>
      </c>
      <c r="C387" s="5">
        <v>13682.765631549526</v>
      </c>
      <c r="D387" s="5">
        <v>1922.3386535644531</v>
      </c>
      <c r="E387" s="5">
        <v>-105.25084564834833</v>
      </c>
      <c r="F387" s="5">
        <v>0</v>
      </c>
      <c r="G387" s="5">
        <v>42909.283020019531</v>
      </c>
      <c r="H387" s="5">
        <v>3.0398687211885544E-7</v>
      </c>
      <c r="I387">
        <v>-46409.1</v>
      </c>
      <c r="J387" s="5">
        <f>liquidity_data[[#This Row],[w_m]]+liquidity_data[[#This Row],[c_m]]+liquidity_data[[#This Row],[cf_m]]+liquidity_data[[#This Row],[kf_m]]+liquidity_data[[#This Row],[equity]]</f>
        <v>12000.036459485164</v>
      </c>
      <c r="K387" s="5">
        <f>liquidity_data[[#This Row],[kf_d]]+liquidity_data[[#This Row],[cf_d]]</f>
        <v>3.0398687211885544E-7</v>
      </c>
      <c r="L387" s="5">
        <f>liquidity_data[[#This Row],[TOTAL_M]]-liquidity_data[[#This Row],[TOTAL_D]]</f>
        <v>12000.036459181176</v>
      </c>
      <c r="M387" s="6">
        <f>liquidity_data[[#This Row],[M-D]]/L386-1</f>
        <v>4.9078631403354223E-7</v>
      </c>
    </row>
    <row r="388" spans="1:13" x14ac:dyDescent="0.25">
      <c r="A388" s="7" t="s">
        <v>146</v>
      </c>
      <c r="B388">
        <v>387</v>
      </c>
      <c r="C388" s="5">
        <v>13721.391472154937</v>
      </c>
      <c r="D388" s="5">
        <v>1931.8978958129883</v>
      </c>
      <c r="E388" s="5">
        <v>-58.457303038332611</v>
      </c>
      <c r="F388" s="5">
        <v>0</v>
      </c>
      <c r="G388" s="5">
        <v>43251.962585449219</v>
      </c>
      <c r="H388" s="5">
        <v>2.8878752666994245E-7</v>
      </c>
      <c r="I388">
        <v>-46846.8</v>
      </c>
      <c r="J388" s="5">
        <f>liquidity_data[[#This Row],[w_m]]+liquidity_data[[#This Row],[c_m]]+liquidity_data[[#This Row],[cf_m]]+liquidity_data[[#This Row],[kf_m]]+liquidity_data[[#This Row],[equity]]</f>
        <v>11999.994650378809</v>
      </c>
      <c r="K388" s="5">
        <f>liquidity_data[[#This Row],[kf_d]]+liquidity_data[[#This Row],[cf_d]]</f>
        <v>2.8878752666994245E-7</v>
      </c>
      <c r="L388" s="5">
        <f>liquidity_data[[#This Row],[TOTAL_M]]-liquidity_data[[#This Row],[TOTAL_D]]</f>
        <v>11999.994650090021</v>
      </c>
      <c r="M388" s="6">
        <f>liquidity_data[[#This Row],[M-D]]/L387-1</f>
        <v>-3.4840803440072676E-6</v>
      </c>
    </row>
    <row r="389" spans="1:13" x14ac:dyDescent="0.25">
      <c r="A389" s="7" t="s">
        <v>146</v>
      </c>
      <c r="B389">
        <v>388</v>
      </c>
      <c r="C389" s="5">
        <v>13756.870101764041</v>
      </c>
      <c r="D389" s="5">
        <v>1958.3668155670166</v>
      </c>
      <c r="E389" s="5">
        <v>-119.80520528787747</v>
      </c>
      <c r="F389" s="5">
        <v>0</v>
      </c>
      <c r="G389" s="5">
        <v>43646.085388183594</v>
      </c>
      <c r="H389" s="5">
        <v>2.7434815474958185E-7</v>
      </c>
      <c r="I389">
        <v>-47241.5</v>
      </c>
      <c r="J389" s="5">
        <f>liquidity_data[[#This Row],[w_m]]+liquidity_data[[#This Row],[c_m]]+liquidity_data[[#This Row],[cf_m]]+liquidity_data[[#This Row],[kf_m]]+liquidity_data[[#This Row],[equity]]</f>
        <v>12000.017100226774</v>
      </c>
      <c r="K389" s="5">
        <f>liquidity_data[[#This Row],[kf_d]]+liquidity_data[[#This Row],[cf_d]]</f>
        <v>2.7434815474958185E-7</v>
      </c>
      <c r="L389" s="5">
        <f>liquidity_data[[#This Row],[TOTAL_M]]-liquidity_data[[#This Row],[TOTAL_D]]</f>
        <v>12000.017099952427</v>
      </c>
      <c r="M389" s="6">
        <f>liquidity_data[[#This Row],[M-D]]/L388-1</f>
        <v>1.8708227011998702E-6</v>
      </c>
    </row>
    <row r="390" spans="1:13" x14ac:dyDescent="0.25">
      <c r="A390" s="7" t="s">
        <v>146</v>
      </c>
      <c r="B390">
        <v>389</v>
      </c>
      <c r="C390" s="5">
        <v>13790.865504470188</v>
      </c>
      <c r="D390" s="5">
        <v>1980.1882699746639</v>
      </c>
      <c r="E390" s="5">
        <v>-94.260681126732379</v>
      </c>
      <c r="F390" s="5">
        <v>0</v>
      </c>
      <c r="G390" s="5">
        <v>44005.947998046875</v>
      </c>
      <c r="H390" s="5">
        <v>2.6063074509696804E-7</v>
      </c>
      <c r="I390">
        <v>-47682.7</v>
      </c>
      <c r="J390" s="5">
        <f>liquidity_data[[#This Row],[w_m]]+liquidity_data[[#This Row],[c_m]]+liquidity_data[[#This Row],[cf_m]]+liquidity_data[[#This Row],[kf_m]]+liquidity_data[[#This Row],[equity]]</f>
        <v>12000.041091364998</v>
      </c>
      <c r="K390" s="5">
        <f>liquidity_data[[#This Row],[kf_d]]+liquidity_data[[#This Row],[cf_d]]</f>
        <v>2.6063074509696804E-7</v>
      </c>
      <c r="L390" s="5">
        <f>liquidity_data[[#This Row],[TOTAL_M]]-liquidity_data[[#This Row],[TOTAL_D]]</f>
        <v>12000.041091104367</v>
      </c>
      <c r="M390" s="6">
        <f>liquidity_data[[#This Row],[M-D]]/L389-1</f>
        <v>1.9992598128126815E-6</v>
      </c>
    </row>
    <row r="391" spans="1:13" x14ac:dyDescent="0.25">
      <c r="A391" s="7" t="s">
        <v>146</v>
      </c>
      <c r="B391">
        <v>390</v>
      </c>
      <c r="C391" s="5">
        <v>13848.507214838639</v>
      </c>
      <c r="D391" s="5">
        <v>1989.6380265969783</v>
      </c>
      <c r="E391" s="5">
        <v>-136.20447717327625</v>
      </c>
      <c r="F391" s="5">
        <v>0</v>
      </c>
      <c r="G391" s="5">
        <v>44390.315246582031</v>
      </c>
      <c r="H391" s="5">
        <v>2.4759921035677479E-7</v>
      </c>
      <c r="I391">
        <v>-48092.3</v>
      </c>
      <c r="J391" s="5">
        <f>liquidity_data[[#This Row],[w_m]]+liquidity_data[[#This Row],[c_m]]+liquidity_data[[#This Row],[cf_m]]+liquidity_data[[#This Row],[kf_m]]+liquidity_data[[#This Row],[equity]]</f>
        <v>11999.956010844369</v>
      </c>
      <c r="K391" s="5">
        <f>liquidity_data[[#This Row],[kf_d]]+liquidity_data[[#This Row],[cf_d]]</f>
        <v>2.4759921035677479E-7</v>
      </c>
      <c r="L391" s="5">
        <f>liquidity_data[[#This Row],[TOTAL_M]]-liquidity_data[[#This Row],[TOTAL_D]]</f>
        <v>11999.95601059677</v>
      </c>
      <c r="M391" s="6">
        <f>liquidity_data[[#This Row],[M-D]]/L390-1</f>
        <v>-7.0900180216826314E-6</v>
      </c>
    </row>
    <row r="392" spans="1:13" x14ac:dyDescent="0.25">
      <c r="A392" s="7" t="s">
        <v>146</v>
      </c>
      <c r="B392">
        <v>391</v>
      </c>
      <c r="C392" s="5">
        <v>13880.201725731487</v>
      </c>
      <c r="D392" s="5">
        <v>2034.3408513758332</v>
      </c>
      <c r="E392" s="5">
        <v>-188.15972676733509</v>
      </c>
      <c r="F392" s="5">
        <v>0</v>
      </c>
      <c r="G392" s="5">
        <v>44801.190063476563</v>
      </c>
      <c r="H392" s="5">
        <v>2.3521924508163039E-7</v>
      </c>
      <c r="I392">
        <v>-48527.6</v>
      </c>
      <c r="J392" s="5">
        <f>liquidity_data[[#This Row],[w_m]]+liquidity_data[[#This Row],[c_m]]+liquidity_data[[#This Row],[cf_m]]+liquidity_data[[#This Row],[kf_m]]+liquidity_data[[#This Row],[equity]]</f>
        <v>11999.972913816549</v>
      </c>
      <c r="K392" s="5">
        <f>liquidity_data[[#This Row],[kf_d]]+liquidity_data[[#This Row],[cf_d]]</f>
        <v>2.3521924508163039E-7</v>
      </c>
      <c r="L392" s="5">
        <f>liquidity_data[[#This Row],[TOTAL_M]]-liquidity_data[[#This Row],[TOTAL_D]]</f>
        <v>11999.97291358133</v>
      </c>
      <c r="M392" s="6">
        <f>liquidity_data[[#This Row],[M-D]]/L391-1</f>
        <v>1.4085872102054253E-6</v>
      </c>
    </row>
    <row r="393" spans="1:13" x14ac:dyDescent="0.25">
      <c r="A393" s="7" t="s">
        <v>146</v>
      </c>
      <c r="B393">
        <v>392</v>
      </c>
      <c r="C393" s="5">
        <v>13920.321788446628</v>
      </c>
      <c r="D393" s="5">
        <v>2066.1418260205537</v>
      </c>
      <c r="E393" s="5">
        <v>-157.19403496058658</v>
      </c>
      <c r="F393" s="5">
        <v>0</v>
      </c>
      <c r="G393" s="5">
        <v>45200.25048828125</v>
      </c>
      <c r="H393" s="5">
        <v>2.2345827577208155E-7</v>
      </c>
      <c r="I393">
        <v>-49029.5</v>
      </c>
      <c r="J393" s="5">
        <f>liquidity_data[[#This Row],[w_m]]+liquidity_data[[#This Row],[c_m]]+liquidity_data[[#This Row],[cf_m]]+liquidity_data[[#This Row],[kf_m]]+liquidity_data[[#This Row],[equity]]</f>
        <v>12000.020067787846</v>
      </c>
      <c r="K393" s="5">
        <f>liquidity_data[[#This Row],[kf_d]]+liquidity_data[[#This Row],[cf_d]]</f>
        <v>2.2345827577208155E-7</v>
      </c>
      <c r="L393" s="5">
        <f>liquidity_data[[#This Row],[TOTAL_M]]-liquidity_data[[#This Row],[TOTAL_D]]</f>
        <v>12000.020067564388</v>
      </c>
      <c r="M393" s="6">
        <f>liquidity_data[[#This Row],[M-D]]/L392-1</f>
        <v>3.9295074578671318E-6</v>
      </c>
    </row>
    <row r="394" spans="1:13" x14ac:dyDescent="0.25">
      <c r="A394" s="7" t="s">
        <v>146</v>
      </c>
      <c r="B394">
        <v>393</v>
      </c>
      <c r="C394" s="5">
        <v>13970.74806375074</v>
      </c>
      <c r="D394" s="5">
        <v>2096.3813736606389</v>
      </c>
      <c r="E394" s="5">
        <v>-217.10561878466979</v>
      </c>
      <c r="F394" s="5">
        <v>0</v>
      </c>
      <c r="G394" s="5">
        <v>45647.433532714844</v>
      </c>
      <c r="H394" s="5">
        <v>2.1228537205875142E-7</v>
      </c>
      <c r="I394">
        <v>-49497.5</v>
      </c>
      <c r="J394" s="5">
        <f>liquidity_data[[#This Row],[w_m]]+liquidity_data[[#This Row],[c_m]]+liquidity_data[[#This Row],[cf_m]]+liquidity_data[[#This Row],[kf_m]]+liquidity_data[[#This Row],[equity]]</f>
        <v>11999.957351341553</v>
      </c>
      <c r="K394" s="5">
        <f>liquidity_data[[#This Row],[kf_d]]+liquidity_data[[#This Row],[cf_d]]</f>
        <v>2.1228537205875142E-7</v>
      </c>
      <c r="L394" s="5">
        <f>liquidity_data[[#This Row],[TOTAL_M]]-liquidity_data[[#This Row],[TOTAL_D]]</f>
        <v>11999.957351129267</v>
      </c>
      <c r="M394" s="6">
        <f>liquidity_data[[#This Row],[M-D]]/L393-1</f>
        <v>-5.2263608534275363E-6</v>
      </c>
    </row>
    <row r="395" spans="1:13" x14ac:dyDescent="0.25">
      <c r="A395" s="7" t="s">
        <v>146</v>
      </c>
      <c r="B395">
        <v>394</v>
      </c>
      <c r="C395" s="5">
        <v>13999.211621683877</v>
      </c>
      <c r="D395" s="5">
        <v>2135.7644169498235</v>
      </c>
      <c r="E395" s="5">
        <v>-127.2430995889008</v>
      </c>
      <c r="F395" s="5">
        <v>0</v>
      </c>
      <c r="G395" s="5">
        <v>46039.488952636719</v>
      </c>
      <c r="H395" s="5">
        <v>2.0167110470481475E-7</v>
      </c>
      <c r="I395">
        <v>-50047.199999999997</v>
      </c>
      <c r="J395" s="5">
        <f>liquidity_data[[#This Row],[w_m]]+liquidity_data[[#This Row],[c_m]]+liquidity_data[[#This Row],[cf_m]]+liquidity_data[[#This Row],[kf_m]]+liquidity_data[[#This Row],[equity]]</f>
        <v>12000.021891681521</v>
      </c>
      <c r="K395" s="5">
        <f>liquidity_data[[#This Row],[kf_d]]+liquidity_data[[#This Row],[cf_d]]</f>
        <v>2.0167110470481475E-7</v>
      </c>
      <c r="L395" s="5">
        <f>liquidity_data[[#This Row],[TOTAL_M]]-liquidity_data[[#This Row],[TOTAL_D]]</f>
        <v>12000.02189147985</v>
      </c>
      <c r="M395" s="6">
        <f>liquidity_data[[#This Row],[M-D]]/L394-1</f>
        <v>5.3783816635899484E-6</v>
      </c>
    </row>
    <row r="396" spans="1:13" x14ac:dyDescent="0.25">
      <c r="A396" s="7" t="s">
        <v>146</v>
      </c>
      <c r="B396">
        <v>395</v>
      </c>
      <c r="C396" s="5">
        <v>14055.571381052498</v>
      </c>
      <c r="D396" s="5">
        <v>2161.2813244685531</v>
      </c>
      <c r="E396" s="5">
        <v>-184.74621682846919</v>
      </c>
      <c r="F396" s="5">
        <v>0</v>
      </c>
      <c r="G396" s="5">
        <v>46469.686828613281</v>
      </c>
      <c r="H396" s="5">
        <v>1.9158754838155545E-7</v>
      </c>
      <c r="I396">
        <v>-50501.8</v>
      </c>
      <c r="J396" s="5">
        <f>liquidity_data[[#This Row],[w_m]]+liquidity_data[[#This Row],[c_m]]+liquidity_data[[#This Row],[cf_m]]+liquidity_data[[#This Row],[kf_m]]+liquidity_data[[#This Row],[equity]]</f>
        <v>11999.99331730586</v>
      </c>
      <c r="K396" s="5">
        <f>liquidity_data[[#This Row],[kf_d]]+liquidity_data[[#This Row],[cf_d]]</f>
        <v>1.9158754838155545E-7</v>
      </c>
      <c r="L396" s="5">
        <f>liquidity_data[[#This Row],[TOTAL_M]]-liquidity_data[[#This Row],[TOTAL_D]]</f>
        <v>11999.993317114273</v>
      </c>
      <c r="M396" s="6">
        <f>liquidity_data[[#This Row],[M-D]]/L395-1</f>
        <v>-2.3811927873929051E-6</v>
      </c>
    </row>
    <row r="397" spans="1:13" x14ac:dyDescent="0.25">
      <c r="A397" s="7" t="s">
        <v>146</v>
      </c>
      <c r="B397">
        <v>396</v>
      </c>
      <c r="C397" s="5">
        <v>14086.202737866894</v>
      </c>
      <c r="D397" s="5">
        <v>2207.9521008357406</v>
      </c>
      <c r="E397" s="5">
        <v>-191.98806555767078</v>
      </c>
      <c r="F397" s="5">
        <v>0</v>
      </c>
      <c r="G397" s="5">
        <v>46893.046447753906</v>
      </c>
      <c r="H397" s="5">
        <v>1.8200816981339685E-7</v>
      </c>
      <c r="I397">
        <v>-50995.199999999997</v>
      </c>
      <c r="J397" s="5">
        <f>liquidity_data[[#This Row],[w_m]]+liquidity_data[[#This Row],[c_m]]+liquidity_data[[#This Row],[cf_m]]+liquidity_data[[#This Row],[kf_m]]+liquidity_data[[#This Row],[equity]]</f>
        <v>12000.013220898873</v>
      </c>
      <c r="K397" s="5">
        <f>liquidity_data[[#This Row],[kf_d]]+liquidity_data[[#This Row],[cf_d]]</f>
        <v>1.8200816981339685E-7</v>
      </c>
      <c r="L397" s="5">
        <f>liquidity_data[[#This Row],[TOTAL_M]]-liquidity_data[[#This Row],[TOTAL_D]]</f>
        <v>12000.013220716864</v>
      </c>
      <c r="M397" s="6">
        <f>liquidity_data[[#This Row],[M-D]]/L396-1</f>
        <v>1.6586344731006619E-6</v>
      </c>
    </row>
    <row r="398" spans="1:13" x14ac:dyDescent="0.25">
      <c r="A398" s="7" t="s">
        <v>146</v>
      </c>
      <c r="B398">
        <v>397</v>
      </c>
      <c r="C398" s="5">
        <v>14134.483045330737</v>
      </c>
      <c r="D398" s="5">
        <v>2258.5299397334456</v>
      </c>
      <c r="E398" s="5">
        <v>-322.84292475017719</v>
      </c>
      <c r="F398" s="5">
        <v>0</v>
      </c>
      <c r="G398" s="5">
        <v>47400.843627929688</v>
      </c>
      <c r="H398" s="5">
        <v>1.7290775528033819E-7</v>
      </c>
      <c r="I398">
        <v>-51471</v>
      </c>
      <c r="J398" s="5">
        <f>liquidity_data[[#This Row],[w_m]]+liquidity_data[[#This Row],[c_m]]+liquidity_data[[#This Row],[cf_m]]+liquidity_data[[#This Row],[kf_m]]+liquidity_data[[#This Row],[equity]]</f>
        <v>12000.013688243693</v>
      </c>
      <c r="K398" s="5">
        <f>liquidity_data[[#This Row],[kf_d]]+liquidity_data[[#This Row],[cf_d]]</f>
        <v>1.7290775528033819E-7</v>
      </c>
      <c r="L398" s="5">
        <f>liquidity_data[[#This Row],[TOTAL_M]]-liquidity_data[[#This Row],[TOTAL_D]]</f>
        <v>12000.013688070785</v>
      </c>
      <c r="M398" s="6">
        <f>liquidity_data[[#This Row],[M-D]]/L397-1</f>
        <v>3.8946117220106657E-8</v>
      </c>
    </row>
    <row r="399" spans="1:13" x14ac:dyDescent="0.25">
      <c r="A399" s="7" t="s">
        <v>146</v>
      </c>
      <c r="B399">
        <v>398</v>
      </c>
      <c r="C399" s="5">
        <v>14202.715678292327</v>
      </c>
      <c r="D399" s="5">
        <v>2251.2504491750151</v>
      </c>
      <c r="E399" s="5">
        <v>-98.355717260856181</v>
      </c>
      <c r="F399" s="5">
        <v>0</v>
      </c>
      <c r="G399" s="5">
        <v>47720.715637207031</v>
      </c>
      <c r="H399" s="5">
        <v>1.6426237359201679E-7</v>
      </c>
      <c r="I399">
        <v>-52076.3</v>
      </c>
      <c r="J399" s="5">
        <f>liquidity_data[[#This Row],[w_m]]+liquidity_data[[#This Row],[c_m]]+liquidity_data[[#This Row],[cf_m]]+liquidity_data[[#This Row],[kf_m]]+liquidity_data[[#This Row],[equity]]</f>
        <v>12000.026047413514</v>
      </c>
      <c r="K399" s="5">
        <f>liquidity_data[[#This Row],[kf_d]]+liquidity_data[[#This Row],[cf_d]]</f>
        <v>1.6426237359201679E-7</v>
      </c>
      <c r="L399" s="5">
        <f>liquidity_data[[#This Row],[TOTAL_M]]-liquidity_data[[#This Row],[TOTAL_D]]</f>
        <v>12000.026047249252</v>
      </c>
      <c r="M399" s="6">
        <f>liquidity_data[[#This Row],[M-D]]/L398-1</f>
        <v>1.0299303641048141E-6</v>
      </c>
    </row>
    <row r="400" spans="1:13" x14ac:dyDescent="0.25">
      <c r="A400" s="7" t="s">
        <v>146</v>
      </c>
      <c r="B400">
        <v>399</v>
      </c>
      <c r="C400" s="5">
        <v>14267.042482218007</v>
      </c>
      <c r="D400" s="5">
        <v>2305.7190594915301</v>
      </c>
      <c r="E400" s="5">
        <v>-378.51679702778347</v>
      </c>
      <c r="F400" s="5">
        <v>0</v>
      </c>
      <c r="G400" s="5">
        <v>48303.560974121094</v>
      </c>
      <c r="H400" s="5">
        <v>1.5604925507339829E-7</v>
      </c>
      <c r="I400">
        <v>-52497.8</v>
      </c>
      <c r="J400" s="5">
        <f>liquidity_data[[#This Row],[w_m]]+liquidity_data[[#This Row],[c_m]]+liquidity_data[[#This Row],[cf_m]]+liquidity_data[[#This Row],[kf_m]]+liquidity_data[[#This Row],[equity]]</f>
        <v>12000.005718802844</v>
      </c>
      <c r="K400" s="5">
        <f>liquidity_data[[#This Row],[kf_d]]+liquidity_data[[#This Row],[cf_d]]</f>
        <v>1.5604925507339829E-7</v>
      </c>
      <c r="L400" s="5">
        <f>liquidity_data[[#This Row],[TOTAL_M]]-liquidity_data[[#This Row],[TOTAL_D]]</f>
        <v>12000.005718646795</v>
      </c>
      <c r="M400" s="6">
        <f>liquidity_data[[#This Row],[M-D]]/L399-1</f>
        <v>-1.6940465276116257E-6</v>
      </c>
    </row>
    <row r="401" spans="1:13" x14ac:dyDescent="0.25">
      <c r="A401" s="7" t="s">
        <v>146</v>
      </c>
      <c r="B401">
        <v>400</v>
      </c>
      <c r="C401" s="5">
        <v>14327.961215526972</v>
      </c>
      <c r="D401" s="5">
        <v>2299.1996108293533</v>
      </c>
      <c r="E401" s="5">
        <v>-117.0188364055939</v>
      </c>
      <c r="F401" s="5">
        <v>0</v>
      </c>
      <c r="G401" s="5">
        <v>48632.201416015625</v>
      </c>
      <c r="H401" s="5">
        <v>1.4824678601366159E-7</v>
      </c>
      <c r="I401">
        <v>-53142.3</v>
      </c>
      <c r="J401" s="5">
        <f>liquidity_data[[#This Row],[w_m]]+liquidity_data[[#This Row],[c_m]]+liquidity_data[[#This Row],[cf_m]]+liquidity_data[[#This Row],[kf_m]]+liquidity_data[[#This Row],[equity]]</f>
        <v>12000.043405966353</v>
      </c>
      <c r="K401" s="5">
        <f>liquidity_data[[#This Row],[kf_d]]+liquidity_data[[#This Row],[cf_d]]</f>
        <v>1.4824678601366159E-7</v>
      </c>
      <c r="L401" s="5">
        <f>liquidity_data[[#This Row],[TOTAL_M]]-liquidity_data[[#This Row],[TOTAL_D]]</f>
        <v>12000.043405818105</v>
      </c>
      <c r="M401" s="6">
        <f>liquidity_data[[#This Row],[M-D]]/L400-1</f>
        <v>3.1405961125052784E-6</v>
      </c>
    </row>
    <row r="402" spans="1:13" x14ac:dyDescent="0.25">
      <c r="A402" s="7" t="s">
        <v>146</v>
      </c>
      <c r="B402">
        <v>401</v>
      </c>
      <c r="C402" s="5">
        <v>14354.739171477035</v>
      </c>
      <c r="D402" s="5">
        <v>2362.0715018510818</v>
      </c>
      <c r="E402" s="5">
        <v>-311.63476971071213</v>
      </c>
      <c r="F402" s="5">
        <v>0</v>
      </c>
      <c r="G402" s="5">
        <v>49147.151977539063</v>
      </c>
      <c r="H402" s="5">
        <v>1.408344525999361E-7</v>
      </c>
      <c r="I402">
        <v>-53552.3</v>
      </c>
      <c r="J402" s="5">
        <f>liquidity_data[[#This Row],[w_m]]+liquidity_data[[#This Row],[c_m]]+liquidity_data[[#This Row],[cf_m]]+liquidity_data[[#This Row],[kf_m]]+liquidity_data[[#This Row],[equity]]</f>
        <v>12000.027881156464</v>
      </c>
      <c r="K402" s="5">
        <f>liquidity_data[[#This Row],[kf_d]]+liquidity_data[[#This Row],[cf_d]]</f>
        <v>1.408344525999361E-7</v>
      </c>
      <c r="L402" s="5">
        <f>liquidity_data[[#This Row],[TOTAL_M]]-liquidity_data[[#This Row],[TOTAL_D]]</f>
        <v>12000.027881015629</v>
      </c>
      <c r="M402" s="6">
        <f>liquidity_data[[#This Row],[M-D]]/L401-1</f>
        <v>-1.2937288601522212E-6</v>
      </c>
    </row>
    <row r="403" spans="1:13" x14ac:dyDescent="0.25">
      <c r="A403" s="7" t="s">
        <v>146</v>
      </c>
      <c r="B403">
        <v>402</v>
      </c>
      <c r="C403" s="5">
        <v>14395.852104212274</v>
      </c>
      <c r="D403" s="5">
        <v>2378.5180598497391</v>
      </c>
      <c r="E403" s="5">
        <v>-125.63034632522613</v>
      </c>
      <c r="F403" s="5">
        <v>0</v>
      </c>
      <c r="G403" s="5">
        <v>49534.537048339844</v>
      </c>
      <c r="H403" s="5">
        <v>1.3379273189340068E-7</v>
      </c>
      <c r="I403">
        <v>-54183.3</v>
      </c>
      <c r="J403" s="5">
        <f>liquidity_data[[#This Row],[w_m]]+liquidity_data[[#This Row],[c_m]]+liquidity_data[[#This Row],[cf_m]]+liquidity_data[[#This Row],[kf_m]]+liquidity_data[[#This Row],[equity]]</f>
        <v>11999.976866076628</v>
      </c>
      <c r="K403" s="5">
        <f>liquidity_data[[#This Row],[kf_d]]+liquidity_data[[#This Row],[cf_d]]</f>
        <v>1.3379273189340068E-7</v>
      </c>
      <c r="L403" s="5">
        <f>liquidity_data[[#This Row],[TOTAL_M]]-liquidity_data[[#This Row],[TOTAL_D]]</f>
        <v>11999.976865942836</v>
      </c>
      <c r="M403" s="6">
        <f>liquidity_data[[#This Row],[M-D]]/L402-1</f>
        <v>-4.2512461886357045E-6</v>
      </c>
    </row>
    <row r="404" spans="1:13" x14ac:dyDescent="0.25">
      <c r="A404" s="7" t="s">
        <v>146</v>
      </c>
      <c r="B404">
        <v>403</v>
      </c>
      <c r="C404" s="5">
        <v>14454.181829923997</v>
      </c>
      <c r="D404" s="5">
        <v>2351.8144495040178</v>
      </c>
      <c r="E404" s="5">
        <v>-11.024742127861828</v>
      </c>
      <c r="F404" s="5">
        <v>0</v>
      </c>
      <c r="G404" s="5">
        <v>49832.4453125</v>
      </c>
      <c r="H404" s="5">
        <v>1.2710309416075205E-7</v>
      </c>
      <c r="I404">
        <v>-54627.4</v>
      </c>
      <c r="J404" s="5">
        <f>liquidity_data[[#This Row],[w_m]]+liquidity_data[[#This Row],[c_m]]+liquidity_data[[#This Row],[cf_m]]+liquidity_data[[#This Row],[kf_m]]+liquidity_data[[#This Row],[equity]]</f>
        <v>12000.016849800151</v>
      </c>
      <c r="K404" s="5">
        <f>liquidity_data[[#This Row],[kf_d]]+liquidity_data[[#This Row],[cf_d]]</f>
        <v>1.2710309416075205E-7</v>
      </c>
      <c r="L404" s="5">
        <f>liquidity_data[[#This Row],[TOTAL_M]]-liquidity_data[[#This Row],[TOTAL_D]]</f>
        <v>12000.016849673048</v>
      </c>
      <c r="M404" s="6">
        <f>liquidity_data[[#This Row],[M-D]]/L403-1</f>
        <v>3.3319839412015995E-6</v>
      </c>
    </row>
    <row r="405" spans="1:13" x14ac:dyDescent="0.25">
      <c r="A405" s="7" t="s">
        <v>146</v>
      </c>
      <c r="B405">
        <v>404</v>
      </c>
      <c r="C405" s="5">
        <v>14514.211511910311</v>
      </c>
      <c r="D405" s="5">
        <v>2370.1202871352434</v>
      </c>
      <c r="E405" s="5">
        <v>-221.12194720702246</v>
      </c>
      <c r="F405" s="5">
        <v>0</v>
      </c>
      <c r="G405" s="5">
        <v>50305.253540039063</v>
      </c>
      <c r="H405" s="5">
        <v>1.2074793803718009E-7</v>
      </c>
      <c r="I405">
        <v>-54968.5</v>
      </c>
      <c r="J405" s="5">
        <f>liquidity_data[[#This Row],[w_m]]+liquidity_data[[#This Row],[c_m]]+liquidity_data[[#This Row],[cf_m]]+liquidity_data[[#This Row],[kf_m]]+liquidity_data[[#This Row],[equity]]</f>
        <v>11999.963391877594</v>
      </c>
      <c r="K405" s="5">
        <f>liquidity_data[[#This Row],[kf_d]]+liquidity_data[[#This Row],[cf_d]]</f>
        <v>1.2074793803718009E-7</v>
      </c>
      <c r="L405" s="5">
        <f>liquidity_data[[#This Row],[TOTAL_M]]-liquidity_data[[#This Row],[TOTAL_D]]</f>
        <v>11999.963391756846</v>
      </c>
      <c r="M405" s="6">
        <f>liquidity_data[[#This Row],[M-D]]/L404-1</f>
        <v>-4.454820094923484E-6</v>
      </c>
    </row>
    <row r="406" spans="1:13" x14ac:dyDescent="0.25">
      <c r="A406" s="7" t="s">
        <v>146</v>
      </c>
      <c r="B406">
        <v>405</v>
      </c>
      <c r="C406" s="5">
        <v>14568.871962944861</v>
      </c>
      <c r="D406" s="5">
        <v>2377.078067779541</v>
      </c>
      <c r="E406" s="5">
        <v>-137.2705189534463</v>
      </c>
      <c r="F406" s="5">
        <v>0</v>
      </c>
      <c r="G406" s="5">
        <v>50687.644226074219</v>
      </c>
      <c r="H406" s="5">
        <v>1.1471054245371093E-7</v>
      </c>
      <c r="I406">
        <v>-55496.3</v>
      </c>
      <c r="J406" s="5">
        <f>liquidity_data[[#This Row],[w_m]]+liquidity_data[[#This Row],[c_m]]+liquidity_data[[#This Row],[cf_m]]+liquidity_data[[#This Row],[kf_m]]+liquidity_data[[#This Row],[equity]]</f>
        <v>12000.023737845171</v>
      </c>
      <c r="K406" s="5">
        <f>liquidity_data[[#This Row],[kf_d]]+liquidity_data[[#This Row],[cf_d]]</f>
        <v>1.1471054245371093E-7</v>
      </c>
      <c r="L406" s="5">
        <f>liquidity_data[[#This Row],[TOTAL_M]]-liquidity_data[[#This Row],[TOTAL_D]]</f>
        <v>12000.02373773046</v>
      </c>
      <c r="M406" s="6">
        <f>liquidity_data[[#This Row],[M-D]]/L405-1</f>
        <v>5.0288464759074003E-6</v>
      </c>
    </row>
    <row r="407" spans="1:13" x14ac:dyDescent="0.25">
      <c r="A407" s="7" t="s">
        <v>146</v>
      </c>
      <c r="B407">
        <v>406</v>
      </c>
      <c r="C407" s="5">
        <v>14621.567196410266</v>
      </c>
      <c r="D407" s="5">
        <v>2396.8306427001953</v>
      </c>
      <c r="E407" s="5">
        <v>-188.07072798488662</v>
      </c>
      <c r="F407" s="5">
        <v>0</v>
      </c>
      <c r="G407" s="5">
        <v>51105.452270507813</v>
      </c>
      <c r="H407" s="5">
        <v>1.0897501334650173E-7</v>
      </c>
      <c r="I407">
        <v>-55935.8</v>
      </c>
      <c r="J407" s="5">
        <f>liquidity_data[[#This Row],[w_m]]+liquidity_data[[#This Row],[c_m]]+liquidity_data[[#This Row],[cf_m]]+liquidity_data[[#This Row],[kf_m]]+liquidity_data[[#This Row],[equity]]</f>
        <v>11999.979381633384</v>
      </c>
      <c r="K407" s="5">
        <f>liquidity_data[[#This Row],[kf_d]]+liquidity_data[[#This Row],[cf_d]]</f>
        <v>1.0897501334650173E-7</v>
      </c>
      <c r="L407" s="5">
        <f>liquidity_data[[#This Row],[TOTAL_M]]-liquidity_data[[#This Row],[TOTAL_D]]</f>
        <v>11999.979381524408</v>
      </c>
      <c r="M407" s="6">
        <f>liquidity_data[[#This Row],[M-D]]/L406-1</f>
        <v>-3.696343192416407E-6</v>
      </c>
    </row>
    <row r="408" spans="1:13" x14ac:dyDescent="0.25">
      <c r="A408" s="7" t="s">
        <v>146</v>
      </c>
      <c r="B408">
        <v>407</v>
      </c>
      <c r="C408" s="5">
        <v>14666.023881410016</v>
      </c>
      <c r="D408" s="5">
        <v>2437.3204689025879</v>
      </c>
      <c r="E408" s="5">
        <v>-232.83621349511668</v>
      </c>
      <c r="F408" s="5">
        <v>0</v>
      </c>
      <c r="G408" s="5">
        <v>51571.369079589844</v>
      </c>
      <c r="H408" s="5">
        <v>1.0352626506060503E-7</v>
      </c>
      <c r="I408">
        <v>-56441.9</v>
      </c>
      <c r="J408" s="5">
        <f>liquidity_data[[#This Row],[w_m]]+liquidity_data[[#This Row],[c_m]]+liquidity_data[[#This Row],[cf_m]]+liquidity_data[[#This Row],[kf_m]]+liquidity_data[[#This Row],[equity]]</f>
        <v>11999.977216407329</v>
      </c>
      <c r="K408" s="5">
        <f>liquidity_data[[#This Row],[kf_d]]+liquidity_data[[#This Row],[cf_d]]</f>
        <v>1.0352626506060503E-7</v>
      </c>
      <c r="L408" s="5">
        <f>liquidity_data[[#This Row],[TOTAL_M]]-liquidity_data[[#This Row],[TOTAL_D]]</f>
        <v>11999.977216303803</v>
      </c>
      <c r="M408" s="6">
        <f>liquidity_data[[#This Row],[M-D]]/L407-1</f>
        <v>-1.804353604306641E-7</v>
      </c>
    </row>
    <row r="409" spans="1:13" x14ac:dyDescent="0.25">
      <c r="A409" s="7" t="s">
        <v>146</v>
      </c>
      <c r="B409">
        <v>408</v>
      </c>
      <c r="C409" s="5">
        <v>14701.035035416251</v>
      </c>
      <c r="D409" s="5">
        <v>2451.8401260375977</v>
      </c>
      <c r="E409" s="5">
        <v>-58.586306151002645</v>
      </c>
      <c r="F409" s="5">
        <v>0</v>
      </c>
      <c r="G409" s="5">
        <v>51898.795288085938</v>
      </c>
      <c r="H409" s="5">
        <v>9.8349950738985115E-8</v>
      </c>
      <c r="I409">
        <v>-56993.1</v>
      </c>
      <c r="J409" s="5">
        <f>liquidity_data[[#This Row],[w_m]]+liquidity_data[[#This Row],[c_m]]+liquidity_data[[#This Row],[cf_m]]+liquidity_data[[#This Row],[kf_m]]+liquidity_data[[#This Row],[equity]]</f>
        <v>11999.984143388785</v>
      </c>
      <c r="K409" s="5">
        <f>liquidity_data[[#This Row],[kf_d]]+liquidity_data[[#This Row],[cf_d]]</f>
        <v>9.8349950738985115E-8</v>
      </c>
      <c r="L409" s="5">
        <f>liquidity_data[[#This Row],[TOTAL_M]]-liquidity_data[[#This Row],[TOTAL_D]]</f>
        <v>11999.984143290436</v>
      </c>
      <c r="M409" s="6">
        <f>liquidity_data[[#This Row],[M-D]]/L408-1</f>
        <v>5.772499820366761E-7</v>
      </c>
    </row>
    <row r="410" spans="1:13" x14ac:dyDescent="0.25">
      <c r="A410" s="7" t="s">
        <v>146</v>
      </c>
      <c r="B410">
        <v>409</v>
      </c>
      <c r="C410" s="5">
        <v>14736.639925692463</v>
      </c>
      <c r="D410" s="5">
        <v>2462.5160074234009</v>
      </c>
      <c r="E410" s="5">
        <v>-31.269366836437257</v>
      </c>
      <c r="F410" s="5">
        <v>0</v>
      </c>
      <c r="G410" s="5">
        <v>52235.750671386719</v>
      </c>
      <c r="H410" s="5">
        <v>9.3432451886421575E-8</v>
      </c>
      <c r="I410">
        <v>-57403.6</v>
      </c>
      <c r="J410" s="5">
        <f>liquidity_data[[#This Row],[w_m]]+liquidity_data[[#This Row],[c_m]]+liquidity_data[[#This Row],[cf_m]]+liquidity_data[[#This Row],[kf_m]]+liquidity_data[[#This Row],[equity]]</f>
        <v>12000.037237666147</v>
      </c>
      <c r="K410" s="5">
        <f>liquidity_data[[#This Row],[kf_d]]+liquidity_data[[#This Row],[cf_d]]</f>
        <v>9.3432451886421575E-8</v>
      </c>
      <c r="L410" s="5">
        <f>liquidity_data[[#This Row],[TOTAL_M]]-liquidity_data[[#This Row],[TOTAL_D]]</f>
        <v>12000.037237572715</v>
      </c>
      <c r="M410" s="6">
        <f>liquidity_data[[#This Row],[M-D]]/L409-1</f>
        <v>4.4245293697731114E-6</v>
      </c>
    </row>
    <row r="411" spans="1:13" x14ac:dyDescent="0.25">
      <c r="A411" s="7" t="s">
        <v>146</v>
      </c>
      <c r="B411">
        <v>410</v>
      </c>
      <c r="C411" s="5">
        <v>14794.650569536665</v>
      </c>
      <c r="D411" s="5">
        <v>2469.8329610824585</v>
      </c>
      <c r="E411" s="5">
        <v>-150.84854638157412</v>
      </c>
      <c r="F411" s="5">
        <v>0</v>
      </c>
      <c r="G411" s="5">
        <v>52679.179138183594</v>
      </c>
      <c r="H411" s="5">
        <v>8.8760829436429489E-8</v>
      </c>
      <c r="I411">
        <v>-57792.800000000003</v>
      </c>
      <c r="J411" s="5">
        <f>liquidity_data[[#This Row],[w_m]]+liquidity_data[[#This Row],[c_m]]+liquidity_data[[#This Row],[cf_m]]+liquidity_data[[#This Row],[kf_m]]+liquidity_data[[#This Row],[equity]]</f>
        <v>12000.01412242114</v>
      </c>
      <c r="K411" s="5">
        <f>liquidity_data[[#This Row],[kf_d]]+liquidity_data[[#This Row],[cf_d]]</f>
        <v>8.8760829436429489E-8</v>
      </c>
      <c r="L411" s="5">
        <f>liquidity_data[[#This Row],[TOTAL_M]]-liquidity_data[[#This Row],[TOTAL_D]]</f>
        <v>12000.014122332379</v>
      </c>
      <c r="M411" s="6">
        <f>liquidity_data[[#This Row],[M-D]]/L410-1</f>
        <v>-1.9262640504891237E-6</v>
      </c>
    </row>
    <row r="412" spans="1:13" x14ac:dyDescent="0.25">
      <c r="A412" s="7" t="s">
        <v>146</v>
      </c>
      <c r="B412">
        <v>411</v>
      </c>
      <c r="C412" s="5">
        <v>14814.49379773243</v>
      </c>
      <c r="D412" s="5">
        <v>2493.9545430541039</v>
      </c>
      <c r="E412" s="5">
        <v>-22.849993581417948</v>
      </c>
      <c r="F412" s="5">
        <v>0</v>
      </c>
      <c r="G412" s="5">
        <v>53023.48193359375</v>
      </c>
      <c r="H412" s="5">
        <v>8.4322787641255559E-8</v>
      </c>
      <c r="I412">
        <v>-58309.1</v>
      </c>
      <c r="J412" s="5">
        <f>liquidity_data[[#This Row],[w_m]]+liquidity_data[[#This Row],[c_m]]+liquidity_data[[#This Row],[cf_m]]+liquidity_data[[#This Row],[kf_m]]+liquidity_data[[#This Row],[equity]]</f>
        <v>11999.980280798867</v>
      </c>
      <c r="K412" s="5">
        <f>liquidity_data[[#This Row],[kf_d]]+liquidity_data[[#This Row],[cf_d]]</f>
        <v>8.4322787641255559E-8</v>
      </c>
      <c r="L412" s="5">
        <f>liquidity_data[[#This Row],[TOTAL_M]]-liquidity_data[[#This Row],[TOTAL_D]]</f>
        <v>11999.980280714544</v>
      </c>
      <c r="M412" s="6">
        <f>liquidity_data[[#This Row],[M-D]]/L411-1</f>
        <v>-2.8201315006581851E-6</v>
      </c>
    </row>
    <row r="413" spans="1:13" x14ac:dyDescent="0.25">
      <c r="A413" s="7" t="s">
        <v>146</v>
      </c>
      <c r="B413">
        <v>412</v>
      </c>
      <c r="C413" s="5">
        <v>14841.843053375895</v>
      </c>
      <c r="D413" s="5">
        <v>2508.9119667112827</v>
      </c>
      <c r="E413" s="5">
        <v>-3.4171918388456106</v>
      </c>
      <c r="F413" s="5">
        <v>0</v>
      </c>
      <c r="G413" s="5">
        <v>53340.192687988281</v>
      </c>
      <c r="H413" s="5">
        <v>8.0106649313904654E-8</v>
      </c>
      <c r="I413">
        <v>-58687.5</v>
      </c>
      <c r="J413" s="5">
        <f>liquidity_data[[#This Row],[w_m]]+liquidity_data[[#This Row],[c_m]]+liquidity_data[[#This Row],[cf_m]]+liquidity_data[[#This Row],[kf_m]]+liquidity_data[[#This Row],[equity]]</f>
        <v>12000.030516236613</v>
      </c>
      <c r="K413" s="5">
        <f>liquidity_data[[#This Row],[kf_d]]+liquidity_data[[#This Row],[cf_d]]</f>
        <v>8.0106649313904654E-8</v>
      </c>
      <c r="L413" s="5">
        <f>liquidity_data[[#This Row],[TOTAL_M]]-liquidity_data[[#This Row],[TOTAL_D]]</f>
        <v>12000.030516156507</v>
      </c>
      <c r="M413" s="6">
        <f>liquidity_data[[#This Row],[M-D]]/L412-1</f>
        <v>4.1862937094627739E-6</v>
      </c>
    </row>
    <row r="414" spans="1:13" x14ac:dyDescent="0.25">
      <c r="A414" s="7" t="s">
        <v>146</v>
      </c>
      <c r="B414">
        <v>413</v>
      </c>
      <c r="C414" s="5">
        <v>14878.33931921568</v>
      </c>
      <c r="D414" s="5">
        <v>2555.4406837522984</v>
      </c>
      <c r="E414" s="5">
        <v>-214.80458026984707</v>
      </c>
      <c r="F414" s="5">
        <v>0</v>
      </c>
      <c r="G414" s="5">
        <v>53816.249267578125</v>
      </c>
      <c r="H414" s="5">
        <v>7.6101315499288447E-8</v>
      </c>
      <c r="I414">
        <v>-59035.199999999997</v>
      </c>
      <c r="J414" s="5">
        <f>liquidity_data[[#This Row],[w_m]]+liquidity_data[[#This Row],[c_m]]+liquidity_data[[#This Row],[cf_m]]+liquidity_data[[#This Row],[kf_m]]+liquidity_data[[#This Row],[equity]]</f>
        <v>12000.024690276259</v>
      </c>
      <c r="K414" s="5">
        <f>liquidity_data[[#This Row],[kf_d]]+liquidity_data[[#This Row],[cf_d]]</f>
        <v>7.6101315499288447E-8</v>
      </c>
      <c r="L414" s="5">
        <f>liquidity_data[[#This Row],[TOTAL_M]]-liquidity_data[[#This Row],[TOTAL_D]]</f>
        <v>12000.024690200158</v>
      </c>
      <c r="M414" s="6">
        <f>liquidity_data[[#This Row],[M-D]]/L413-1</f>
        <v>-4.8549512776663306E-7</v>
      </c>
    </row>
    <row r="415" spans="1:13" x14ac:dyDescent="0.25">
      <c r="A415" s="7" t="s">
        <v>146</v>
      </c>
      <c r="B415">
        <v>414</v>
      </c>
      <c r="C415" s="5">
        <v>14922.151029369859</v>
      </c>
      <c r="D415" s="5">
        <v>2591.0859160795808</v>
      </c>
      <c r="E415" s="5">
        <v>-162.54966865899041</v>
      </c>
      <c r="F415" s="5">
        <v>0</v>
      </c>
      <c r="G415" s="5">
        <v>54252.22314453125</v>
      </c>
      <c r="H415" s="5">
        <v>7.2296251568682024E-8</v>
      </c>
      <c r="I415">
        <v>-59602.9</v>
      </c>
      <c r="J415" s="5">
        <f>liquidity_data[[#This Row],[w_m]]+liquidity_data[[#This Row],[c_m]]+liquidity_data[[#This Row],[cf_m]]+liquidity_data[[#This Row],[kf_m]]+liquidity_data[[#This Row],[equity]]</f>
        <v>12000.010421321691</v>
      </c>
      <c r="K415" s="5">
        <f>liquidity_data[[#This Row],[kf_d]]+liquidity_data[[#This Row],[cf_d]]</f>
        <v>7.2296251568682024E-8</v>
      </c>
      <c r="L415" s="5">
        <f>liquidity_data[[#This Row],[TOTAL_M]]-liquidity_data[[#This Row],[TOTAL_D]]</f>
        <v>12000.010421249395</v>
      </c>
      <c r="M415" s="6">
        <f>liquidity_data[[#This Row],[M-D]]/L414-1</f>
        <v>-1.189076783703058E-6</v>
      </c>
    </row>
    <row r="416" spans="1:13" x14ac:dyDescent="0.25">
      <c r="A416" s="7" t="s">
        <v>146</v>
      </c>
      <c r="B416">
        <v>415</v>
      </c>
      <c r="C416" s="5">
        <v>14979.765973257454</v>
      </c>
      <c r="D416" s="5">
        <v>2653.320295792073</v>
      </c>
      <c r="E416" s="5">
        <v>-405.90478117065504</v>
      </c>
      <c r="F416" s="5">
        <v>0</v>
      </c>
      <c r="G416" s="5">
        <v>54865.006713867188</v>
      </c>
      <c r="H416" s="5">
        <v>6.8681438564199837E-8</v>
      </c>
      <c r="I416">
        <v>-60092.2</v>
      </c>
      <c r="J416" s="5">
        <f>liquidity_data[[#This Row],[w_m]]+liquidity_data[[#This Row],[c_m]]+liquidity_data[[#This Row],[cf_m]]+liquidity_data[[#This Row],[kf_m]]+liquidity_data[[#This Row],[equity]]</f>
        <v>11999.988201746062</v>
      </c>
      <c r="K416" s="5">
        <f>liquidity_data[[#This Row],[kf_d]]+liquidity_data[[#This Row],[cf_d]]</f>
        <v>6.8681438564199837E-8</v>
      </c>
      <c r="L416" s="5">
        <f>liquidity_data[[#This Row],[TOTAL_M]]-liquidity_data[[#This Row],[TOTAL_D]]</f>
        <v>11999.988201677381</v>
      </c>
      <c r="M416" s="6">
        <f>liquidity_data[[#This Row],[M-D]]/L415-1</f>
        <v>-1.8516293931458705E-6</v>
      </c>
    </row>
    <row r="417" spans="1:13" x14ac:dyDescent="0.25">
      <c r="A417" s="7" t="s">
        <v>146</v>
      </c>
      <c r="B417">
        <v>416</v>
      </c>
      <c r="C417" s="5">
        <v>15007.065186752938</v>
      </c>
      <c r="D417" s="5">
        <v>2697.9692673496902</v>
      </c>
      <c r="E417" s="5">
        <v>-183.71924924757332</v>
      </c>
      <c r="F417" s="5">
        <v>0</v>
      </c>
      <c r="G417" s="5">
        <v>55291.439514160156</v>
      </c>
      <c r="H417" s="5">
        <v>6.5247365454990103E-8</v>
      </c>
      <c r="I417">
        <v>-60812.800000000003</v>
      </c>
      <c r="J417" s="5">
        <f>liquidity_data[[#This Row],[w_m]]+liquidity_data[[#This Row],[c_m]]+liquidity_data[[#This Row],[cf_m]]+liquidity_data[[#This Row],[kf_m]]+liquidity_data[[#This Row],[equity]]</f>
        <v>11999.954719015208</v>
      </c>
      <c r="K417" s="5">
        <f>liquidity_data[[#This Row],[kf_d]]+liquidity_data[[#This Row],[cf_d]]</f>
        <v>6.5247365454990103E-8</v>
      </c>
      <c r="L417" s="5">
        <f>liquidity_data[[#This Row],[TOTAL_M]]-liquidity_data[[#This Row],[TOTAL_D]]</f>
        <v>11999.954718949961</v>
      </c>
      <c r="M417" s="6">
        <f>liquidity_data[[#This Row],[M-D]]/L416-1</f>
        <v>-2.7902300283599857E-6</v>
      </c>
    </row>
    <row r="418" spans="1:13" x14ac:dyDescent="0.25">
      <c r="A418" s="7" t="s">
        <v>146</v>
      </c>
      <c r="B418">
        <v>417</v>
      </c>
      <c r="C418" s="5">
        <v>15081.150405544031</v>
      </c>
      <c r="D418" s="5">
        <v>2717.4095148853958</v>
      </c>
      <c r="E418" s="5">
        <v>-247.41015185869765</v>
      </c>
      <c r="F418" s="5">
        <v>0</v>
      </c>
      <c r="G418" s="5">
        <v>55796.495300292969</v>
      </c>
      <c r="H418" s="5">
        <v>6.198499807874569E-8</v>
      </c>
      <c r="I418">
        <v>-61347.6</v>
      </c>
      <c r="J418" s="5">
        <f>liquidity_data[[#This Row],[w_m]]+liquidity_data[[#This Row],[c_m]]+liquidity_data[[#This Row],[cf_m]]+liquidity_data[[#This Row],[kf_m]]+liquidity_data[[#This Row],[equity]]</f>
        <v>12000.045068863699</v>
      </c>
      <c r="K418" s="5">
        <f>liquidity_data[[#This Row],[kf_d]]+liquidity_data[[#This Row],[cf_d]]</f>
        <v>6.198499807874569E-8</v>
      </c>
      <c r="L418" s="5">
        <f>liquidity_data[[#This Row],[TOTAL_M]]-liquidity_data[[#This Row],[TOTAL_D]]</f>
        <v>12000.045068801714</v>
      </c>
      <c r="M418" s="6">
        <f>liquidity_data[[#This Row],[M-D]]/L417-1</f>
        <v>7.5291827235091091E-6</v>
      </c>
    </row>
    <row r="419" spans="1:13" x14ac:dyDescent="0.25">
      <c r="A419" s="7" t="s">
        <v>146</v>
      </c>
      <c r="B419">
        <v>418</v>
      </c>
      <c r="C419" s="5">
        <v>15114.891647149008</v>
      </c>
      <c r="D419" s="5">
        <v>2770.8274920061231</v>
      </c>
      <c r="E419" s="5">
        <v>-190.04271506378427</v>
      </c>
      <c r="F419" s="5">
        <v>0</v>
      </c>
      <c r="G419" s="5">
        <v>56253.818908691406</v>
      </c>
      <c r="H419" s="5">
        <v>5.8885747611370221E-8</v>
      </c>
      <c r="I419">
        <v>-61949.5</v>
      </c>
      <c r="J419" s="5">
        <f>liquidity_data[[#This Row],[w_m]]+liquidity_data[[#This Row],[c_m]]+liquidity_data[[#This Row],[cf_m]]+liquidity_data[[#This Row],[kf_m]]+liquidity_data[[#This Row],[equity]]</f>
        <v>11999.995332782753</v>
      </c>
      <c r="K419" s="5">
        <f>liquidity_data[[#This Row],[kf_d]]+liquidity_data[[#This Row],[cf_d]]</f>
        <v>5.8885747611370221E-8</v>
      </c>
      <c r="L419" s="5">
        <f>liquidity_data[[#This Row],[TOTAL_M]]-liquidity_data[[#This Row],[TOTAL_D]]</f>
        <v>11999.995332723867</v>
      </c>
      <c r="M419" s="6">
        <f>liquidity_data[[#This Row],[M-D]]/L418-1</f>
        <v>-4.1446575875792036E-6</v>
      </c>
    </row>
    <row r="420" spans="1:13" x14ac:dyDescent="0.25">
      <c r="A420" s="7" t="s">
        <v>146</v>
      </c>
      <c r="B420">
        <v>419</v>
      </c>
      <c r="C420" s="5">
        <v>15185.634380777272</v>
      </c>
      <c r="D420" s="5">
        <v>2819.8644764050841</v>
      </c>
      <c r="E420" s="5">
        <v>-375.17932602507062</v>
      </c>
      <c r="F420" s="5">
        <v>0</v>
      </c>
      <c r="G420" s="5">
        <v>56873.682434082031</v>
      </c>
      <c r="H420" s="5">
        <v>5.5941460769259876E-8</v>
      </c>
      <c r="I420">
        <v>-62504</v>
      </c>
      <c r="J420" s="5">
        <f>liquidity_data[[#This Row],[w_m]]+liquidity_data[[#This Row],[c_m]]+liquidity_data[[#This Row],[cf_m]]+liquidity_data[[#This Row],[kf_m]]+liquidity_data[[#This Row],[equity]]</f>
        <v>12000.001965239324</v>
      </c>
      <c r="K420" s="5">
        <f>liquidity_data[[#This Row],[kf_d]]+liquidity_data[[#This Row],[cf_d]]</f>
        <v>5.5941460769259876E-8</v>
      </c>
      <c r="L420" s="5">
        <f>liquidity_data[[#This Row],[TOTAL_M]]-liquidity_data[[#This Row],[TOTAL_D]]</f>
        <v>12000.001965183383</v>
      </c>
      <c r="M420" s="6">
        <f>liquidity_data[[#This Row],[M-D]]/L419-1</f>
        <v>5.5270517451688761E-7</v>
      </c>
    </row>
    <row r="421" spans="1:13" x14ac:dyDescent="0.25">
      <c r="A421" s="7" t="s">
        <v>146</v>
      </c>
      <c r="B421">
        <v>420</v>
      </c>
      <c r="C421" s="5">
        <v>15208.922621818405</v>
      </c>
      <c r="D421" s="5">
        <v>2858.8008357360959</v>
      </c>
      <c r="E421" s="5">
        <v>-138.65224841283634</v>
      </c>
      <c r="F421" s="5">
        <v>0</v>
      </c>
      <c r="G421" s="5">
        <v>57273.524780273438</v>
      </c>
      <c r="H421" s="5">
        <v>5.3144388140191623E-8</v>
      </c>
      <c r="I421">
        <v>-63202.6</v>
      </c>
      <c r="J421" s="5">
        <f>liquidity_data[[#This Row],[w_m]]+liquidity_data[[#This Row],[c_m]]+liquidity_data[[#This Row],[cf_m]]+liquidity_data[[#This Row],[kf_m]]+liquidity_data[[#This Row],[equity]]</f>
        <v>11999.995989415103</v>
      </c>
      <c r="K421" s="5">
        <f>liquidity_data[[#This Row],[kf_d]]+liquidity_data[[#This Row],[cf_d]]</f>
        <v>5.3144388140191623E-8</v>
      </c>
      <c r="L421" s="5">
        <f>liquidity_data[[#This Row],[TOTAL_M]]-liquidity_data[[#This Row],[TOTAL_D]]</f>
        <v>11999.99598936196</v>
      </c>
      <c r="M421" s="6">
        <f>liquidity_data[[#This Row],[M-D]]/L420-1</f>
        <v>-4.9798503698461616E-7</v>
      </c>
    </row>
    <row r="422" spans="1:13" x14ac:dyDescent="0.25">
      <c r="A422" s="7" t="s">
        <v>146</v>
      </c>
      <c r="B422">
        <v>421</v>
      </c>
      <c r="C422" s="5">
        <v>15231.677179324266</v>
      </c>
      <c r="D422" s="5">
        <v>2924.7846537902951</v>
      </c>
      <c r="E422" s="5">
        <v>-303.14289532089606</v>
      </c>
      <c r="F422" s="5">
        <v>0</v>
      </c>
      <c r="G422" s="5">
        <v>57808.668701171875</v>
      </c>
      <c r="H422" s="5">
        <v>5.0487166725066146E-8</v>
      </c>
      <c r="I422">
        <v>-63662</v>
      </c>
      <c r="J422" s="5">
        <f>liquidity_data[[#This Row],[w_m]]+liquidity_data[[#This Row],[c_m]]+liquidity_data[[#This Row],[cf_m]]+liquidity_data[[#This Row],[kf_m]]+liquidity_data[[#This Row],[equity]]</f>
        <v>11999.98763896554</v>
      </c>
      <c r="K422" s="5">
        <f>liquidity_data[[#This Row],[kf_d]]+liquidity_data[[#This Row],[cf_d]]</f>
        <v>5.0487166725066146E-8</v>
      </c>
      <c r="L422" s="5">
        <f>liquidity_data[[#This Row],[TOTAL_M]]-liquidity_data[[#This Row],[TOTAL_D]]</f>
        <v>11999.987638915052</v>
      </c>
      <c r="M422" s="6">
        <f>liquidity_data[[#This Row],[M-D]]/L421-1</f>
        <v>-6.9587080819832892E-7</v>
      </c>
    </row>
    <row r="423" spans="1:13" x14ac:dyDescent="0.25">
      <c r="A423" s="7" t="s">
        <v>146</v>
      </c>
      <c r="B423">
        <v>422</v>
      </c>
      <c r="C423" s="5">
        <v>15274.938244629535</v>
      </c>
      <c r="D423" s="5">
        <v>2947.0295871198177</v>
      </c>
      <c r="E423" s="5">
        <v>-181.62575818318874</v>
      </c>
      <c r="F423" s="5">
        <v>0</v>
      </c>
      <c r="G423" s="5">
        <v>58242.573486328125</v>
      </c>
      <c r="H423" s="5">
        <v>4.7962810306723114E-8</v>
      </c>
      <c r="I423">
        <v>-64282.9</v>
      </c>
      <c r="J423" s="5">
        <f>liquidity_data[[#This Row],[w_m]]+liquidity_data[[#This Row],[c_m]]+liquidity_data[[#This Row],[cf_m]]+liquidity_data[[#This Row],[kf_m]]+liquidity_data[[#This Row],[equity]]</f>
        <v>12000.015559894287</v>
      </c>
      <c r="K423" s="5">
        <f>liquidity_data[[#This Row],[kf_d]]+liquidity_data[[#This Row],[cf_d]]</f>
        <v>4.7962810306723114E-8</v>
      </c>
      <c r="L423" s="5">
        <f>liquidity_data[[#This Row],[TOTAL_M]]-liquidity_data[[#This Row],[TOTAL_D]]</f>
        <v>12000.015559846324</v>
      </c>
      <c r="M423" s="6">
        <f>liquidity_data[[#This Row],[M-D]]/L422-1</f>
        <v>2.3267466693344119E-6</v>
      </c>
    </row>
    <row r="424" spans="1:13" x14ac:dyDescent="0.25">
      <c r="A424" s="7" t="s">
        <v>146</v>
      </c>
      <c r="B424">
        <v>423</v>
      </c>
      <c r="C424" s="5">
        <v>15329.149476710983</v>
      </c>
      <c r="D424" s="5">
        <v>2958.2960704267025</v>
      </c>
      <c r="E424" s="5">
        <v>-158.0220169913955</v>
      </c>
      <c r="F424" s="5">
        <v>0</v>
      </c>
      <c r="G424" s="5">
        <v>58677.207702636719</v>
      </c>
      <c r="H424" s="5">
        <v>4.5564668843534051E-8</v>
      </c>
      <c r="I424">
        <v>-64806.6</v>
      </c>
      <c r="J424" s="5">
        <f>liquidity_data[[#This Row],[w_m]]+liquidity_data[[#This Row],[c_m]]+liquidity_data[[#This Row],[cf_m]]+liquidity_data[[#This Row],[kf_m]]+liquidity_data[[#This Row],[equity]]</f>
        <v>12000.031232783011</v>
      </c>
      <c r="K424" s="5">
        <f>liquidity_data[[#This Row],[kf_d]]+liquidity_data[[#This Row],[cf_d]]</f>
        <v>4.5564668843534051E-8</v>
      </c>
      <c r="L424" s="5">
        <f>liquidity_data[[#This Row],[TOTAL_M]]-liquidity_data[[#This Row],[TOTAL_D]]</f>
        <v>12000.031232737447</v>
      </c>
      <c r="M424" s="6">
        <f>liquidity_data[[#This Row],[M-D]]/L423-1</f>
        <v>1.3060725667646267E-6</v>
      </c>
    </row>
    <row r="425" spans="1:13" x14ac:dyDescent="0.25">
      <c r="A425" s="7" t="s">
        <v>146</v>
      </c>
      <c r="B425">
        <v>424</v>
      </c>
      <c r="C425" s="5">
        <v>15385.649912604291</v>
      </c>
      <c r="D425" s="5">
        <v>2961.7957328259945</v>
      </c>
      <c r="E425" s="5">
        <v>-83.017400292214006</v>
      </c>
      <c r="F425" s="5">
        <v>0</v>
      </c>
      <c r="G425" s="5">
        <v>59071.992553710938</v>
      </c>
      <c r="H425" s="5">
        <v>4.3286435436051818E-8</v>
      </c>
      <c r="I425">
        <v>-65336.4</v>
      </c>
      <c r="J425" s="5">
        <f>liquidity_data[[#This Row],[w_m]]+liquidity_data[[#This Row],[c_m]]+liquidity_data[[#This Row],[cf_m]]+liquidity_data[[#This Row],[kf_m]]+liquidity_data[[#This Row],[equity]]</f>
        <v>12000.020798849007</v>
      </c>
      <c r="K425" s="5">
        <f>liquidity_data[[#This Row],[kf_d]]+liquidity_data[[#This Row],[cf_d]]</f>
        <v>4.3286435436051818E-8</v>
      </c>
      <c r="L425" s="5">
        <f>liquidity_data[[#This Row],[TOTAL_M]]-liquidity_data[[#This Row],[TOTAL_D]]</f>
        <v>12000.020798805721</v>
      </c>
      <c r="M425" s="6">
        <f>liquidity_data[[#This Row],[M-D]]/L424-1</f>
        <v>-8.694920474727752E-7</v>
      </c>
    </row>
    <row r="426" spans="1:13" x14ac:dyDescent="0.25">
      <c r="A426" s="7" t="s">
        <v>146</v>
      </c>
      <c r="B426">
        <v>425</v>
      </c>
      <c r="C426" s="5">
        <v>15421.892903690488</v>
      </c>
      <c r="D426" s="5">
        <v>3009.1207191161811</v>
      </c>
      <c r="E426" s="5">
        <v>-206.07407495146617</v>
      </c>
      <c r="F426" s="5">
        <v>0</v>
      </c>
      <c r="G426" s="5">
        <v>59557.837036132813</v>
      </c>
      <c r="H426" s="5">
        <v>4.1122114130542897E-8</v>
      </c>
      <c r="I426">
        <v>-65782.8</v>
      </c>
      <c r="J426" s="5">
        <f>liquidity_data[[#This Row],[w_m]]+liquidity_data[[#This Row],[c_m]]+liquidity_data[[#This Row],[cf_m]]+liquidity_data[[#This Row],[kf_m]]+liquidity_data[[#This Row],[equity]]</f>
        <v>11999.976583988013</v>
      </c>
      <c r="K426" s="5">
        <f>liquidity_data[[#This Row],[kf_d]]+liquidity_data[[#This Row],[cf_d]]</f>
        <v>4.1122114130542897E-8</v>
      </c>
      <c r="L426" s="5">
        <f>liquidity_data[[#This Row],[TOTAL_M]]-liquidity_data[[#This Row],[TOTAL_D]]</f>
        <v>11999.976583946891</v>
      </c>
      <c r="M426" s="6">
        <f>liquidity_data[[#This Row],[M-D]]/L425-1</f>
        <v>-3.684565182959787E-6</v>
      </c>
    </row>
    <row r="427" spans="1:13" x14ac:dyDescent="0.25">
      <c r="A427" s="7" t="s">
        <v>146</v>
      </c>
      <c r="B427">
        <v>426</v>
      </c>
      <c r="C427" s="5">
        <v>15439.933405752436</v>
      </c>
      <c r="D427" s="5">
        <v>3069.946310043335</v>
      </c>
      <c r="E427" s="5">
        <v>-179.41792307654396</v>
      </c>
      <c r="F427" s="5">
        <v>0</v>
      </c>
      <c r="G427" s="5">
        <v>60028.22265625</v>
      </c>
      <c r="H427" s="5">
        <v>3.9066008816757147E-8</v>
      </c>
      <c r="I427">
        <v>-66358.7</v>
      </c>
      <c r="J427" s="5">
        <f>liquidity_data[[#This Row],[w_m]]+liquidity_data[[#This Row],[c_m]]+liquidity_data[[#This Row],[cf_m]]+liquidity_data[[#This Row],[kf_m]]+liquidity_data[[#This Row],[equity]]</f>
        <v>11999.984448969233</v>
      </c>
      <c r="K427" s="5">
        <f>liquidity_data[[#This Row],[kf_d]]+liquidity_data[[#This Row],[cf_d]]</f>
        <v>3.9066008816757147E-8</v>
      </c>
      <c r="L427" s="5">
        <f>liquidity_data[[#This Row],[TOTAL_M]]-liquidity_data[[#This Row],[TOTAL_D]]</f>
        <v>11999.984448930167</v>
      </c>
      <c r="M427" s="6">
        <f>liquidity_data[[#This Row],[M-D]]/L426-1</f>
        <v>6.5541655192014048E-7</v>
      </c>
    </row>
    <row r="428" spans="1:13" x14ac:dyDescent="0.25">
      <c r="A428" s="7" t="s">
        <v>146</v>
      </c>
      <c r="B428">
        <v>427</v>
      </c>
      <c r="C428" s="5">
        <v>15485.376860848162</v>
      </c>
      <c r="D428" s="5">
        <v>3098.6770057678223</v>
      </c>
      <c r="E428" s="5">
        <v>-147.57200070284307</v>
      </c>
      <c r="F428" s="5">
        <v>0</v>
      </c>
      <c r="G428" s="5">
        <v>60484.668518066406</v>
      </c>
      <c r="H428" s="5">
        <v>3.7112708253794757E-8</v>
      </c>
      <c r="I428">
        <v>-66921.100000000006</v>
      </c>
      <c r="J428" s="5">
        <f>liquidity_data[[#This Row],[w_m]]+liquidity_data[[#This Row],[c_m]]+liquidity_data[[#This Row],[cf_m]]+liquidity_data[[#This Row],[kf_m]]+liquidity_data[[#This Row],[equity]]</f>
        <v>12000.050383979542</v>
      </c>
      <c r="K428" s="5">
        <f>liquidity_data[[#This Row],[kf_d]]+liquidity_data[[#This Row],[cf_d]]</f>
        <v>3.7112708253794757E-8</v>
      </c>
      <c r="L428" s="5">
        <f>liquidity_data[[#This Row],[TOTAL_M]]-liquidity_data[[#This Row],[TOTAL_D]]</f>
        <v>12000.050383942429</v>
      </c>
      <c r="M428" s="6">
        <f>liquidity_data[[#This Row],[M-D]]/L427-1</f>
        <v>5.4945914758075531E-6</v>
      </c>
    </row>
    <row r="429" spans="1:13" x14ac:dyDescent="0.25">
      <c r="A429" s="7" t="s">
        <v>146</v>
      </c>
      <c r="B429">
        <v>428</v>
      </c>
      <c r="C429" s="5">
        <v>15585.628682840208</v>
      </c>
      <c r="D429" s="5">
        <v>3097.3267593383789</v>
      </c>
      <c r="E429" s="5">
        <v>-254.97993998322636</v>
      </c>
      <c r="F429" s="5">
        <v>0</v>
      </c>
      <c r="G429" s="5">
        <v>61020.721313476563</v>
      </c>
      <c r="H429" s="5">
        <v>3.5257072622529861E-8</v>
      </c>
      <c r="I429">
        <v>-67448.7</v>
      </c>
      <c r="J429" s="5">
        <f>liquidity_data[[#This Row],[w_m]]+liquidity_data[[#This Row],[c_m]]+liquidity_data[[#This Row],[cf_m]]+liquidity_data[[#This Row],[kf_m]]+liquidity_data[[#This Row],[equity]]</f>
        <v>11999.996815671926</v>
      </c>
      <c r="K429" s="5">
        <f>liquidity_data[[#This Row],[kf_d]]+liquidity_data[[#This Row],[cf_d]]</f>
        <v>3.5257072622529861E-8</v>
      </c>
      <c r="L429" s="5">
        <f>liquidity_data[[#This Row],[TOTAL_M]]-liquidity_data[[#This Row],[TOTAL_D]]</f>
        <v>11999.996815636669</v>
      </c>
      <c r="M429" s="6">
        <f>liquidity_data[[#This Row],[M-D]]/L428-1</f>
        <v>-4.4640067371481962E-6</v>
      </c>
    </row>
    <row r="430" spans="1:13" x14ac:dyDescent="0.25">
      <c r="A430" s="7" t="s">
        <v>146</v>
      </c>
      <c r="B430">
        <v>429</v>
      </c>
      <c r="C430" s="5">
        <v>15672.926917960125</v>
      </c>
      <c r="D430" s="5">
        <v>3097.642692565918</v>
      </c>
      <c r="E430" s="5">
        <v>-203.75585336843506</v>
      </c>
      <c r="F430" s="5">
        <v>0</v>
      </c>
      <c r="G430" s="5">
        <v>61515.724548339844</v>
      </c>
      <c r="H430" s="5">
        <v>3.3494219148222371E-8</v>
      </c>
      <c r="I430">
        <v>-68082.5</v>
      </c>
      <c r="J430" s="5">
        <f>liquidity_data[[#This Row],[w_m]]+liquidity_data[[#This Row],[c_m]]+liquidity_data[[#This Row],[cf_m]]+liquidity_data[[#This Row],[kf_m]]+liquidity_data[[#This Row],[equity]]</f>
        <v>12000.038305497452</v>
      </c>
      <c r="K430" s="5">
        <f>liquidity_data[[#This Row],[kf_d]]+liquidity_data[[#This Row],[cf_d]]</f>
        <v>3.3494219148222371E-8</v>
      </c>
      <c r="L430" s="5">
        <f>liquidity_data[[#This Row],[TOTAL_M]]-liquidity_data[[#This Row],[TOTAL_D]]</f>
        <v>12000.038305463957</v>
      </c>
      <c r="M430" s="6">
        <f>liquidity_data[[#This Row],[M-D]]/L429-1</f>
        <v>3.4574865248604425E-6</v>
      </c>
    </row>
    <row r="431" spans="1:13" x14ac:dyDescent="0.25">
      <c r="A431" s="7" t="s">
        <v>146</v>
      </c>
      <c r="B431">
        <v>430</v>
      </c>
      <c r="C431" s="5">
        <v>15753.339880349755</v>
      </c>
      <c r="D431" s="5">
        <v>3128.1122010946274</v>
      </c>
      <c r="E431" s="5">
        <v>-310.85173926549032</v>
      </c>
      <c r="F431" s="5">
        <v>0</v>
      </c>
      <c r="G431" s="5">
        <v>62092.490478515625</v>
      </c>
      <c r="H431" s="5">
        <v>3.1819507834152105E-8</v>
      </c>
      <c r="I431">
        <v>-68663.100000000006</v>
      </c>
      <c r="J431" s="5">
        <f>liquidity_data[[#This Row],[w_m]]+liquidity_data[[#This Row],[c_m]]+liquidity_data[[#This Row],[cf_m]]+liquidity_data[[#This Row],[kf_m]]+liquidity_data[[#This Row],[equity]]</f>
        <v>11999.990820694511</v>
      </c>
      <c r="K431" s="5">
        <f>liquidity_data[[#This Row],[kf_d]]+liquidity_data[[#This Row],[cf_d]]</f>
        <v>3.1819507834152105E-8</v>
      </c>
      <c r="L431" s="5">
        <f>liquidity_data[[#This Row],[TOTAL_M]]-liquidity_data[[#This Row],[TOTAL_D]]</f>
        <v>11999.990820662691</v>
      </c>
      <c r="M431" s="6">
        <f>liquidity_data[[#This Row],[M-D]]/L430-1</f>
        <v>-3.9570541406908077E-6</v>
      </c>
    </row>
    <row r="432" spans="1:13" x14ac:dyDescent="0.25">
      <c r="A432" s="7" t="s">
        <v>146</v>
      </c>
      <c r="B432">
        <v>431</v>
      </c>
      <c r="C432" s="5">
        <v>15804.640861742329</v>
      </c>
      <c r="D432" s="5">
        <v>3175.6166318655014</v>
      </c>
      <c r="E432" s="5">
        <v>-279.6246885615401</v>
      </c>
      <c r="F432" s="5">
        <v>0</v>
      </c>
      <c r="G432" s="5">
        <v>62633.747314453125</v>
      </c>
      <c r="H432" s="5">
        <v>3.0228532316156631E-8</v>
      </c>
      <c r="I432">
        <v>-69334.399999999994</v>
      </c>
      <c r="J432" s="5">
        <f>liquidity_data[[#This Row],[w_m]]+liquidity_data[[#This Row],[c_m]]+liquidity_data[[#This Row],[cf_m]]+liquidity_data[[#This Row],[kf_m]]+liquidity_data[[#This Row],[equity]]</f>
        <v>11999.980119499422</v>
      </c>
      <c r="K432" s="5">
        <f>liquidity_data[[#This Row],[kf_d]]+liquidity_data[[#This Row],[cf_d]]</f>
        <v>3.0228532316156631E-8</v>
      </c>
      <c r="L432" s="5">
        <f>liquidity_data[[#This Row],[TOTAL_M]]-liquidity_data[[#This Row],[TOTAL_D]]</f>
        <v>11999.980119469194</v>
      </c>
      <c r="M432" s="6">
        <f>liquidity_data[[#This Row],[M-D]]/L431-1</f>
        <v>-8.9176680695413069E-7</v>
      </c>
    </row>
    <row r="433" spans="1:13" x14ac:dyDescent="0.25">
      <c r="A433" s="7" t="s">
        <v>146</v>
      </c>
      <c r="B433">
        <v>432</v>
      </c>
      <c r="C433" s="5">
        <v>15840.058610332184</v>
      </c>
      <c r="D433" s="5">
        <v>3236.2946922779083</v>
      </c>
      <c r="E433" s="5">
        <v>-265.77675042580813</v>
      </c>
      <c r="F433" s="5">
        <v>0</v>
      </c>
      <c r="G433" s="5">
        <v>63172.161987304688</v>
      </c>
      <c r="H433" s="5">
        <v>2.8717106054232389E-8</v>
      </c>
      <c r="I433">
        <v>-69982.7</v>
      </c>
      <c r="J433" s="5">
        <f>liquidity_data[[#This Row],[w_m]]+liquidity_data[[#This Row],[c_m]]+liquidity_data[[#This Row],[cf_m]]+liquidity_data[[#This Row],[kf_m]]+liquidity_data[[#This Row],[equity]]</f>
        <v>12000.038539488974</v>
      </c>
      <c r="K433" s="5">
        <f>liquidity_data[[#This Row],[kf_d]]+liquidity_data[[#This Row],[cf_d]]</f>
        <v>2.8717106054232389E-8</v>
      </c>
      <c r="L433" s="5">
        <f>liquidity_data[[#This Row],[TOTAL_M]]-liquidity_data[[#This Row],[TOTAL_D]]</f>
        <v>12000.038539460258</v>
      </c>
      <c r="M433" s="6">
        <f>liquidity_data[[#This Row],[M-D]]/L432-1</f>
        <v>4.8683406541627505E-6</v>
      </c>
    </row>
    <row r="434" spans="1:13" x14ac:dyDescent="0.25">
      <c r="A434" s="7" t="s">
        <v>146</v>
      </c>
      <c r="B434">
        <v>433</v>
      </c>
      <c r="C434" s="5">
        <v>15882.745826624086</v>
      </c>
      <c r="D434" s="5">
        <v>3274.8830635547638</v>
      </c>
      <c r="E434" s="5">
        <v>-212.43237742455676</v>
      </c>
      <c r="F434" s="5">
        <v>0</v>
      </c>
      <c r="G434" s="5">
        <v>63644.199401855469</v>
      </c>
      <c r="H434" s="5">
        <v>2.7281250855604178E-8</v>
      </c>
      <c r="I434">
        <v>-70589.399999999994</v>
      </c>
      <c r="J434" s="5">
        <f>liquidity_data[[#This Row],[w_m]]+liquidity_data[[#This Row],[c_m]]+liquidity_data[[#This Row],[cf_m]]+liquidity_data[[#This Row],[kf_m]]+liquidity_data[[#This Row],[equity]]</f>
        <v>11999.995914609768</v>
      </c>
      <c r="K434" s="5">
        <f>liquidity_data[[#This Row],[kf_d]]+liquidity_data[[#This Row],[cf_d]]</f>
        <v>2.7281250855604178E-8</v>
      </c>
      <c r="L434" s="5">
        <f>liquidity_data[[#This Row],[TOTAL_M]]-liquidity_data[[#This Row],[TOTAL_D]]</f>
        <v>11999.995914582487</v>
      </c>
      <c r="M434" s="6">
        <f>liquidity_data[[#This Row],[M-D]]/L433-1</f>
        <v>-3.5520617397422072E-6</v>
      </c>
    </row>
    <row r="435" spans="1:13" x14ac:dyDescent="0.25">
      <c r="A435" s="7" t="s">
        <v>146</v>
      </c>
      <c r="B435">
        <v>434</v>
      </c>
      <c r="C435" s="5">
        <v>15935.076324366179</v>
      </c>
      <c r="D435" s="5">
        <v>3324.0071174502373</v>
      </c>
      <c r="E435" s="5">
        <v>-277.59966985788196</v>
      </c>
      <c r="F435" s="5">
        <v>0</v>
      </c>
      <c r="G435" s="5">
        <v>64174.402770996094</v>
      </c>
      <c r="H435" s="5">
        <v>2.5917188631319199E-8</v>
      </c>
      <c r="I435">
        <v>-71155.899999999994</v>
      </c>
      <c r="J435" s="5">
        <f>liquidity_data[[#This Row],[w_m]]+liquidity_data[[#This Row],[c_m]]+liquidity_data[[#This Row],[cf_m]]+liquidity_data[[#This Row],[kf_m]]+liquidity_data[[#This Row],[equity]]</f>
        <v>11999.986542954633</v>
      </c>
      <c r="K435" s="5">
        <f>liquidity_data[[#This Row],[kf_d]]+liquidity_data[[#This Row],[cf_d]]</f>
        <v>2.5917188631319199E-8</v>
      </c>
      <c r="L435" s="5">
        <f>liquidity_data[[#This Row],[TOTAL_M]]-liquidity_data[[#This Row],[TOTAL_D]]</f>
        <v>11999.986542928717</v>
      </c>
      <c r="M435" s="6">
        <f>liquidity_data[[#This Row],[M-D]]/L434-1</f>
        <v>-7.8097141342770016E-7</v>
      </c>
    </row>
    <row r="436" spans="1:13" x14ac:dyDescent="0.25">
      <c r="A436" s="7" t="s">
        <v>146</v>
      </c>
      <c r="B436">
        <v>435</v>
      </c>
      <c r="C436" s="5">
        <v>15979.444519266341</v>
      </c>
      <c r="D436" s="5">
        <v>3414.2156764864922</v>
      </c>
      <c r="E436" s="5">
        <v>-454.74229364702478</v>
      </c>
      <c r="F436" s="5">
        <v>0</v>
      </c>
      <c r="G436" s="5">
        <v>64842.347290039063</v>
      </c>
      <c r="H436" s="5">
        <v>2.4621329183793783E-8</v>
      </c>
      <c r="I436">
        <v>-71781.3</v>
      </c>
      <c r="J436" s="5">
        <f>liquidity_data[[#This Row],[w_m]]+liquidity_data[[#This Row],[c_m]]+liquidity_data[[#This Row],[cf_m]]+liquidity_data[[#This Row],[kf_m]]+liquidity_data[[#This Row],[equity]]</f>
        <v>11999.965192144868</v>
      </c>
      <c r="K436" s="5">
        <f>liquidity_data[[#This Row],[kf_d]]+liquidity_data[[#This Row],[cf_d]]</f>
        <v>2.4621329183793783E-8</v>
      </c>
      <c r="L436" s="5">
        <f>liquidity_data[[#This Row],[TOTAL_M]]-liquidity_data[[#This Row],[TOTAL_D]]</f>
        <v>11999.965192120246</v>
      </c>
      <c r="M436" s="6">
        <f>liquidity_data[[#This Row],[M-D]]/L435-1</f>
        <v>-1.7792360345048053E-6</v>
      </c>
    </row>
    <row r="437" spans="1:13" x14ac:dyDescent="0.25">
      <c r="A437" s="7" t="s">
        <v>146</v>
      </c>
      <c r="B437">
        <v>436</v>
      </c>
      <c r="C437" s="5">
        <v>16048.353834790963</v>
      </c>
      <c r="D437" s="5">
        <v>3425.6994087100029</v>
      </c>
      <c r="E437" s="5">
        <v>-181.59305298468098</v>
      </c>
      <c r="F437" s="5">
        <v>0</v>
      </c>
      <c r="G437" s="5">
        <v>65290.361145019531</v>
      </c>
      <c r="H437" s="5">
        <v>2.3390262324229916E-8</v>
      </c>
      <c r="I437">
        <v>-72582.8</v>
      </c>
      <c r="J437" s="5">
        <f>liquidity_data[[#This Row],[w_m]]+liquidity_data[[#This Row],[c_m]]+liquidity_data[[#This Row],[cf_m]]+liquidity_data[[#This Row],[kf_m]]+liquidity_data[[#This Row],[equity]]</f>
        <v>12000.021335535814</v>
      </c>
      <c r="K437" s="5">
        <f>liquidity_data[[#This Row],[kf_d]]+liquidity_data[[#This Row],[cf_d]]</f>
        <v>2.3390262324229916E-8</v>
      </c>
      <c r="L437" s="5">
        <f>liquidity_data[[#This Row],[TOTAL_M]]-liquidity_data[[#This Row],[TOTAL_D]]</f>
        <v>12000.021335512423</v>
      </c>
      <c r="M437" s="6">
        <f>liquidity_data[[#This Row],[M-D]]/L436-1</f>
        <v>4.6786295859746474E-6</v>
      </c>
    </row>
    <row r="438" spans="1:13" x14ac:dyDescent="0.25">
      <c r="A438" s="7" t="s">
        <v>146</v>
      </c>
      <c r="B438">
        <v>437</v>
      </c>
      <c r="C438" s="5">
        <v>16097.486172572098</v>
      </c>
      <c r="D438" s="5">
        <v>3509.9859153628349</v>
      </c>
      <c r="E438" s="5">
        <v>-438.27067062398419</v>
      </c>
      <c r="F438" s="5">
        <v>0</v>
      </c>
      <c r="G438" s="5">
        <v>65948.750854492188</v>
      </c>
      <c r="H438" s="5">
        <v>2.2220748963075465E-8</v>
      </c>
      <c r="I438">
        <v>-73118</v>
      </c>
      <c r="J438" s="5">
        <f>liquidity_data[[#This Row],[w_m]]+liquidity_data[[#This Row],[c_m]]+liquidity_data[[#This Row],[cf_m]]+liquidity_data[[#This Row],[kf_m]]+liquidity_data[[#This Row],[equity]]</f>
        <v>11999.952271803137</v>
      </c>
      <c r="K438" s="5">
        <f>liquidity_data[[#This Row],[kf_d]]+liquidity_data[[#This Row],[cf_d]]</f>
        <v>2.2220748963075465E-8</v>
      </c>
      <c r="L438" s="5">
        <f>liquidity_data[[#This Row],[TOTAL_M]]-liquidity_data[[#This Row],[TOTAL_D]]</f>
        <v>11999.952271780916</v>
      </c>
      <c r="M438" s="6">
        <f>liquidity_data[[#This Row],[M-D]]/L437-1</f>
        <v>-5.7553007262178824E-6</v>
      </c>
    </row>
    <row r="439" spans="1:13" x14ac:dyDescent="0.25">
      <c r="A439" s="7" t="s">
        <v>146</v>
      </c>
      <c r="B439">
        <v>438</v>
      </c>
      <c r="C439" s="5">
        <v>16161.480406353146</v>
      </c>
      <c r="D439" s="5">
        <v>3557.3345474228263</v>
      </c>
      <c r="E439" s="5">
        <v>-367.83447752101347</v>
      </c>
      <c r="F439" s="5">
        <v>0</v>
      </c>
      <c r="G439" s="5">
        <v>66537.121337890625</v>
      </c>
      <c r="H439" s="5">
        <v>2.1109711964562017E-8</v>
      </c>
      <c r="I439">
        <v>-73888.100000000006</v>
      </c>
      <c r="J439" s="5">
        <f>liquidity_data[[#This Row],[w_m]]+liquidity_data[[#This Row],[c_m]]+liquidity_data[[#This Row],[cf_m]]+liquidity_data[[#This Row],[kf_m]]+liquidity_data[[#This Row],[equity]]</f>
        <v>12000.00181414558</v>
      </c>
      <c r="K439" s="5">
        <f>liquidity_data[[#This Row],[kf_d]]+liquidity_data[[#This Row],[cf_d]]</f>
        <v>2.1109711964562017E-8</v>
      </c>
      <c r="L439" s="5">
        <f>liquidity_data[[#This Row],[TOTAL_M]]-liquidity_data[[#This Row],[TOTAL_D]]</f>
        <v>12000.001814124471</v>
      </c>
      <c r="M439" s="6">
        <f>liquidity_data[[#This Row],[M-D]]/L438-1</f>
        <v>4.1285450502748233E-6</v>
      </c>
    </row>
    <row r="440" spans="1:13" x14ac:dyDescent="0.25">
      <c r="A440" s="7" t="s">
        <v>146</v>
      </c>
      <c r="B440">
        <v>439</v>
      </c>
      <c r="C440" s="5">
        <v>16217.470999714698</v>
      </c>
      <c r="D440" s="5">
        <v>3595.7228154763579</v>
      </c>
      <c r="E440" s="5">
        <v>-288.29752513440326</v>
      </c>
      <c r="F440" s="5">
        <v>0</v>
      </c>
      <c r="G440" s="5">
        <v>67071.702392578125</v>
      </c>
      <c r="H440" s="5">
        <v>2.005422559958614E-8</v>
      </c>
      <c r="I440">
        <v>-74596.600000000006</v>
      </c>
      <c r="J440" s="5">
        <f>liquidity_data[[#This Row],[w_m]]+liquidity_data[[#This Row],[c_m]]+liquidity_data[[#This Row],[cf_m]]+liquidity_data[[#This Row],[kf_m]]+liquidity_data[[#This Row],[equity]]</f>
        <v>11999.998682634774</v>
      </c>
      <c r="K440" s="5">
        <f>liquidity_data[[#This Row],[kf_d]]+liquidity_data[[#This Row],[cf_d]]</f>
        <v>2.005422559958614E-8</v>
      </c>
      <c r="L440" s="5">
        <f>liquidity_data[[#This Row],[TOTAL_M]]-liquidity_data[[#This Row],[TOTAL_D]]</f>
        <v>11999.99868261472</v>
      </c>
      <c r="M440" s="6">
        <f>liquidity_data[[#This Row],[M-D]]/L439-1</f>
        <v>-2.6095910643508802E-7</v>
      </c>
    </row>
    <row r="441" spans="1:13" x14ac:dyDescent="0.25">
      <c r="A441" s="7" t="s">
        <v>146</v>
      </c>
      <c r="B441">
        <v>440</v>
      </c>
      <c r="C441" s="5">
        <v>16277.507303408513</v>
      </c>
      <c r="D441" s="5">
        <v>3621.1963111162186</v>
      </c>
      <c r="E441" s="5">
        <v>-236.76357908034697</v>
      </c>
      <c r="F441" s="5">
        <v>0</v>
      </c>
      <c r="G441" s="5">
        <v>67562.82373046875</v>
      </c>
      <c r="H441" s="5">
        <v>1.9051514782431056E-8</v>
      </c>
      <c r="I441">
        <v>-75224.800000000003</v>
      </c>
      <c r="J441" s="5">
        <f>liquidity_data[[#This Row],[w_m]]+liquidity_data[[#This Row],[c_m]]+liquidity_data[[#This Row],[cf_m]]+liquidity_data[[#This Row],[kf_m]]+liquidity_data[[#This Row],[equity]]</f>
        <v>11999.96376591314</v>
      </c>
      <c r="K441" s="5">
        <f>liquidity_data[[#This Row],[kf_d]]+liquidity_data[[#This Row],[cf_d]]</f>
        <v>1.9051514782431056E-8</v>
      </c>
      <c r="L441" s="5">
        <f>liquidity_data[[#This Row],[TOTAL_M]]-liquidity_data[[#This Row],[TOTAL_D]]</f>
        <v>11999.963765894088</v>
      </c>
      <c r="M441" s="6">
        <f>liquidity_data[[#This Row],[M-D]]/L440-1</f>
        <v>-2.9097270387579144E-6</v>
      </c>
    </row>
    <row r="442" spans="1:13" x14ac:dyDescent="0.25">
      <c r="A442" s="7" t="s">
        <v>146</v>
      </c>
      <c r="B442">
        <v>441</v>
      </c>
      <c r="C442" s="5">
        <v>16338.584417779535</v>
      </c>
      <c r="D442" s="5">
        <v>3658.9455367326736</v>
      </c>
      <c r="E442" s="5">
        <v>-319.62482314789668</v>
      </c>
      <c r="F442" s="5">
        <v>0</v>
      </c>
      <c r="G442" s="5">
        <v>68111.535400390625</v>
      </c>
      <c r="H442" s="5">
        <v>1.80989390696773E-8</v>
      </c>
      <c r="I442">
        <v>-75789.399999999994</v>
      </c>
      <c r="J442" s="5">
        <f>liquidity_data[[#This Row],[w_m]]+liquidity_data[[#This Row],[c_m]]+liquidity_data[[#This Row],[cf_m]]+liquidity_data[[#This Row],[kf_m]]+liquidity_data[[#This Row],[equity]]</f>
        <v>12000.040531754945</v>
      </c>
      <c r="K442" s="5">
        <f>liquidity_data[[#This Row],[kf_d]]+liquidity_data[[#This Row],[cf_d]]</f>
        <v>1.80989390696773E-8</v>
      </c>
      <c r="L442" s="5">
        <f>liquidity_data[[#This Row],[TOTAL_M]]-liquidity_data[[#This Row],[TOTAL_D]]</f>
        <v>12000.040531736846</v>
      </c>
      <c r="M442" s="6">
        <f>liquidity_data[[#This Row],[M-D]]/L441-1</f>
        <v>6.3971728794243177E-6</v>
      </c>
    </row>
    <row r="443" spans="1:13" x14ac:dyDescent="0.25">
      <c r="A443" s="7" t="s">
        <v>146</v>
      </c>
      <c r="B443">
        <v>442</v>
      </c>
      <c r="C443" s="5">
        <v>16389.823101800241</v>
      </c>
      <c r="D443" s="5">
        <v>3685.1741168797016</v>
      </c>
      <c r="E443" s="5">
        <v>-215.20234294096008</v>
      </c>
      <c r="F443" s="5">
        <v>0</v>
      </c>
      <c r="G443" s="5">
        <v>68579.546752929688</v>
      </c>
      <c r="H443" s="5">
        <v>1.7193991869168812E-8</v>
      </c>
      <c r="I443">
        <v>-76439.3</v>
      </c>
      <c r="J443" s="5">
        <f>liquidity_data[[#This Row],[w_m]]+liquidity_data[[#This Row],[c_m]]+liquidity_data[[#This Row],[cf_m]]+liquidity_data[[#This Row],[kf_m]]+liquidity_data[[#This Row],[equity]]</f>
        <v>12000.041628668667</v>
      </c>
      <c r="K443" s="5">
        <f>liquidity_data[[#This Row],[kf_d]]+liquidity_data[[#This Row],[cf_d]]</f>
        <v>1.7193991869168812E-8</v>
      </c>
      <c r="L443" s="5">
        <f>liquidity_data[[#This Row],[TOTAL_M]]-liquidity_data[[#This Row],[TOTAL_D]]</f>
        <v>12000.041628651474</v>
      </c>
      <c r="M443" s="6">
        <f>liquidity_data[[#This Row],[M-D]]/L442-1</f>
        <v>9.1409243507811766E-8</v>
      </c>
    </row>
    <row r="444" spans="1:13" x14ac:dyDescent="0.25">
      <c r="A444" s="7" t="s">
        <v>146</v>
      </c>
      <c r="B444">
        <v>443</v>
      </c>
      <c r="C444" s="5">
        <v>16414.22896216833</v>
      </c>
      <c r="D444" s="5">
        <v>3814.5442124307156</v>
      </c>
      <c r="E444" s="5">
        <v>-578.97644935874268</v>
      </c>
      <c r="F444" s="5">
        <v>0</v>
      </c>
      <c r="G444" s="5">
        <v>69333.844116210938</v>
      </c>
      <c r="H444" s="5">
        <v>1.6334292571307252E-8</v>
      </c>
      <c r="I444">
        <v>-76983.600000000006</v>
      </c>
      <c r="J444" s="5">
        <f>liquidity_data[[#This Row],[w_m]]+liquidity_data[[#This Row],[c_m]]+liquidity_data[[#This Row],[cf_m]]+liquidity_data[[#This Row],[kf_m]]+liquidity_data[[#This Row],[equity]]</f>
        <v>12000.040841451235</v>
      </c>
      <c r="K444" s="5">
        <f>liquidity_data[[#This Row],[kf_d]]+liquidity_data[[#This Row],[cf_d]]</f>
        <v>1.6334292571307252E-8</v>
      </c>
      <c r="L444" s="5">
        <f>liquidity_data[[#This Row],[TOTAL_M]]-liquidity_data[[#This Row],[TOTAL_D]]</f>
        <v>12000.0408414349</v>
      </c>
      <c r="M444" s="6">
        <f>liquidity_data[[#This Row],[M-D]]/L443-1</f>
        <v>-6.5601153509398102E-8</v>
      </c>
    </row>
    <row r="445" spans="1:13" x14ac:dyDescent="0.25">
      <c r="A445" s="7" t="s">
        <v>146</v>
      </c>
      <c r="B445">
        <v>444</v>
      </c>
      <c r="C445" s="5">
        <v>16454.682322570239</v>
      </c>
      <c r="D445" s="5">
        <v>3887.0219810307026</v>
      </c>
      <c r="E445" s="5">
        <v>-390.73965599248186</v>
      </c>
      <c r="F445" s="5">
        <v>0</v>
      </c>
      <c r="G445" s="5">
        <v>69946.221435546875</v>
      </c>
      <c r="H445" s="5">
        <v>1.5517578132173693E-8</v>
      </c>
      <c r="I445">
        <v>-77897.2</v>
      </c>
      <c r="J445" s="5">
        <f>liquidity_data[[#This Row],[w_m]]+liquidity_data[[#This Row],[c_m]]+liquidity_data[[#This Row],[cf_m]]+liquidity_data[[#This Row],[kf_m]]+liquidity_data[[#This Row],[equity]]</f>
        <v>11999.986083155338</v>
      </c>
      <c r="K445" s="5">
        <f>liquidity_data[[#This Row],[kf_d]]+liquidity_data[[#This Row],[cf_d]]</f>
        <v>1.5517578132173693E-8</v>
      </c>
      <c r="L445" s="5">
        <f>liquidity_data[[#This Row],[TOTAL_M]]-liquidity_data[[#This Row],[TOTAL_D]]</f>
        <v>11999.98608313982</v>
      </c>
      <c r="M445" s="6">
        <f>liquidity_data[[#This Row],[M-D]]/L444-1</f>
        <v>-4.5631757261688222E-6</v>
      </c>
    </row>
    <row r="446" spans="1:13" x14ac:dyDescent="0.25">
      <c r="A446" s="7" t="s">
        <v>146</v>
      </c>
      <c r="B446">
        <v>445</v>
      </c>
      <c r="C446" s="5">
        <v>16495.556088269106</v>
      </c>
      <c r="D446" s="5">
        <v>3928.7417888641357</v>
      </c>
      <c r="E446" s="5">
        <v>-229.7084995880723</v>
      </c>
      <c r="F446" s="5">
        <v>0</v>
      </c>
      <c r="G446" s="5">
        <v>70425.621337890625</v>
      </c>
      <c r="H446" s="5">
        <v>1.4741698826925553E-8</v>
      </c>
      <c r="I446">
        <v>-78620.2</v>
      </c>
      <c r="J446" s="5">
        <f>liquidity_data[[#This Row],[w_m]]+liquidity_data[[#This Row],[c_m]]+liquidity_data[[#This Row],[cf_m]]+liquidity_data[[#This Row],[kf_m]]+liquidity_data[[#This Row],[equity]]</f>
        <v>12000.010715435797</v>
      </c>
      <c r="K446" s="5">
        <f>liquidity_data[[#This Row],[kf_d]]+liquidity_data[[#This Row],[cf_d]]</f>
        <v>1.4741698826925553E-8</v>
      </c>
      <c r="L446" s="5">
        <f>liquidity_data[[#This Row],[TOTAL_M]]-liquidity_data[[#This Row],[TOTAL_D]]</f>
        <v>12000.010715421056</v>
      </c>
      <c r="M446" s="6">
        <f>liquidity_data[[#This Row],[M-D]]/L445-1</f>
        <v>2.0526924835451155E-6</v>
      </c>
    </row>
    <row r="447" spans="1:13" x14ac:dyDescent="0.25">
      <c r="A447" s="7" t="s">
        <v>146</v>
      </c>
      <c r="B447">
        <v>446</v>
      </c>
      <c r="C447" s="5">
        <v>16564.931896261289</v>
      </c>
      <c r="D447" s="5">
        <v>3966.8202137947083</v>
      </c>
      <c r="E447" s="5">
        <v>-319.94959200778976</v>
      </c>
      <c r="F447" s="5">
        <v>0</v>
      </c>
      <c r="G447" s="5">
        <v>70989.757446289063</v>
      </c>
      <c r="H447" s="5">
        <v>1.4004614322382647E-8</v>
      </c>
      <c r="I447">
        <v>-79201.600000000006</v>
      </c>
      <c r="J447" s="5">
        <f>liquidity_data[[#This Row],[w_m]]+liquidity_data[[#This Row],[c_m]]+liquidity_data[[#This Row],[cf_m]]+liquidity_data[[#This Row],[kf_m]]+liquidity_data[[#This Row],[equity]]</f>
        <v>11999.959964337264</v>
      </c>
      <c r="K447" s="5">
        <f>liquidity_data[[#This Row],[kf_d]]+liquidity_data[[#This Row],[cf_d]]</f>
        <v>1.4004614322382647E-8</v>
      </c>
      <c r="L447" s="5">
        <f>liquidity_data[[#This Row],[TOTAL_M]]-liquidity_data[[#This Row],[TOTAL_D]]</f>
        <v>11999.95996432326</v>
      </c>
      <c r="M447" s="6">
        <f>liquidity_data[[#This Row],[M-D]]/L446-1</f>
        <v>-4.229254373266933E-6</v>
      </c>
    </row>
    <row r="448" spans="1:13" x14ac:dyDescent="0.25">
      <c r="A448" s="7" t="s">
        <v>146</v>
      </c>
      <c r="B448">
        <v>447</v>
      </c>
      <c r="C448" s="5">
        <v>16594.352821247128</v>
      </c>
      <c r="D448" s="5">
        <v>4040.2689191251993</v>
      </c>
      <c r="E448" s="5">
        <v>-321.23632150981575</v>
      </c>
      <c r="F448" s="5">
        <v>0</v>
      </c>
      <c r="G448" s="5">
        <v>71551.412963867188</v>
      </c>
      <c r="H448" s="5">
        <v>1.3304383199297387E-8</v>
      </c>
      <c r="I448">
        <v>-79864.800000000003</v>
      </c>
      <c r="J448" s="5">
        <f>liquidity_data[[#This Row],[w_m]]+liquidity_data[[#This Row],[c_m]]+liquidity_data[[#This Row],[cf_m]]+liquidity_data[[#This Row],[kf_m]]+liquidity_data[[#This Row],[equity]]</f>
        <v>11999.998382729696</v>
      </c>
      <c r="K448" s="5">
        <f>liquidity_data[[#This Row],[kf_d]]+liquidity_data[[#This Row],[cf_d]]</f>
        <v>1.3304383199297387E-8</v>
      </c>
      <c r="L448" s="5">
        <f>liquidity_data[[#This Row],[TOTAL_M]]-liquidity_data[[#This Row],[TOTAL_D]]</f>
        <v>11999.998382716392</v>
      </c>
      <c r="M448" s="6">
        <f>liquidity_data[[#This Row],[M-D]]/L447-1</f>
        <v>3.2015434423549038E-6</v>
      </c>
    </row>
    <row r="449" spans="1:13" x14ac:dyDescent="0.25">
      <c r="A449" s="7" t="s">
        <v>146</v>
      </c>
      <c r="B449">
        <v>448</v>
      </c>
      <c r="C449" s="5">
        <v>16630.465636213194</v>
      </c>
      <c r="D449" s="5">
        <v>4119.5963746458292</v>
      </c>
      <c r="E449" s="5">
        <v>-371.23481548484415</v>
      </c>
      <c r="F449" s="5">
        <v>0</v>
      </c>
      <c r="G449" s="5">
        <v>72161.964233398438</v>
      </c>
      <c r="H449" s="5">
        <v>1.263916420135569E-8</v>
      </c>
      <c r="I449">
        <v>-80540.800000000003</v>
      </c>
      <c r="J449" s="5">
        <f>liquidity_data[[#This Row],[w_m]]+liquidity_data[[#This Row],[c_m]]+liquidity_data[[#This Row],[cf_m]]+liquidity_data[[#This Row],[kf_m]]+liquidity_data[[#This Row],[equity]]</f>
        <v>11999.991428772613</v>
      </c>
      <c r="K449" s="5">
        <f>liquidity_data[[#This Row],[kf_d]]+liquidity_data[[#This Row],[cf_d]]</f>
        <v>1.263916420135569E-8</v>
      </c>
      <c r="L449" s="5">
        <f>liquidity_data[[#This Row],[TOTAL_M]]-liquidity_data[[#This Row],[TOTAL_D]]</f>
        <v>11999.991428759975</v>
      </c>
      <c r="M449" s="6">
        <f>liquidity_data[[#This Row],[M-D]]/L448-1</f>
        <v>-5.7949644627353081E-7</v>
      </c>
    </row>
    <row r="450" spans="1:13" x14ac:dyDescent="0.25">
      <c r="A450" s="7" t="s">
        <v>146</v>
      </c>
      <c r="B450">
        <v>449</v>
      </c>
      <c r="C450" s="5">
        <v>16688.932627075003</v>
      </c>
      <c r="D450" s="5">
        <v>4144.1595956236124</v>
      </c>
      <c r="E450" s="5">
        <v>-211.5674855215475</v>
      </c>
      <c r="F450" s="5">
        <v>0</v>
      </c>
      <c r="G450" s="5">
        <v>72652.472045898438</v>
      </c>
      <c r="H450" s="5">
        <v>1.2007206090514089E-8</v>
      </c>
      <c r="I450">
        <v>-81274</v>
      </c>
      <c r="J450" s="5">
        <f>liquidity_data[[#This Row],[w_m]]+liquidity_data[[#This Row],[c_m]]+liquidity_data[[#This Row],[cf_m]]+liquidity_data[[#This Row],[kf_m]]+liquidity_data[[#This Row],[equity]]</f>
        <v>11999.996783075505</v>
      </c>
      <c r="K450" s="5">
        <f>liquidity_data[[#This Row],[kf_d]]+liquidity_data[[#This Row],[cf_d]]</f>
        <v>1.2007206090514089E-8</v>
      </c>
      <c r="L450" s="5">
        <f>liquidity_data[[#This Row],[TOTAL_M]]-liquidity_data[[#This Row],[TOTAL_D]]</f>
        <v>11999.996783063498</v>
      </c>
      <c r="M450" s="6">
        <f>liquidity_data[[#This Row],[M-D]]/L449-1</f>
        <v>4.4619227890230206E-7</v>
      </c>
    </row>
    <row r="451" spans="1:13" x14ac:dyDescent="0.25">
      <c r="A451" s="7" t="s">
        <v>146</v>
      </c>
      <c r="B451">
        <v>450</v>
      </c>
      <c r="C451" s="5">
        <v>16743.069744193723</v>
      </c>
      <c r="D451" s="5">
        <v>4167.7447968870401</v>
      </c>
      <c r="E451" s="5">
        <v>-185.15266128722578</v>
      </c>
      <c r="F451" s="5">
        <v>0</v>
      </c>
      <c r="G451" s="5">
        <v>73120.655883789063</v>
      </c>
      <c r="H451" s="5">
        <v>1.1406845627781603E-8</v>
      </c>
      <c r="I451">
        <v>-81846.3</v>
      </c>
      <c r="J451" s="5">
        <f>liquidity_data[[#This Row],[w_m]]+liquidity_data[[#This Row],[c_m]]+liquidity_data[[#This Row],[cf_m]]+liquidity_data[[#This Row],[kf_m]]+liquidity_data[[#This Row],[equity]]</f>
        <v>12000.017763582597</v>
      </c>
      <c r="K451" s="5">
        <f>liquidity_data[[#This Row],[kf_d]]+liquidity_data[[#This Row],[cf_d]]</f>
        <v>1.1406845627781603E-8</v>
      </c>
      <c r="L451" s="5">
        <f>liquidity_data[[#This Row],[TOTAL_M]]-liquidity_data[[#This Row],[TOTAL_D]]</f>
        <v>12000.01776357119</v>
      </c>
      <c r="M451" s="6">
        <f>liquidity_data[[#This Row],[M-D]]/L450-1</f>
        <v>1.7483761096670491E-6</v>
      </c>
    </row>
    <row r="452" spans="1:13" x14ac:dyDescent="0.25">
      <c r="A452" s="7" t="s">
        <v>146</v>
      </c>
      <c r="B452">
        <v>451</v>
      </c>
      <c r="C452" s="5">
        <v>16807.212034604512</v>
      </c>
      <c r="D452" s="5">
        <v>4259.426611110568</v>
      </c>
      <c r="E452" s="5">
        <v>-541.72200396191329</v>
      </c>
      <c r="F452" s="5">
        <v>0</v>
      </c>
      <c r="G452" s="5">
        <v>73876.031127929688</v>
      </c>
      <c r="H452" s="5">
        <v>1.0836503493150131E-8</v>
      </c>
      <c r="I452">
        <v>-82400.899999999994</v>
      </c>
      <c r="J452" s="5">
        <f>liquidity_data[[#This Row],[w_m]]+liquidity_data[[#This Row],[c_m]]+liquidity_data[[#This Row],[cf_m]]+liquidity_data[[#This Row],[kf_m]]+liquidity_data[[#This Row],[equity]]</f>
        <v>12000.04776968286</v>
      </c>
      <c r="K452" s="5">
        <f>liquidity_data[[#This Row],[kf_d]]+liquidity_data[[#This Row],[cf_d]]</f>
        <v>1.0836503493150131E-8</v>
      </c>
      <c r="L452" s="5">
        <f>liquidity_data[[#This Row],[TOTAL_M]]-liquidity_data[[#This Row],[TOTAL_D]]</f>
        <v>12000.047769672025</v>
      </c>
      <c r="M452" s="6">
        <f>liquidity_data[[#This Row],[M-D]]/L451-1</f>
        <v>2.500504701297146E-6</v>
      </c>
    </row>
    <row r="453" spans="1:13" x14ac:dyDescent="0.25">
      <c r="A453" s="7" t="s">
        <v>146</v>
      </c>
      <c r="B453">
        <v>452</v>
      </c>
      <c r="C453" s="5">
        <v>16893.714862354798</v>
      </c>
      <c r="D453" s="5">
        <v>4276.3943167179823</v>
      </c>
      <c r="E453" s="5">
        <v>-303.67660570796579</v>
      </c>
      <c r="F453" s="5">
        <v>0</v>
      </c>
      <c r="G453" s="5">
        <v>74428.12548828125</v>
      </c>
      <c r="H453" s="5">
        <v>1.0294678217531716E-8</v>
      </c>
      <c r="I453">
        <v>-83294.600000000006</v>
      </c>
      <c r="J453" s="5">
        <f>liquidity_data[[#This Row],[w_m]]+liquidity_data[[#This Row],[c_m]]+liquidity_data[[#This Row],[cf_m]]+liquidity_data[[#This Row],[kf_m]]+liquidity_data[[#This Row],[equity]]</f>
        <v>11999.958061646059</v>
      </c>
      <c r="K453" s="5">
        <f>liquidity_data[[#This Row],[kf_d]]+liquidity_data[[#This Row],[cf_d]]</f>
        <v>1.0294678217531716E-8</v>
      </c>
      <c r="L453" s="5">
        <f>liquidity_data[[#This Row],[TOTAL_M]]-liquidity_data[[#This Row],[TOTAL_D]]</f>
        <v>11999.958061635763</v>
      </c>
      <c r="M453" s="6">
        <f>liquidity_data[[#This Row],[M-D]]/L452-1</f>
        <v>-7.4756399293107734E-6</v>
      </c>
    </row>
    <row r="454" spans="1:13" x14ac:dyDescent="0.25">
      <c r="A454" s="7" t="s">
        <v>146</v>
      </c>
      <c r="B454">
        <v>453</v>
      </c>
      <c r="C454" s="5">
        <v>16957.586229182096</v>
      </c>
      <c r="D454" s="5">
        <v>4350.6874904632568</v>
      </c>
      <c r="E454" s="5">
        <v>-485.49946534633636</v>
      </c>
      <c r="F454" s="5">
        <v>0</v>
      </c>
      <c r="G454" s="5">
        <v>75122.451416015625</v>
      </c>
      <c r="H454" s="5">
        <v>9.7799444619128817E-9</v>
      </c>
      <c r="I454">
        <v>-83945.2</v>
      </c>
      <c r="J454" s="5">
        <f>liquidity_data[[#This Row],[w_m]]+liquidity_data[[#This Row],[c_m]]+liquidity_data[[#This Row],[cf_m]]+liquidity_data[[#This Row],[kf_m]]+liquidity_data[[#This Row],[equity]]</f>
        <v>12000.025670314644</v>
      </c>
      <c r="K454" s="5">
        <f>liquidity_data[[#This Row],[kf_d]]+liquidity_data[[#This Row],[cf_d]]</f>
        <v>9.7799444619128817E-9</v>
      </c>
      <c r="L454" s="5">
        <f>liquidity_data[[#This Row],[TOTAL_M]]-liquidity_data[[#This Row],[TOTAL_D]]</f>
        <v>12000.025670304864</v>
      </c>
      <c r="M454" s="6">
        <f>liquidity_data[[#This Row],[M-D]]/L453-1</f>
        <v>5.6340754486239319E-6</v>
      </c>
    </row>
    <row r="455" spans="1:13" x14ac:dyDescent="0.25">
      <c r="A455" s="7" t="s">
        <v>146</v>
      </c>
      <c r="B455">
        <v>454</v>
      </c>
      <c r="C455" s="5">
        <v>17044.631442774684</v>
      </c>
      <c r="D455" s="5">
        <v>4402.2961082458496</v>
      </c>
      <c r="E455" s="5">
        <v>-508.52152511384338</v>
      </c>
      <c r="F455" s="5">
        <v>0</v>
      </c>
      <c r="G455" s="5">
        <v>75813.415771484375</v>
      </c>
      <c r="H455" s="5">
        <v>9.2909471054170023E-9</v>
      </c>
      <c r="I455">
        <v>-84751.8</v>
      </c>
      <c r="J455" s="5">
        <f>liquidity_data[[#This Row],[w_m]]+liquidity_data[[#This Row],[c_m]]+liquidity_data[[#This Row],[cf_m]]+liquidity_data[[#This Row],[kf_m]]+liquidity_data[[#This Row],[equity]]</f>
        <v>12000.021797391062</v>
      </c>
      <c r="K455" s="5">
        <f>liquidity_data[[#This Row],[kf_d]]+liquidity_data[[#This Row],[cf_d]]</f>
        <v>9.2909471054170023E-9</v>
      </c>
      <c r="L455" s="5">
        <f>liquidity_data[[#This Row],[TOTAL_M]]-liquidity_data[[#This Row],[TOTAL_D]]</f>
        <v>12000.021797381771</v>
      </c>
      <c r="M455" s="6">
        <f>liquidity_data[[#This Row],[M-D]]/L454-1</f>
        <v>-3.2274290062694888E-7</v>
      </c>
    </row>
    <row r="456" spans="1:13" x14ac:dyDescent="0.25">
      <c r="A456" s="7" t="s">
        <v>146</v>
      </c>
      <c r="B456">
        <v>455</v>
      </c>
      <c r="C456" s="5">
        <v>17130.402192420035</v>
      </c>
      <c r="D456" s="5">
        <v>4416.8704986572266</v>
      </c>
      <c r="E456" s="5">
        <v>-307.37007991131395</v>
      </c>
      <c r="F456" s="5">
        <v>0</v>
      </c>
      <c r="G456" s="5">
        <v>76335.956298828125</v>
      </c>
      <c r="H456" s="5">
        <v>8.8263996493587182E-9</v>
      </c>
      <c r="I456">
        <v>-85575.9</v>
      </c>
      <c r="J456" s="5">
        <f>liquidity_data[[#This Row],[w_m]]+liquidity_data[[#This Row],[c_m]]+liquidity_data[[#This Row],[cf_m]]+liquidity_data[[#This Row],[kf_m]]+liquidity_data[[#This Row],[equity]]</f>
        <v>11999.958909994079</v>
      </c>
      <c r="K456" s="5">
        <f>liquidity_data[[#This Row],[kf_d]]+liquidity_data[[#This Row],[cf_d]]</f>
        <v>8.8263996493587182E-9</v>
      </c>
      <c r="L456" s="5">
        <f>liquidity_data[[#This Row],[TOTAL_M]]-liquidity_data[[#This Row],[TOTAL_D]]</f>
        <v>11999.958909985253</v>
      </c>
      <c r="M456" s="6">
        <f>liquidity_data[[#This Row],[M-D]]/L455-1</f>
        <v>-5.2406068572485864E-6</v>
      </c>
    </row>
    <row r="457" spans="1:13" x14ac:dyDescent="0.25">
      <c r="A457" s="7" t="s">
        <v>146</v>
      </c>
      <c r="B457">
        <v>456</v>
      </c>
      <c r="C457" s="5">
        <v>17202.376251892361</v>
      </c>
      <c r="D457" s="5">
        <v>4472.7750587463379</v>
      </c>
      <c r="E457" s="5">
        <v>-466.28944165538996</v>
      </c>
      <c r="F457" s="5">
        <v>0</v>
      </c>
      <c r="G457" s="5">
        <v>76994.080444335938</v>
      </c>
      <c r="H457" s="5">
        <v>8.385079679207319E-9</v>
      </c>
      <c r="I457">
        <v>-86202.9</v>
      </c>
      <c r="J457" s="5">
        <f>liquidity_data[[#This Row],[w_m]]+liquidity_data[[#This Row],[c_m]]+liquidity_data[[#This Row],[cf_m]]+liquidity_data[[#This Row],[kf_m]]+liquidity_data[[#This Row],[equity]]</f>
        <v>12000.042313319253</v>
      </c>
      <c r="K457" s="5">
        <f>liquidity_data[[#This Row],[kf_d]]+liquidity_data[[#This Row],[cf_d]]</f>
        <v>8.385079679207319E-9</v>
      </c>
      <c r="L457" s="5">
        <f>liquidity_data[[#This Row],[TOTAL_M]]-liquidity_data[[#This Row],[TOTAL_D]]</f>
        <v>12000.042313310867</v>
      </c>
      <c r="M457" s="6">
        <f>liquidity_data[[#This Row],[M-D]]/L456-1</f>
        <v>6.9503009334503929E-6</v>
      </c>
    </row>
    <row r="458" spans="1:13" x14ac:dyDescent="0.25">
      <c r="A458" s="7" t="s">
        <v>146</v>
      </c>
      <c r="B458">
        <v>457</v>
      </c>
      <c r="C458" s="5">
        <v>17292.486983734649</v>
      </c>
      <c r="D458" s="5">
        <v>4483.6285076141357</v>
      </c>
      <c r="E458" s="5">
        <v>-317.81319915410131</v>
      </c>
      <c r="F458" s="5">
        <v>0</v>
      </c>
      <c r="G458" s="5">
        <v>77523.337280273438</v>
      </c>
      <c r="H458" s="5">
        <v>7.9658257663706156E-9</v>
      </c>
      <c r="I458">
        <v>-86981.6</v>
      </c>
      <c r="J458" s="5">
        <f>liquidity_data[[#This Row],[w_m]]+liquidity_data[[#This Row],[c_m]]+liquidity_data[[#This Row],[cf_m]]+liquidity_data[[#This Row],[kf_m]]+liquidity_data[[#This Row],[equity]]</f>
        <v>12000.039572468115</v>
      </c>
      <c r="K458" s="5">
        <f>liquidity_data[[#This Row],[kf_d]]+liquidity_data[[#This Row],[cf_d]]</f>
        <v>7.9658257663706156E-9</v>
      </c>
      <c r="L458" s="5">
        <f>liquidity_data[[#This Row],[TOTAL_M]]-liquidity_data[[#This Row],[TOTAL_D]]</f>
        <v>12000.039572460149</v>
      </c>
      <c r="M458" s="6">
        <f>liquidity_data[[#This Row],[M-D]]/L457-1</f>
        <v>-2.284034210653374E-7</v>
      </c>
    </row>
    <row r="459" spans="1:13" x14ac:dyDescent="0.25">
      <c r="A459" s="7" t="s">
        <v>146</v>
      </c>
      <c r="B459">
        <v>458</v>
      </c>
      <c r="C459" s="5">
        <v>17354.351422314299</v>
      </c>
      <c r="D459" s="5">
        <v>4539.1896057128906</v>
      </c>
      <c r="E459" s="5">
        <v>-386.59439451992512</v>
      </c>
      <c r="F459" s="5">
        <v>0</v>
      </c>
      <c r="G459" s="5">
        <v>78123.1083984375</v>
      </c>
      <c r="H459" s="5">
        <v>7.5675343665093653E-9</v>
      </c>
      <c r="I459">
        <v>-87630.1</v>
      </c>
      <c r="J459" s="5">
        <f>liquidity_data[[#This Row],[w_m]]+liquidity_data[[#This Row],[c_m]]+liquidity_data[[#This Row],[cf_m]]+liquidity_data[[#This Row],[kf_m]]+liquidity_data[[#This Row],[equity]]</f>
        <v>11999.955031944759</v>
      </c>
      <c r="K459" s="5">
        <f>liquidity_data[[#This Row],[kf_d]]+liquidity_data[[#This Row],[cf_d]]</f>
        <v>7.5675343665093653E-9</v>
      </c>
      <c r="L459" s="5">
        <f>liquidity_data[[#This Row],[TOTAL_M]]-liquidity_data[[#This Row],[TOTAL_D]]</f>
        <v>11999.955031937192</v>
      </c>
      <c r="M459" s="6">
        <f>liquidity_data[[#This Row],[M-D]]/L458-1</f>
        <v>-7.045020347429265E-6</v>
      </c>
    </row>
    <row r="460" spans="1:13" x14ac:dyDescent="0.25">
      <c r="A460" s="7" t="s">
        <v>146</v>
      </c>
      <c r="B460">
        <v>459</v>
      </c>
      <c r="C460" s="5">
        <v>17416.827917280723</v>
      </c>
      <c r="D460" s="5">
        <v>4608.5483283996582</v>
      </c>
      <c r="E460" s="5">
        <v>-469.3023791667074</v>
      </c>
      <c r="F460" s="5">
        <v>0</v>
      </c>
      <c r="G460" s="5">
        <v>78794.781372070313</v>
      </c>
      <c r="H460" s="5">
        <v>7.1891577343996538E-9</v>
      </c>
      <c r="I460">
        <v>-88350.9</v>
      </c>
      <c r="J460" s="5">
        <f>liquidity_data[[#This Row],[w_m]]+liquidity_data[[#This Row],[c_m]]+liquidity_data[[#This Row],[cf_m]]+liquidity_data[[#This Row],[kf_m]]+liquidity_data[[#This Row],[equity]]</f>
        <v>11999.955238583992</v>
      </c>
      <c r="K460" s="5">
        <f>liquidity_data[[#This Row],[kf_d]]+liquidity_data[[#This Row],[cf_d]]</f>
        <v>7.1891577343996538E-9</v>
      </c>
      <c r="L460" s="5">
        <f>liquidity_data[[#This Row],[TOTAL_M]]-liquidity_data[[#This Row],[TOTAL_D]]</f>
        <v>11999.955238576804</v>
      </c>
      <c r="M460" s="6">
        <f>liquidity_data[[#This Row],[M-D]]/L459-1</f>
        <v>1.7220032288989273E-8</v>
      </c>
    </row>
    <row r="461" spans="1:13" x14ac:dyDescent="0.25">
      <c r="A461" s="7" t="s">
        <v>146</v>
      </c>
      <c r="B461">
        <v>460</v>
      </c>
      <c r="C461" s="5">
        <v>17481.51683204493</v>
      </c>
      <c r="D461" s="5">
        <v>4669.14453125</v>
      </c>
      <c r="E461" s="5">
        <v>-460.14360420685261</v>
      </c>
      <c r="F461" s="5">
        <v>0</v>
      </c>
      <c r="G461" s="5">
        <v>79460.548217773438</v>
      </c>
      <c r="H461" s="5">
        <v>6.8296997883521282E-9</v>
      </c>
      <c r="I461">
        <v>-89151.1</v>
      </c>
      <c r="J461" s="5">
        <f>liquidity_data[[#This Row],[w_m]]+liquidity_data[[#This Row],[c_m]]+liquidity_data[[#This Row],[cf_m]]+liquidity_data[[#This Row],[kf_m]]+liquidity_data[[#This Row],[equity]]</f>
        <v>11999.965976861509</v>
      </c>
      <c r="K461" s="5">
        <f>liquidity_data[[#This Row],[kf_d]]+liquidity_data[[#This Row],[cf_d]]</f>
        <v>6.8296997883521282E-9</v>
      </c>
      <c r="L461" s="5">
        <f>liquidity_data[[#This Row],[TOTAL_M]]-liquidity_data[[#This Row],[TOTAL_D]]</f>
        <v>11999.965976854679</v>
      </c>
      <c r="M461" s="6">
        <f>liquidity_data[[#This Row],[M-D]]/L460-1</f>
        <v>8.9485982757153693E-7</v>
      </c>
    </row>
    <row r="462" spans="1:13" x14ac:dyDescent="0.25">
      <c r="A462" s="7" t="s">
        <v>146</v>
      </c>
      <c r="B462">
        <v>461</v>
      </c>
      <c r="C462" s="5">
        <v>17547.410548402171</v>
      </c>
      <c r="D462" s="5">
        <v>4685.2834815979004</v>
      </c>
      <c r="E462" s="5">
        <v>-248.35349041875452</v>
      </c>
      <c r="F462" s="5">
        <v>0</v>
      </c>
      <c r="G462" s="5">
        <v>79968.343505859375</v>
      </c>
      <c r="H462" s="5">
        <v>6.4882149410083745E-9</v>
      </c>
      <c r="I462">
        <v>-89952.7</v>
      </c>
      <c r="J462" s="5">
        <f>liquidity_data[[#This Row],[w_m]]+liquidity_data[[#This Row],[c_m]]+liquidity_data[[#This Row],[cf_m]]+liquidity_data[[#This Row],[kf_m]]+liquidity_data[[#This Row],[equity]]</f>
        <v>11999.984045440695</v>
      </c>
      <c r="K462" s="5">
        <f>liquidity_data[[#This Row],[kf_d]]+liquidity_data[[#This Row],[cf_d]]</f>
        <v>6.4882149410083745E-9</v>
      </c>
      <c r="L462" s="5">
        <f>liquidity_data[[#This Row],[TOTAL_M]]-liquidity_data[[#This Row],[TOTAL_D]]</f>
        <v>11999.984045434207</v>
      </c>
      <c r="M462" s="6">
        <f>liquidity_data[[#This Row],[M-D]]/L461-1</f>
        <v>1.5057192297440736E-6</v>
      </c>
    </row>
    <row r="463" spans="1:13" x14ac:dyDescent="0.25">
      <c r="A463" s="7" t="s">
        <v>146</v>
      </c>
      <c r="B463">
        <v>462</v>
      </c>
      <c r="C463" s="5">
        <v>17582.93505405559</v>
      </c>
      <c r="D463" s="5">
        <v>4763.6907348632813</v>
      </c>
      <c r="E463" s="5">
        <v>-400.62165289279073</v>
      </c>
      <c r="F463" s="5">
        <v>0</v>
      </c>
      <c r="G463" s="5">
        <v>80591.066284179688</v>
      </c>
      <c r="H463" s="5">
        <v>6.1638041094769225E-9</v>
      </c>
      <c r="I463">
        <v>-90537.1</v>
      </c>
      <c r="J463" s="5">
        <f>liquidity_data[[#This Row],[w_m]]+liquidity_data[[#This Row],[c_m]]+liquidity_data[[#This Row],[cf_m]]+liquidity_data[[#This Row],[kf_m]]+liquidity_data[[#This Row],[equity]]</f>
        <v>11999.970420205762</v>
      </c>
      <c r="K463" s="5">
        <f>liquidity_data[[#This Row],[kf_d]]+liquidity_data[[#This Row],[cf_d]]</f>
        <v>6.1638041094769225E-9</v>
      </c>
      <c r="L463" s="5">
        <f>liquidity_data[[#This Row],[TOTAL_M]]-liquidity_data[[#This Row],[TOTAL_D]]</f>
        <v>11999.970420199597</v>
      </c>
      <c r="M463" s="6">
        <f>liquidity_data[[#This Row],[M-D]]/L462-1</f>
        <v>-1.1354377270622606E-6</v>
      </c>
    </row>
    <row r="464" spans="1:13" x14ac:dyDescent="0.25">
      <c r="A464" s="7" t="s">
        <v>146</v>
      </c>
      <c r="B464">
        <v>463</v>
      </c>
      <c r="C464" s="5">
        <v>17639.230841877346</v>
      </c>
      <c r="D464" s="5">
        <v>4819.0575637817383</v>
      </c>
      <c r="E464" s="5">
        <v>-357.37132161390036</v>
      </c>
      <c r="F464" s="5">
        <v>0</v>
      </c>
      <c r="G464" s="5">
        <v>81170.837768554688</v>
      </c>
      <c r="H464" s="5">
        <v>5.8556137959298038E-9</v>
      </c>
      <c r="I464">
        <v>-91271.8</v>
      </c>
      <c r="J464" s="5">
        <f>liquidity_data[[#This Row],[w_m]]+liquidity_data[[#This Row],[c_m]]+liquidity_data[[#This Row],[cf_m]]+liquidity_data[[#This Row],[kf_m]]+liquidity_data[[#This Row],[equity]]</f>
        <v>11999.954852599869</v>
      </c>
      <c r="K464" s="5">
        <f>liquidity_data[[#This Row],[kf_d]]+liquidity_data[[#This Row],[cf_d]]</f>
        <v>5.8556137959298038E-9</v>
      </c>
      <c r="L464" s="5">
        <f>liquidity_data[[#This Row],[TOTAL_M]]-liquidity_data[[#This Row],[TOTAL_D]]</f>
        <v>11999.954852594014</v>
      </c>
      <c r="M464" s="6">
        <f>liquidity_data[[#This Row],[M-D]]/L463-1</f>
        <v>-1.2973036631613866E-6</v>
      </c>
    </row>
    <row r="465" spans="1:13" x14ac:dyDescent="0.25">
      <c r="A465" s="7" t="s">
        <v>146</v>
      </c>
      <c r="B465">
        <v>464</v>
      </c>
      <c r="C465" s="5">
        <v>17723.75984643877</v>
      </c>
      <c r="D465" s="5">
        <v>4915.3573112487793</v>
      </c>
      <c r="E465" s="5">
        <v>-665.94830187316984</v>
      </c>
      <c r="F465" s="5">
        <v>0</v>
      </c>
      <c r="G465" s="5">
        <v>82005.13037109375</v>
      </c>
      <c r="H465" s="5">
        <v>5.5628331455115365E-9</v>
      </c>
      <c r="I465">
        <v>-91978.3</v>
      </c>
      <c r="J465" s="5">
        <f>liquidity_data[[#This Row],[w_m]]+liquidity_data[[#This Row],[c_m]]+liquidity_data[[#This Row],[cf_m]]+liquidity_data[[#This Row],[kf_m]]+liquidity_data[[#This Row],[equity]]</f>
        <v>11999.999226908127</v>
      </c>
      <c r="K465" s="5">
        <f>liquidity_data[[#This Row],[kf_d]]+liquidity_data[[#This Row],[cf_d]]</f>
        <v>5.5628331455115365E-9</v>
      </c>
      <c r="L465" s="5">
        <f>liquidity_data[[#This Row],[TOTAL_M]]-liquidity_data[[#This Row],[TOTAL_D]]</f>
        <v>11999.999226902564</v>
      </c>
      <c r="M465" s="6">
        <f>liquidity_data[[#This Row],[M-D]]/L464-1</f>
        <v>3.6978729582859415E-6</v>
      </c>
    </row>
    <row r="466" spans="1:13" x14ac:dyDescent="0.25">
      <c r="A466" s="7" t="s">
        <v>146</v>
      </c>
      <c r="B466">
        <v>465</v>
      </c>
      <c r="C466" s="5">
        <v>17799.434001362519</v>
      </c>
      <c r="D466" s="5">
        <v>5012.6649055480957</v>
      </c>
      <c r="E466" s="5">
        <v>-652.28969111759216</v>
      </c>
      <c r="F466" s="5">
        <v>0</v>
      </c>
      <c r="G466" s="5">
        <v>82810.435424804688</v>
      </c>
      <c r="H466" s="5">
        <v>5.2846914223164676E-9</v>
      </c>
      <c r="I466">
        <v>-92970.2</v>
      </c>
      <c r="J466" s="5">
        <f>liquidity_data[[#This Row],[w_m]]+liquidity_data[[#This Row],[c_m]]+liquidity_data[[#This Row],[cf_m]]+liquidity_data[[#This Row],[kf_m]]+liquidity_data[[#This Row],[equity]]</f>
        <v>12000.044640597713</v>
      </c>
      <c r="K466" s="5">
        <f>liquidity_data[[#This Row],[kf_d]]+liquidity_data[[#This Row],[cf_d]]</f>
        <v>5.2846914223164676E-9</v>
      </c>
      <c r="L466" s="5">
        <f>liquidity_data[[#This Row],[TOTAL_M]]-liquidity_data[[#This Row],[TOTAL_D]]</f>
        <v>12000.044640592429</v>
      </c>
      <c r="M466" s="6">
        <f>liquidity_data[[#This Row],[M-D]]/L465-1</f>
        <v>3.7844743991932717E-6</v>
      </c>
    </row>
    <row r="467" spans="1:13" x14ac:dyDescent="0.25">
      <c r="A467" s="7" t="s">
        <v>146</v>
      </c>
      <c r="B467">
        <v>466</v>
      </c>
      <c r="C467" s="5">
        <v>17856.323397564222</v>
      </c>
      <c r="D467" s="5">
        <v>5108.0705833435059</v>
      </c>
      <c r="E467" s="5">
        <v>-570.73858543578535</v>
      </c>
      <c r="F467" s="5">
        <v>0</v>
      </c>
      <c r="G467" s="5">
        <v>83542.222778320313</v>
      </c>
      <c r="H467" s="5">
        <v>5.0204569373296648E-9</v>
      </c>
      <c r="I467">
        <v>-93935.9</v>
      </c>
      <c r="J467" s="5">
        <f>liquidity_data[[#This Row],[w_m]]+liquidity_data[[#This Row],[c_m]]+liquidity_data[[#This Row],[cf_m]]+liquidity_data[[#This Row],[kf_m]]+liquidity_data[[#This Row],[equity]]</f>
        <v>11999.97817379226</v>
      </c>
      <c r="K467" s="5">
        <f>liquidity_data[[#This Row],[kf_d]]+liquidity_data[[#This Row],[cf_d]]</f>
        <v>5.0204569373296648E-9</v>
      </c>
      <c r="L467" s="5">
        <f>liquidity_data[[#This Row],[TOTAL_M]]-liquidity_data[[#This Row],[TOTAL_D]]</f>
        <v>11999.97817378724</v>
      </c>
      <c r="M467" s="6">
        <f>liquidity_data[[#This Row],[M-D]]/L466-1</f>
        <v>-5.5388798274602635E-6</v>
      </c>
    </row>
    <row r="468" spans="1:13" x14ac:dyDescent="0.25">
      <c r="A468" s="7" t="s">
        <v>146</v>
      </c>
      <c r="B468">
        <v>467</v>
      </c>
      <c r="C468" s="5">
        <v>17916.583460416281</v>
      </c>
      <c r="D468" s="5">
        <v>5225.8670539855957</v>
      </c>
      <c r="E468" s="5">
        <v>-666.84470152761787</v>
      </c>
      <c r="F468" s="5">
        <v>0</v>
      </c>
      <c r="G468" s="5">
        <v>84357.579956054688</v>
      </c>
      <c r="H468" s="5">
        <v>4.7694342104193099E-9</v>
      </c>
      <c r="I468">
        <v>-94833.2</v>
      </c>
      <c r="J468" s="5">
        <f>liquidity_data[[#This Row],[w_m]]+liquidity_data[[#This Row],[c_m]]+liquidity_data[[#This Row],[cf_m]]+liquidity_data[[#This Row],[kf_m]]+liquidity_data[[#This Row],[equity]]</f>
        <v>11999.985768928949</v>
      </c>
      <c r="K468" s="5">
        <f>liquidity_data[[#This Row],[kf_d]]+liquidity_data[[#This Row],[cf_d]]</f>
        <v>4.7694342104193099E-9</v>
      </c>
      <c r="L468" s="5">
        <f>liquidity_data[[#This Row],[TOTAL_M]]-liquidity_data[[#This Row],[TOTAL_D]]</f>
        <v>11999.98576892418</v>
      </c>
      <c r="M468" s="6">
        <f>liquidity_data[[#This Row],[M-D]]/L467-1</f>
        <v>6.3292922947155716E-7</v>
      </c>
    </row>
    <row r="469" spans="1:13" x14ac:dyDescent="0.25">
      <c r="A469" s="7" t="s">
        <v>146</v>
      </c>
      <c r="B469">
        <v>468</v>
      </c>
      <c r="C469" s="5">
        <v>18017.557557159671</v>
      </c>
      <c r="D469" s="5">
        <v>5276.3872947692871</v>
      </c>
      <c r="E469" s="5">
        <v>-546.97557496186346</v>
      </c>
      <c r="F469" s="5">
        <v>0</v>
      </c>
      <c r="G469" s="5">
        <v>85090.745849609375</v>
      </c>
      <c r="H469" s="5">
        <v>4.530962334492461E-9</v>
      </c>
      <c r="I469">
        <v>-95837.7</v>
      </c>
      <c r="J469" s="5">
        <f>liquidity_data[[#This Row],[w_m]]+liquidity_data[[#This Row],[c_m]]+liquidity_data[[#This Row],[cf_m]]+liquidity_data[[#This Row],[kf_m]]+liquidity_data[[#This Row],[equity]]</f>
        <v>12000.015126576473</v>
      </c>
      <c r="K469" s="5">
        <f>liquidity_data[[#This Row],[kf_d]]+liquidity_data[[#This Row],[cf_d]]</f>
        <v>4.530962334492461E-9</v>
      </c>
      <c r="L469" s="5">
        <f>liquidity_data[[#This Row],[TOTAL_M]]-liquidity_data[[#This Row],[TOTAL_D]]</f>
        <v>12000.015126571941</v>
      </c>
      <c r="M469" s="6">
        <f>liquidity_data[[#This Row],[M-D]]/L468-1</f>
        <v>2.4464735481899424E-6</v>
      </c>
    </row>
    <row r="470" spans="1:13" x14ac:dyDescent="0.25">
      <c r="A470" s="7" t="s">
        <v>146</v>
      </c>
      <c r="B470">
        <v>469</v>
      </c>
      <c r="C470" s="5">
        <v>18120.185938123417</v>
      </c>
      <c r="D470" s="5">
        <v>5362.1585159301758</v>
      </c>
      <c r="E470" s="5">
        <v>-738.49439306091517</v>
      </c>
      <c r="F470" s="5">
        <v>0</v>
      </c>
      <c r="G470" s="5">
        <v>85973.256591796875</v>
      </c>
      <c r="H470" s="5">
        <v>4.3044143093612375E-9</v>
      </c>
      <c r="I470">
        <v>-96717.1</v>
      </c>
      <c r="J470" s="5">
        <f>liquidity_data[[#This Row],[w_m]]+liquidity_data[[#This Row],[c_m]]+liquidity_data[[#This Row],[cf_m]]+liquidity_data[[#This Row],[kf_m]]+liquidity_data[[#This Row],[equity]]</f>
        <v>12000.00665278954</v>
      </c>
      <c r="K470" s="5">
        <f>liquidity_data[[#This Row],[kf_d]]+liquidity_data[[#This Row],[cf_d]]</f>
        <v>4.3044143093612375E-9</v>
      </c>
      <c r="L470" s="5">
        <f>liquidity_data[[#This Row],[TOTAL_M]]-liquidity_data[[#This Row],[TOTAL_D]]</f>
        <v>12000.006652785236</v>
      </c>
      <c r="M470" s="6">
        <f>liquidity_data[[#This Row],[M-D]]/L469-1</f>
        <v>-7.0614800196100447E-7</v>
      </c>
    </row>
    <row r="471" spans="1:13" x14ac:dyDescent="0.25">
      <c r="A471" s="7" t="s">
        <v>146</v>
      </c>
      <c r="B471">
        <v>470</v>
      </c>
      <c r="C471" s="5">
        <v>18176.252649110487</v>
      </c>
      <c r="D471" s="5">
        <v>5402.9384002685547</v>
      </c>
      <c r="E471" s="5">
        <v>-295.21184354624711</v>
      </c>
      <c r="F471" s="5">
        <v>0</v>
      </c>
      <c r="G471" s="5">
        <v>86490.5234375</v>
      </c>
      <c r="H471" s="5">
        <v>4.0891935757653153E-9</v>
      </c>
      <c r="I471">
        <v>-97774.5</v>
      </c>
      <c r="J471" s="5">
        <f>liquidity_data[[#This Row],[w_m]]+liquidity_data[[#This Row],[c_m]]+liquidity_data[[#This Row],[cf_m]]+liquidity_data[[#This Row],[kf_m]]+liquidity_data[[#This Row],[equity]]</f>
        <v>12000.002643332788</v>
      </c>
      <c r="K471" s="5">
        <f>liquidity_data[[#This Row],[kf_d]]+liquidity_data[[#This Row],[cf_d]]</f>
        <v>4.0891935757653153E-9</v>
      </c>
      <c r="L471" s="5">
        <f>liquidity_data[[#This Row],[TOTAL_M]]-liquidity_data[[#This Row],[TOTAL_D]]</f>
        <v>12000.002643328698</v>
      </c>
      <c r="M471" s="6">
        <f>liquidity_data[[#This Row],[M-D]]/L470-1</f>
        <v>-3.341211929352994E-7</v>
      </c>
    </row>
    <row r="472" spans="1:13" x14ac:dyDescent="0.25">
      <c r="A472" s="7" t="s">
        <v>146</v>
      </c>
      <c r="B472">
        <v>471</v>
      </c>
      <c r="C472" s="5">
        <v>18231.577772323049</v>
      </c>
      <c r="D472" s="5">
        <v>5550.9754333496094</v>
      </c>
      <c r="E472" s="5">
        <v>-846.32223467901349</v>
      </c>
      <c r="F472" s="5">
        <v>0</v>
      </c>
      <c r="G472" s="5">
        <v>87462.727172851563</v>
      </c>
      <c r="H472" s="5">
        <v>3.8847338991454539E-9</v>
      </c>
      <c r="I472">
        <v>-98399</v>
      </c>
      <c r="J472" s="5">
        <f>liquidity_data[[#This Row],[w_m]]+liquidity_data[[#This Row],[c_m]]+liquidity_data[[#This Row],[cf_m]]+liquidity_data[[#This Row],[kf_m]]+liquidity_data[[#This Row],[equity]]</f>
        <v>11999.958143845201</v>
      </c>
      <c r="K472" s="5">
        <f>liquidity_data[[#This Row],[kf_d]]+liquidity_data[[#This Row],[cf_d]]</f>
        <v>3.8847338991454539E-9</v>
      </c>
      <c r="L472" s="5">
        <f>liquidity_data[[#This Row],[TOTAL_M]]-liquidity_data[[#This Row],[TOTAL_D]]</f>
        <v>11999.958143841315</v>
      </c>
      <c r="M472" s="6">
        <f>liquidity_data[[#This Row],[M-D]]/L471-1</f>
        <v>-3.7082897984541674E-6</v>
      </c>
    </row>
    <row r="473" spans="1:13" x14ac:dyDescent="0.25">
      <c r="A473" s="7" t="s">
        <v>146</v>
      </c>
      <c r="B473">
        <v>472</v>
      </c>
      <c r="C473" s="5">
        <v>18325.604668387026</v>
      </c>
      <c r="D473" s="5">
        <v>5572.4560852050781</v>
      </c>
      <c r="E473" s="5">
        <v>-403.82889054808766</v>
      </c>
      <c r="F473" s="5">
        <v>0</v>
      </c>
      <c r="G473" s="5">
        <v>88066.49609375</v>
      </c>
      <c r="H473" s="5">
        <v>3.6904972029738747E-9</v>
      </c>
      <c r="I473">
        <v>-99560.7</v>
      </c>
      <c r="J473" s="5">
        <f>liquidity_data[[#This Row],[w_m]]+liquidity_data[[#This Row],[c_m]]+liquidity_data[[#This Row],[cf_m]]+liquidity_data[[#This Row],[kf_m]]+liquidity_data[[#This Row],[equity]]</f>
        <v>12000.027956794016</v>
      </c>
      <c r="K473" s="5">
        <f>liquidity_data[[#This Row],[kf_d]]+liquidity_data[[#This Row],[cf_d]]</f>
        <v>3.6904972029738747E-9</v>
      </c>
      <c r="L473" s="5">
        <f>liquidity_data[[#This Row],[TOTAL_M]]-liquidity_data[[#This Row],[TOTAL_D]]</f>
        <v>12000.027956790325</v>
      </c>
      <c r="M473" s="6">
        <f>liquidity_data[[#This Row],[M-D]]/L472-1</f>
        <v>5.8177660433589296E-6</v>
      </c>
    </row>
    <row r="474" spans="1:13" x14ac:dyDescent="0.25">
      <c r="A474" s="7" t="s">
        <v>146</v>
      </c>
      <c r="B474">
        <v>473</v>
      </c>
      <c r="C474" s="5">
        <v>18363.108933794243</v>
      </c>
      <c r="D474" s="5">
        <v>5705.6007766723633</v>
      </c>
      <c r="E474" s="5">
        <v>-683.41161901783198</v>
      </c>
      <c r="F474" s="5">
        <v>0</v>
      </c>
      <c r="G474" s="5">
        <v>88897.753784179688</v>
      </c>
      <c r="H474" s="5">
        <v>3.5059724064895326E-9</v>
      </c>
      <c r="I474">
        <v>-100283</v>
      </c>
      <c r="J474" s="5">
        <f>liquidity_data[[#This Row],[w_m]]+liquidity_data[[#This Row],[c_m]]+liquidity_data[[#This Row],[cf_m]]+liquidity_data[[#This Row],[kf_m]]+liquidity_data[[#This Row],[equity]]</f>
        <v>12000.051875628458</v>
      </c>
      <c r="K474" s="5">
        <f>liquidity_data[[#This Row],[kf_d]]+liquidity_data[[#This Row],[cf_d]]</f>
        <v>3.5059724064895326E-9</v>
      </c>
      <c r="L474" s="5">
        <f>liquidity_data[[#This Row],[TOTAL_M]]-liquidity_data[[#This Row],[TOTAL_D]]</f>
        <v>12000.051875624953</v>
      </c>
      <c r="M474" s="6">
        <f>liquidity_data[[#This Row],[M-D]]/L473-1</f>
        <v>1.9932315753479202E-6</v>
      </c>
    </row>
    <row r="475" spans="1:13" x14ac:dyDescent="0.25">
      <c r="A475" s="7" t="s">
        <v>146</v>
      </c>
      <c r="B475">
        <v>474</v>
      </c>
      <c r="C475" s="5">
        <v>18412.525830892078</v>
      </c>
      <c r="D475" s="5">
        <v>5788.6785774230957</v>
      </c>
      <c r="E475" s="5">
        <v>-491.5545704131946</v>
      </c>
      <c r="F475" s="5">
        <v>0</v>
      </c>
      <c r="G475" s="5">
        <v>89586.232543945313</v>
      </c>
      <c r="H475" s="5">
        <v>3.3306737003829801E-9</v>
      </c>
      <c r="I475">
        <v>-101296</v>
      </c>
      <c r="J475" s="5">
        <f>liquidity_data[[#This Row],[w_m]]+liquidity_data[[#This Row],[c_m]]+liquidity_data[[#This Row],[cf_m]]+liquidity_data[[#This Row],[kf_m]]+liquidity_data[[#This Row],[equity]]</f>
        <v>11999.882381847288</v>
      </c>
      <c r="K475" s="5">
        <f>liquidity_data[[#This Row],[kf_d]]+liquidity_data[[#This Row],[cf_d]]</f>
        <v>3.3306737003829801E-9</v>
      </c>
      <c r="L475" s="5">
        <f>liquidity_data[[#This Row],[TOTAL_M]]-liquidity_data[[#This Row],[TOTAL_D]]</f>
        <v>11999.882381843958</v>
      </c>
      <c r="M475" s="6">
        <f>liquidity_data[[#This Row],[M-D]]/L474-1</f>
        <v>-1.4124420690153627E-5</v>
      </c>
    </row>
    <row r="476" spans="1:13" x14ac:dyDescent="0.25">
      <c r="A476" s="7" t="s">
        <v>146</v>
      </c>
      <c r="B476">
        <v>475</v>
      </c>
      <c r="C476" s="5">
        <v>18465.662905996462</v>
      </c>
      <c r="D476" s="5">
        <v>5848.8944969177246</v>
      </c>
      <c r="E476" s="5">
        <v>-408.96801837999374</v>
      </c>
      <c r="F476" s="5">
        <v>0</v>
      </c>
      <c r="G476" s="5">
        <v>90195.220336914063</v>
      </c>
      <c r="H476" s="5">
        <v>3.164139996889026E-9</v>
      </c>
      <c r="I476">
        <v>-102101</v>
      </c>
      <c r="J476" s="5">
        <f>liquidity_data[[#This Row],[w_m]]+liquidity_data[[#This Row],[c_m]]+liquidity_data[[#This Row],[cf_m]]+liquidity_data[[#This Row],[kf_m]]+liquidity_data[[#This Row],[equity]]</f>
        <v>11999.809721448255</v>
      </c>
      <c r="K476" s="5">
        <f>liquidity_data[[#This Row],[kf_d]]+liquidity_data[[#This Row],[cf_d]]</f>
        <v>3.164139996889026E-9</v>
      </c>
      <c r="L476" s="5">
        <f>liquidity_data[[#This Row],[TOTAL_M]]-liquidity_data[[#This Row],[TOTAL_D]]</f>
        <v>11999.80972144509</v>
      </c>
      <c r="M476" s="6">
        <f>liquidity_data[[#This Row],[M-D]]/L475-1</f>
        <v>-6.0550925879976347E-6</v>
      </c>
    </row>
    <row r="477" spans="1:13" x14ac:dyDescent="0.25">
      <c r="A477" s="7" t="s">
        <v>146</v>
      </c>
      <c r="B477">
        <v>476</v>
      </c>
      <c r="C477" s="5">
        <v>18551.230414259859</v>
      </c>
      <c r="D477" s="5">
        <v>5909.0162124633789</v>
      </c>
      <c r="E477" s="5">
        <v>-546.68520030984655</v>
      </c>
      <c r="F477" s="5">
        <v>0</v>
      </c>
      <c r="G477" s="5">
        <v>90925.016479492188</v>
      </c>
      <c r="H477" s="5">
        <v>3.0059330233256354E-9</v>
      </c>
      <c r="I477">
        <v>-102839</v>
      </c>
      <c r="J477" s="5">
        <f>liquidity_data[[#This Row],[w_m]]+liquidity_data[[#This Row],[c_m]]+liquidity_data[[#This Row],[cf_m]]+liquidity_data[[#This Row],[kf_m]]+liquidity_data[[#This Row],[equity]]</f>
        <v>11999.577905905579</v>
      </c>
      <c r="K477" s="5">
        <f>liquidity_data[[#This Row],[kf_d]]+liquidity_data[[#This Row],[cf_d]]</f>
        <v>3.0059330233256354E-9</v>
      </c>
      <c r="L477" s="5">
        <f>liquidity_data[[#This Row],[TOTAL_M]]-liquidity_data[[#This Row],[TOTAL_D]]</f>
        <v>11999.577905902572</v>
      </c>
      <c r="M477" s="6">
        <f>liquidity_data[[#This Row],[M-D]]/L476-1</f>
        <v>-1.9318268197565658E-5</v>
      </c>
    </row>
    <row r="478" spans="1:13" x14ac:dyDescent="0.25">
      <c r="A478" s="7" t="s">
        <v>146</v>
      </c>
      <c r="B478">
        <v>477</v>
      </c>
      <c r="C478" s="5">
        <v>18622.223208634765</v>
      </c>
      <c r="D478" s="5">
        <v>6042.242115020752</v>
      </c>
      <c r="E478" s="5">
        <v>-846.35969149973243</v>
      </c>
      <c r="F478" s="5">
        <v>0</v>
      </c>
      <c r="G478" s="5">
        <v>91897.883911132813</v>
      </c>
      <c r="H478" s="5">
        <v>2.8556363385057182E-9</v>
      </c>
      <c r="I478">
        <v>-103716</v>
      </c>
      <c r="J478" s="5">
        <f>liquidity_data[[#This Row],[w_m]]+liquidity_data[[#This Row],[c_m]]+liquidity_data[[#This Row],[cf_m]]+liquidity_data[[#This Row],[kf_m]]+liquidity_data[[#This Row],[equity]]</f>
        <v>11999.989543288597</v>
      </c>
      <c r="K478" s="5">
        <f>liquidity_data[[#This Row],[kf_d]]+liquidity_data[[#This Row],[cf_d]]</f>
        <v>2.8556363385057182E-9</v>
      </c>
      <c r="L478" s="5">
        <f>liquidity_data[[#This Row],[TOTAL_M]]-liquidity_data[[#This Row],[TOTAL_D]]</f>
        <v>11999.989543285741</v>
      </c>
      <c r="M478" s="6">
        <f>liquidity_data[[#This Row],[M-D]]/L477-1</f>
        <v>3.430432190176802E-5</v>
      </c>
    </row>
    <row r="479" spans="1:13" x14ac:dyDescent="0.25">
      <c r="A479" s="7" t="s">
        <v>146</v>
      </c>
      <c r="B479">
        <v>478</v>
      </c>
      <c r="C479" s="5">
        <v>18680.482387924887</v>
      </c>
      <c r="D479" s="5">
        <v>6119.8975257873535</v>
      </c>
      <c r="E479" s="5">
        <v>-508.01024407055229</v>
      </c>
      <c r="F479" s="5">
        <v>0</v>
      </c>
      <c r="G479" s="5">
        <v>92581.179077148438</v>
      </c>
      <c r="H479" s="5">
        <v>2.7128546084900784E-9</v>
      </c>
      <c r="I479">
        <v>-104874</v>
      </c>
      <c r="J479" s="5">
        <f>liquidity_data[[#This Row],[w_m]]+liquidity_data[[#This Row],[c_m]]+liquidity_data[[#This Row],[cf_m]]+liquidity_data[[#This Row],[kf_m]]+liquidity_data[[#This Row],[equity]]</f>
        <v>11999.548746790126</v>
      </c>
      <c r="K479" s="5">
        <f>liquidity_data[[#This Row],[kf_d]]+liquidity_data[[#This Row],[cf_d]]</f>
        <v>2.7128546084900784E-9</v>
      </c>
      <c r="L479" s="5">
        <f>liquidity_data[[#This Row],[TOTAL_M]]-liquidity_data[[#This Row],[TOTAL_D]]</f>
        <v>11999.548746787414</v>
      </c>
      <c r="M479" s="6">
        <f>liquidity_data[[#This Row],[M-D]]/L478-1</f>
        <v>-3.6733073536243666E-5</v>
      </c>
    </row>
    <row r="480" spans="1:13" x14ac:dyDescent="0.25">
      <c r="A480" s="7" t="s">
        <v>146</v>
      </c>
      <c r="B480">
        <v>479</v>
      </c>
      <c r="C480" s="5">
        <v>18756.294047717325</v>
      </c>
      <c r="D480" s="5">
        <v>6220.512134552002</v>
      </c>
      <c r="E480" s="5">
        <v>-724.96085862442851</v>
      </c>
      <c r="F480" s="5">
        <v>0</v>
      </c>
      <c r="G480" s="5">
        <v>93449.878051757813</v>
      </c>
      <c r="H480" s="5">
        <v>2.5772118579861503E-9</v>
      </c>
      <c r="I480">
        <v>-105702</v>
      </c>
      <c r="J480" s="5">
        <f>liquidity_data[[#This Row],[w_m]]+liquidity_data[[#This Row],[c_m]]+liquidity_data[[#This Row],[cf_m]]+liquidity_data[[#This Row],[kf_m]]+liquidity_data[[#This Row],[equity]]</f>
        <v>11999.723375402711</v>
      </c>
      <c r="K480" s="5">
        <f>liquidity_data[[#This Row],[kf_d]]+liquidity_data[[#This Row],[cf_d]]</f>
        <v>2.5772118579861503E-9</v>
      </c>
      <c r="L480" s="5">
        <f>liquidity_data[[#This Row],[TOTAL_M]]-liquidity_data[[#This Row],[TOTAL_D]]</f>
        <v>11999.723375400134</v>
      </c>
      <c r="M480" s="6">
        <f>liquidity_data[[#This Row],[M-D]]/L479-1</f>
        <v>1.4552931648204037E-5</v>
      </c>
    </row>
    <row r="481" spans="1:13" x14ac:dyDescent="0.25">
      <c r="A481" s="7" t="s">
        <v>146</v>
      </c>
      <c r="B481">
        <v>480</v>
      </c>
      <c r="C481" s="5">
        <v>18842.379590819997</v>
      </c>
      <c r="D481" s="5">
        <v>6271.9410247802734</v>
      </c>
      <c r="E481" s="5">
        <v>-535.68281903862953</v>
      </c>
      <c r="F481" s="5">
        <v>0</v>
      </c>
      <c r="G481" s="5">
        <v>94166.4833984375</v>
      </c>
      <c r="H481" s="5">
        <v>2.4483512699874366E-9</v>
      </c>
      <c r="I481">
        <v>-106745</v>
      </c>
      <c r="J481" s="5">
        <f>liquidity_data[[#This Row],[w_m]]+liquidity_data[[#This Row],[c_m]]+liquidity_data[[#This Row],[cf_m]]+liquidity_data[[#This Row],[kf_m]]+liquidity_data[[#This Row],[equity]]</f>
        <v>12000.121194999141</v>
      </c>
      <c r="K481" s="5">
        <f>liquidity_data[[#This Row],[kf_d]]+liquidity_data[[#This Row],[cf_d]]</f>
        <v>2.4483512699874366E-9</v>
      </c>
      <c r="L481" s="5">
        <f>liquidity_data[[#This Row],[TOTAL_M]]-liquidity_data[[#This Row],[TOTAL_D]]</f>
        <v>12000.121194996693</v>
      </c>
      <c r="M481" s="6">
        <f>liquidity_data[[#This Row],[M-D]]/L480-1</f>
        <v>3.3152397277413925E-5</v>
      </c>
    </row>
    <row r="482" spans="1:13" x14ac:dyDescent="0.25">
      <c r="A482" s="7" t="s">
        <v>146</v>
      </c>
      <c r="B482">
        <v>481</v>
      </c>
      <c r="C482" s="5">
        <v>18897.285437746756</v>
      </c>
      <c r="D482" s="5">
        <v>6356.3999176025391</v>
      </c>
      <c r="E482" s="5">
        <v>-519.62632441800088</v>
      </c>
      <c r="F482" s="5">
        <v>0</v>
      </c>
      <c r="G482" s="5">
        <v>94881.633544921875</v>
      </c>
      <c r="H482" s="5">
        <v>2.3259336809008935E-9</v>
      </c>
      <c r="I482">
        <v>-107616</v>
      </c>
      <c r="J482" s="5">
        <f>liquidity_data[[#This Row],[w_m]]+liquidity_data[[#This Row],[c_m]]+liquidity_data[[#This Row],[cf_m]]+liquidity_data[[#This Row],[kf_m]]+liquidity_data[[#This Row],[equity]]</f>
        <v>11999.692575853172</v>
      </c>
      <c r="K482" s="5">
        <f>liquidity_data[[#This Row],[kf_d]]+liquidity_data[[#This Row],[cf_d]]</f>
        <v>2.3259336809008935E-9</v>
      </c>
      <c r="L482" s="5">
        <f>liquidity_data[[#This Row],[TOTAL_M]]-liquidity_data[[#This Row],[TOTAL_D]]</f>
        <v>11999.692575850846</v>
      </c>
      <c r="M482" s="6">
        <f>liquidity_data[[#This Row],[M-D]]/L481-1</f>
        <v>-3.5717901417986475E-5</v>
      </c>
    </row>
    <row r="483" spans="1:13" x14ac:dyDescent="0.25">
      <c r="A483" s="7" t="s">
        <v>146</v>
      </c>
      <c r="B483">
        <v>482</v>
      </c>
      <c r="C483" s="5">
        <v>18953.503378564725</v>
      </c>
      <c r="D483" s="5">
        <v>6433.9871673583984</v>
      </c>
      <c r="E483" s="5">
        <v>-481.89986747782677</v>
      </c>
      <c r="F483" s="5">
        <v>0</v>
      </c>
      <c r="G483" s="5">
        <v>95568.167358398438</v>
      </c>
      <c r="H483" s="5">
        <v>2.2096369916083103E-9</v>
      </c>
      <c r="I483">
        <v>-108474</v>
      </c>
      <c r="J483" s="5">
        <f>liquidity_data[[#This Row],[w_m]]+liquidity_data[[#This Row],[c_m]]+liquidity_data[[#This Row],[cf_m]]+liquidity_data[[#This Row],[kf_m]]+liquidity_data[[#This Row],[equity]]</f>
        <v>11999.758036843734</v>
      </c>
      <c r="K483" s="5">
        <f>liquidity_data[[#This Row],[kf_d]]+liquidity_data[[#This Row],[cf_d]]</f>
        <v>2.2096369916083103E-9</v>
      </c>
      <c r="L483" s="5">
        <f>liquidity_data[[#This Row],[TOTAL_M]]-liquidity_data[[#This Row],[TOTAL_D]]</f>
        <v>11999.758036841524</v>
      </c>
      <c r="M483" s="6">
        <f>liquidity_data[[#This Row],[M-D]]/L482-1</f>
        <v>5.455222312100716E-6</v>
      </c>
    </row>
    <row r="484" spans="1:13" x14ac:dyDescent="0.25">
      <c r="A484" s="7" t="s">
        <v>146</v>
      </c>
      <c r="B484">
        <v>483</v>
      </c>
      <c r="C484" s="5">
        <v>19001.644579535845</v>
      </c>
      <c r="D484" s="5">
        <v>6592.5739822387695</v>
      </c>
      <c r="E484" s="5">
        <v>-846.00931149348617</v>
      </c>
      <c r="F484" s="5">
        <v>0</v>
      </c>
      <c r="G484" s="5">
        <v>96562.521118164063</v>
      </c>
      <c r="H484" s="5">
        <v>2.0991551665308639E-9</v>
      </c>
      <c r="I484">
        <v>-109311</v>
      </c>
      <c r="J484" s="5">
        <f>liquidity_data[[#This Row],[w_m]]+liquidity_data[[#This Row],[c_m]]+liquidity_data[[#This Row],[cf_m]]+liquidity_data[[#This Row],[kf_m]]+liquidity_data[[#This Row],[equity]]</f>
        <v>11999.730368445191</v>
      </c>
      <c r="K484" s="5">
        <f>liquidity_data[[#This Row],[kf_d]]+liquidity_data[[#This Row],[cf_d]]</f>
        <v>2.0991551665308639E-9</v>
      </c>
      <c r="L484" s="5">
        <f>liquidity_data[[#This Row],[TOTAL_M]]-liquidity_data[[#This Row],[TOTAL_D]]</f>
        <v>11999.730368443092</v>
      </c>
      <c r="M484" s="6">
        <f>liquidity_data[[#This Row],[M-D]]/L483-1</f>
        <v>-2.3057463615083762E-6</v>
      </c>
    </row>
    <row r="485" spans="1:13" x14ac:dyDescent="0.25">
      <c r="A485" s="7" t="s">
        <v>146</v>
      </c>
      <c r="B485">
        <v>484</v>
      </c>
      <c r="C485" s="5">
        <v>19075.694040056755</v>
      </c>
      <c r="D485" s="5">
        <v>6679.6393432617188</v>
      </c>
      <c r="E485" s="5">
        <v>-611.94007504009642</v>
      </c>
      <c r="F485" s="5">
        <v>0</v>
      </c>
      <c r="G485" s="5">
        <v>97359.305053710938</v>
      </c>
      <c r="H485" s="5">
        <v>1.9941973740736363E-9</v>
      </c>
      <c r="I485">
        <v>-110503</v>
      </c>
      <c r="J485" s="5">
        <f>liquidity_data[[#This Row],[w_m]]+liquidity_data[[#This Row],[c_m]]+liquidity_data[[#This Row],[cf_m]]+liquidity_data[[#This Row],[kf_m]]+liquidity_data[[#This Row],[equity]]</f>
        <v>11999.698361989314</v>
      </c>
      <c r="K485" s="5">
        <f>liquidity_data[[#This Row],[kf_d]]+liquidity_data[[#This Row],[cf_d]]</f>
        <v>1.9941973740736363E-9</v>
      </c>
      <c r="L485" s="5">
        <f>liquidity_data[[#This Row],[TOTAL_M]]-liquidity_data[[#This Row],[TOTAL_D]]</f>
        <v>11999.698361987321</v>
      </c>
      <c r="M485" s="6">
        <f>liquidity_data[[#This Row],[M-D]]/L484-1</f>
        <v>-2.6672645790926097E-6</v>
      </c>
    </row>
    <row r="486" spans="1:13" x14ac:dyDescent="0.25">
      <c r="A486" s="7" t="s">
        <v>146</v>
      </c>
      <c r="B486">
        <v>485</v>
      </c>
      <c r="C486" s="5">
        <v>19155.217972307379</v>
      </c>
      <c r="D486" s="5">
        <v>6720.869441986084</v>
      </c>
      <c r="E486" s="5">
        <v>-402.44175555836409</v>
      </c>
      <c r="F486" s="5">
        <v>0</v>
      </c>
      <c r="G486" s="5">
        <v>97978.642822265625</v>
      </c>
      <c r="H486" s="5">
        <v>1.8944875130461059E-9</v>
      </c>
      <c r="I486">
        <v>-111452</v>
      </c>
      <c r="J486" s="5">
        <f>liquidity_data[[#This Row],[w_m]]+liquidity_data[[#This Row],[c_m]]+liquidity_data[[#This Row],[cf_m]]+liquidity_data[[#This Row],[kf_m]]+liquidity_data[[#This Row],[equity]]</f>
        <v>12000.288481000724</v>
      </c>
      <c r="K486" s="5">
        <f>liquidity_data[[#This Row],[kf_d]]+liquidity_data[[#This Row],[cf_d]]</f>
        <v>1.8944875130461059E-9</v>
      </c>
      <c r="L486" s="5">
        <f>liquidity_data[[#This Row],[TOTAL_M]]-liquidity_data[[#This Row],[TOTAL_D]]</f>
        <v>12000.288480998828</v>
      </c>
      <c r="M486" s="6">
        <f>liquidity_data[[#This Row],[M-D]]/L485-1</f>
        <v>4.917782045055219E-5</v>
      </c>
    </row>
    <row r="487" spans="1:13" x14ac:dyDescent="0.25">
      <c r="A487" s="7" t="s">
        <v>146</v>
      </c>
      <c r="B487">
        <v>486</v>
      </c>
      <c r="C487" s="5">
        <v>19213.68925497579</v>
      </c>
      <c r="D487" s="5">
        <v>6852.6542320251465</v>
      </c>
      <c r="E487" s="5">
        <v>-718.57673986535519</v>
      </c>
      <c r="F487" s="5">
        <v>0</v>
      </c>
      <c r="G487" s="5">
        <v>98858.00341796875</v>
      </c>
      <c r="H487" s="5">
        <v>1.7997631640218059E-9</v>
      </c>
      <c r="I487">
        <v>-112206</v>
      </c>
      <c r="J487" s="5">
        <f>liquidity_data[[#This Row],[w_m]]+liquidity_data[[#This Row],[c_m]]+liquidity_data[[#This Row],[cf_m]]+liquidity_data[[#This Row],[kf_m]]+liquidity_data[[#This Row],[equity]]</f>
        <v>11999.770165104332</v>
      </c>
      <c r="K487" s="5">
        <f>liquidity_data[[#This Row],[kf_d]]+liquidity_data[[#This Row],[cf_d]]</f>
        <v>1.7997631640218059E-9</v>
      </c>
      <c r="L487" s="5">
        <f>liquidity_data[[#This Row],[TOTAL_M]]-liquidity_data[[#This Row],[TOTAL_D]]</f>
        <v>11999.770165102533</v>
      </c>
      <c r="M487" s="6">
        <f>liquidity_data[[#This Row],[M-D]]/L486-1</f>
        <v>-4.31919530198277E-5</v>
      </c>
    </row>
    <row r="488" spans="1:13" x14ac:dyDescent="0.25">
      <c r="A488" s="7" t="s">
        <v>146</v>
      </c>
      <c r="B488">
        <v>487</v>
      </c>
      <c r="C488" s="5">
        <v>19273.37137179522</v>
      </c>
      <c r="D488" s="5">
        <v>6988.503246307373</v>
      </c>
      <c r="E488" s="5">
        <v>-757.11326414998621</v>
      </c>
      <c r="F488" s="5">
        <v>0</v>
      </c>
      <c r="G488" s="5">
        <v>99782.51171875</v>
      </c>
      <c r="H488" s="5">
        <v>1.709774979583023E-9</v>
      </c>
      <c r="I488">
        <v>-113287</v>
      </c>
      <c r="J488" s="5">
        <f>liquidity_data[[#This Row],[w_m]]+liquidity_data[[#This Row],[c_m]]+liquidity_data[[#This Row],[cf_m]]+liquidity_data[[#This Row],[kf_m]]+liquidity_data[[#This Row],[equity]]</f>
        <v>12000.273072702606</v>
      </c>
      <c r="K488" s="5">
        <f>liquidity_data[[#This Row],[kf_d]]+liquidity_data[[#This Row],[cf_d]]</f>
        <v>1.709774979583023E-9</v>
      </c>
      <c r="L488" s="5">
        <f>liquidity_data[[#This Row],[TOTAL_M]]-liquidity_data[[#This Row],[TOTAL_D]]</f>
        <v>12000.273072700897</v>
      </c>
      <c r="M488" s="6">
        <f>liquidity_data[[#This Row],[M-D]]/L487-1</f>
        <v>4.1909769224357518E-5</v>
      </c>
    </row>
    <row r="489" spans="1:13" x14ac:dyDescent="0.25">
      <c r="A489" s="7" t="s">
        <v>146</v>
      </c>
      <c r="B489">
        <v>488</v>
      </c>
      <c r="C489" s="5">
        <v>19338.09789340783</v>
      </c>
      <c r="D489" s="5">
        <v>7084.9084739685059</v>
      </c>
      <c r="E489" s="5">
        <v>-593.84266212303191</v>
      </c>
      <c r="F489" s="5">
        <v>0</v>
      </c>
      <c r="G489" s="5">
        <v>100567.76098632813</v>
      </c>
      <c r="H489" s="5">
        <v>1.6242862419663107E-9</v>
      </c>
      <c r="I489">
        <v>-114397</v>
      </c>
      <c r="J489" s="5">
        <f>liquidity_data[[#This Row],[w_m]]+liquidity_data[[#This Row],[c_m]]+liquidity_data[[#This Row],[cf_m]]+liquidity_data[[#This Row],[kf_m]]+liquidity_data[[#This Row],[equity]]</f>
        <v>11999.924691581429</v>
      </c>
      <c r="K489" s="5">
        <f>liquidity_data[[#This Row],[kf_d]]+liquidity_data[[#This Row],[cf_d]]</f>
        <v>1.6242862419663107E-9</v>
      </c>
      <c r="L489" s="5">
        <f>liquidity_data[[#This Row],[TOTAL_M]]-liquidity_data[[#This Row],[TOTAL_D]]</f>
        <v>11999.924691579805</v>
      </c>
      <c r="M489" s="6">
        <f>liquidity_data[[#This Row],[M-D]]/L488-1</f>
        <v>-2.9031099457621501E-5</v>
      </c>
    </row>
    <row r="490" spans="1:13" x14ac:dyDescent="0.25">
      <c r="A490" s="7" t="s">
        <v>146</v>
      </c>
      <c r="B490">
        <v>489</v>
      </c>
      <c r="C490" s="5">
        <v>19381.446070807171</v>
      </c>
      <c r="D490" s="5">
        <v>7214.6343955993652</v>
      </c>
      <c r="E490" s="5">
        <v>-666.45218247408047</v>
      </c>
      <c r="F490" s="5">
        <v>0</v>
      </c>
      <c r="G490" s="5">
        <v>101406.43798828125</v>
      </c>
      <c r="H490" s="5">
        <v>1.5430719714146224E-9</v>
      </c>
      <c r="I490">
        <v>-115336</v>
      </c>
      <c r="J490" s="5">
        <f>liquidity_data[[#This Row],[w_m]]+liquidity_data[[#This Row],[c_m]]+liquidity_data[[#This Row],[cf_m]]+liquidity_data[[#This Row],[kf_m]]+liquidity_data[[#This Row],[equity]]</f>
        <v>12000.066272213706</v>
      </c>
      <c r="K490" s="5">
        <f>liquidity_data[[#This Row],[kf_d]]+liquidity_data[[#This Row],[cf_d]]</f>
        <v>1.5430719714146224E-9</v>
      </c>
      <c r="L490" s="5">
        <f>liquidity_data[[#This Row],[TOTAL_M]]-liquidity_data[[#This Row],[TOTAL_D]]</f>
        <v>12000.066272212163</v>
      </c>
      <c r="M490" s="6">
        <f>liquidity_data[[#This Row],[M-D]]/L489-1</f>
        <v>1.1798460073597639E-5</v>
      </c>
    </row>
    <row r="491" spans="1:13" x14ac:dyDescent="0.25">
      <c r="A491" s="7" t="s">
        <v>146</v>
      </c>
      <c r="B491">
        <v>490</v>
      </c>
      <c r="C491" s="5">
        <v>19447.948875113478</v>
      </c>
      <c r="D491" s="5">
        <v>7314.1813087463379</v>
      </c>
      <c r="E491" s="5">
        <v>-632.26040222914889</v>
      </c>
      <c r="F491" s="5">
        <v>0</v>
      </c>
      <c r="G491" s="5">
        <v>102225.41857910156</v>
      </c>
      <c r="H491" s="5">
        <v>1.4659183276977128E-9</v>
      </c>
      <c r="I491">
        <v>-116355</v>
      </c>
      <c r="J491" s="5">
        <f>liquidity_data[[#This Row],[w_m]]+liquidity_data[[#This Row],[c_m]]+liquidity_data[[#This Row],[cf_m]]+liquidity_data[[#This Row],[kf_m]]+liquidity_data[[#This Row],[equity]]</f>
        <v>12000.288360732229</v>
      </c>
      <c r="K491" s="5">
        <f>liquidity_data[[#This Row],[kf_d]]+liquidity_data[[#This Row],[cf_d]]</f>
        <v>1.4659183276977128E-9</v>
      </c>
      <c r="L491" s="5">
        <f>liquidity_data[[#This Row],[TOTAL_M]]-liquidity_data[[#This Row],[TOTAL_D]]</f>
        <v>12000.288360730763</v>
      </c>
      <c r="M491" s="6">
        <f>liquidity_data[[#This Row],[M-D]]/L490-1</f>
        <v>1.8507274340162638E-5</v>
      </c>
    </row>
    <row r="492" spans="1:13" x14ac:dyDescent="0.25">
      <c r="A492" s="7" t="s">
        <v>146</v>
      </c>
      <c r="B492">
        <v>491</v>
      </c>
      <c r="C492" s="5">
        <v>19530.910081259179</v>
      </c>
      <c r="D492" s="5">
        <v>7397.1797370910645</v>
      </c>
      <c r="E492" s="5">
        <v>-647.43570742988959</v>
      </c>
      <c r="F492" s="5">
        <v>0</v>
      </c>
      <c r="G492" s="5">
        <v>103052.39294433594</v>
      </c>
      <c r="H492" s="5">
        <v>1.3926223924043413E-9</v>
      </c>
      <c r="I492">
        <v>-117333</v>
      </c>
      <c r="J492" s="5">
        <f>liquidity_data[[#This Row],[w_m]]+liquidity_data[[#This Row],[c_m]]+liquidity_data[[#This Row],[cf_m]]+liquidity_data[[#This Row],[kf_m]]+liquidity_data[[#This Row],[equity]]</f>
        <v>12000.047055256291</v>
      </c>
      <c r="K492" s="5">
        <f>liquidity_data[[#This Row],[kf_d]]+liquidity_data[[#This Row],[cf_d]]</f>
        <v>1.3926223924043413E-9</v>
      </c>
      <c r="L492" s="5">
        <f>liquidity_data[[#This Row],[TOTAL_M]]-liquidity_data[[#This Row],[TOTAL_D]]</f>
        <v>12000.047055254898</v>
      </c>
      <c r="M492" s="6">
        <f>liquidity_data[[#This Row],[M-D]]/L491-1</f>
        <v>-2.0108306451604996E-5</v>
      </c>
    </row>
    <row r="493" spans="1:13" x14ac:dyDescent="0.25">
      <c r="A493" s="7" t="s">
        <v>146</v>
      </c>
      <c r="B493">
        <v>492</v>
      </c>
      <c r="C493" s="5">
        <v>19587.114374845027</v>
      </c>
      <c r="D493" s="5">
        <v>7498.5468482971191</v>
      </c>
      <c r="E493" s="5">
        <v>-605.27573947748169</v>
      </c>
      <c r="F493" s="5">
        <v>0</v>
      </c>
      <c r="G493" s="5">
        <v>103861.36584472656</v>
      </c>
      <c r="H493" s="5">
        <v>1.3229912968100443E-9</v>
      </c>
      <c r="I493">
        <v>-118342</v>
      </c>
      <c r="J493" s="5">
        <f>liquidity_data[[#This Row],[w_m]]+liquidity_data[[#This Row],[c_m]]+liquidity_data[[#This Row],[cf_m]]+liquidity_data[[#This Row],[kf_m]]+liquidity_data[[#This Row],[equity]]</f>
        <v>11999.751328391227</v>
      </c>
      <c r="K493" s="5">
        <f>liquidity_data[[#This Row],[kf_d]]+liquidity_data[[#This Row],[cf_d]]</f>
        <v>1.3229912968100443E-9</v>
      </c>
      <c r="L493" s="5">
        <f>liquidity_data[[#This Row],[TOTAL_M]]-liquidity_data[[#This Row],[TOTAL_D]]</f>
        <v>11999.751328389904</v>
      </c>
      <c r="M493" s="6">
        <f>liquidity_data[[#This Row],[M-D]]/L492-1</f>
        <v>-2.4643808781088516E-5</v>
      </c>
    </row>
    <row r="494" spans="1:13" x14ac:dyDescent="0.25">
      <c r="A494" s="7" t="s">
        <v>146</v>
      </c>
      <c r="B494">
        <v>493</v>
      </c>
      <c r="C494" s="5">
        <v>19730.493956353283</v>
      </c>
      <c r="D494" s="5">
        <v>7515.5147514343262</v>
      </c>
      <c r="E494" s="5">
        <v>-605.01354583958164</v>
      </c>
      <c r="F494" s="5">
        <v>0</v>
      </c>
      <c r="G494" s="5">
        <v>104670.91223144531</v>
      </c>
      <c r="H494" s="5">
        <v>1.256841754369159E-9</v>
      </c>
      <c r="I494">
        <v>-119312</v>
      </c>
      <c r="J494" s="5">
        <f>liquidity_data[[#This Row],[w_m]]+liquidity_data[[#This Row],[c_m]]+liquidity_data[[#This Row],[cf_m]]+liquidity_data[[#This Row],[kf_m]]+liquidity_data[[#This Row],[equity]]</f>
        <v>11999.90739339334</v>
      </c>
      <c r="K494" s="5">
        <f>liquidity_data[[#This Row],[kf_d]]+liquidity_data[[#This Row],[cf_d]]</f>
        <v>1.256841754369159E-9</v>
      </c>
      <c r="L494" s="5">
        <f>liquidity_data[[#This Row],[TOTAL_M]]-liquidity_data[[#This Row],[TOTAL_D]]</f>
        <v>11999.907393392083</v>
      </c>
      <c r="M494" s="6">
        <f>liquidity_data[[#This Row],[M-D]]/L493-1</f>
        <v>1.3005686360312296E-5</v>
      </c>
    </row>
    <row r="495" spans="1:13" x14ac:dyDescent="0.25">
      <c r="A495" s="7" t="s">
        <v>146</v>
      </c>
      <c r="B495">
        <v>494</v>
      </c>
      <c r="C495" s="5">
        <v>19804.052268277912</v>
      </c>
      <c r="D495" s="5">
        <v>7608.3090858459473</v>
      </c>
      <c r="E495" s="5">
        <v>-651.9419445283711</v>
      </c>
      <c r="F495" s="5">
        <v>0</v>
      </c>
      <c r="G495" s="5">
        <v>105488.10534667969</v>
      </c>
      <c r="H495" s="5">
        <v>1.1939996599936997E-9</v>
      </c>
      <c r="I495">
        <v>-120249</v>
      </c>
      <c r="J495" s="5">
        <f>liquidity_data[[#This Row],[w_m]]+liquidity_data[[#This Row],[c_m]]+liquidity_data[[#This Row],[cf_m]]+liquidity_data[[#This Row],[kf_m]]+liquidity_data[[#This Row],[equity]]</f>
        <v>11999.524756275176</v>
      </c>
      <c r="K495" s="5">
        <f>liquidity_data[[#This Row],[kf_d]]+liquidity_data[[#This Row],[cf_d]]</f>
        <v>1.1939996599936997E-9</v>
      </c>
      <c r="L495" s="5">
        <f>liquidity_data[[#This Row],[TOTAL_M]]-liquidity_data[[#This Row],[TOTAL_D]]</f>
        <v>11999.524756273982</v>
      </c>
      <c r="M495" s="6">
        <f>liquidity_data[[#This Row],[M-D]]/L494-1</f>
        <v>-3.1886672584691134E-5</v>
      </c>
    </row>
    <row r="496" spans="1:13" x14ac:dyDescent="0.25">
      <c r="A496" s="7" t="s">
        <v>146</v>
      </c>
      <c r="B496">
        <v>495</v>
      </c>
      <c r="C496" s="5">
        <v>19885.129440779274</v>
      </c>
      <c r="D496" s="5">
        <v>7693.1725273132324</v>
      </c>
      <c r="E496" s="5">
        <v>-617.34749926906079</v>
      </c>
      <c r="F496" s="5">
        <v>0</v>
      </c>
      <c r="G496" s="5">
        <v>106296.05859375</v>
      </c>
      <c r="H496" s="5">
        <v>1.1342996719850007E-9</v>
      </c>
      <c r="I496">
        <v>-121257</v>
      </c>
      <c r="J496" s="5">
        <f>liquidity_data[[#This Row],[w_m]]+liquidity_data[[#This Row],[c_m]]+liquidity_data[[#This Row],[cf_m]]+liquidity_data[[#This Row],[kf_m]]+liquidity_data[[#This Row],[equity]]</f>
        <v>12000.013062573445</v>
      </c>
      <c r="K496" s="5">
        <f>liquidity_data[[#This Row],[kf_d]]+liquidity_data[[#This Row],[cf_d]]</f>
        <v>1.1342996719850007E-9</v>
      </c>
      <c r="L496" s="5">
        <f>liquidity_data[[#This Row],[TOTAL_M]]-liquidity_data[[#This Row],[TOTAL_D]]</f>
        <v>12000.01306257231</v>
      </c>
      <c r="M496" s="6">
        <f>liquidity_data[[#This Row],[M-D]]/L495-1</f>
        <v>4.0693803150304575E-5</v>
      </c>
    </row>
    <row r="497" spans="1:13" x14ac:dyDescent="0.25">
      <c r="A497" s="7" t="s">
        <v>146</v>
      </c>
      <c r="B497">
        <v>496</v>
      </c>
      <c r="C497" s="5">
        <v>19970.609193178767</v>
      </c>
      <c r="D497" s="5">
        <v>7754.2182884216309</v>
      </c>
      <c r="E497" s="5">
        <v>-545.92897744849324</v>
      </c>
      <c r="F497" s="5">
        <v>0</v>
      </c>
      <c r="G497" s="5">
        <v>107040.83923339844</v>
      </c>
      <c r="H497" s="5">
        <v>1.0775846781725662E-9</v>
      </c>
      <c r="I497">
        <v>-122220</v>
      </c>
      <c r="J497" s="5">
        <f>liquidity_data[[#This Row],[w_m]]+liquidity_data[[#This Row],[c_m]]+liquidity_data[[#This Row],[cf_m]]+liquidity_data[[#This Row],[kf_m]]+liquidity_data[[#This Row],[equity]]</f>
        <v>11999.737737550342</v>
      </c>
      <c r="K497" s="5">
        <f>liquidity_data[[#This Row],[kf_d]]+liquidity_data[[#This Row],[cf_d]]</f>
        <v>1.0775846781725662E-9</v>
      </c>
      <c r="L497" s="5">
        <f>liquidity_data[[#This Row],[TOTAL_M]]-liquidity_data[[#This Row],[TOTAL_D]]</f>
        <v>11999.737737549265</v>
      </c>
      <c r="M497" s="6">
        <f>liquidity_data[[#This Row],[M-D]]/L496-1</f>
        <v>-2.2943726945112708E-5</v>
      </c>
    </row>
    <row r="498" spans="1:13" x14ac:dyDescent="0.25">
      <c r="A498" s="7" t="s">
        <v>146</v>
      </c>
      <c r="B498">
        <v>497</v>
      </c>
      <c r="C498" s="5">
        <v>20033.056867601874</v>
      </c>
      <c r="D498" s="5">
        <v>7861.5766830444336</v>
      </c>
      <c r="E498" s="5">
        <v>-634.90804640483111</v>
      </c>
      <c r="F498" s="5">
        <v>0</v>
      </c>
      <c r="G498" s="5">
        <v>107875.927734375</v>
      </c>
      <c r="H498" s="5">
        <v>1.0237054411631197E-9</v>
      </c>
      <c r="I498">
        <v>-123136</v>
      </c>
      <c r="J498" s="5">
        <f>liquidity_data[[#This Row],[w_m]]+liquidity_data[[#This Row],[c_m]]+liquidity_data[[#This Row],[cf_m]]+liquidity_data[[#This Row],[kf_m]]+liquidity_data[[#This Row],[equity]]</f>
        <v>11999.653238616476</v>
      </c>
      <c r="K498" s="5">
        <f>liquidity_data[[#This Row],[kf_d]]+liquidity_data[[#This Row],[cf_d]]</f>
        <v>1.0237054411631197E-9</v>
      </c>
      <c r="L498" s="5">
        <f>liquidity_data[[#This Row],[TOTAL_M]]-liquidity_data[[#This Row],[TOTAL_D]]</f>
        <v>11999.653238615452</v>
      </c>
      <c r="M498" s="6">
        <f>liquidity_data[[#This Row],[M-D]]/L497-1</f>
        <v>-7.0417317162840831E-6</v>
      </c>
    </row>
    <row r="499" spans="1:13" x14ac:dyDescent="0.25">
      <c r="A499" s="7" t="s">
        <v>146</v>
      </c>
      <c r="B499">
        <v>498</v>
      </c>
      <c r="C499" s="5">
        <v>20083.408517576041</v>
      </c>
      <c r="D499" s="5">
        <v>7988.3204612731934</v>
      </c>
      <c r="E499" s="5">
        <v>-682.48757022619247</v>
      </c>
      <c r="F499" s="5">
        <v>0</v>
      </c>
      <c r="G499" s="5">
        <v>108756.70874023438</v>
      </c>
      <c r="H499" s="5">
        <v>9.7252019198162953E-10</v>
      </c>
      <c r="I499">
        <v>-124146</v>
      </c>
      <c r="J499" s="5">
        <f>liquidity_data[[#This Row],[w_m]]+liquidity_data[[#This Row],[c_m]]+liquidity_data[[#This Row],[cf_m]]+liquidity_data[[#This Row],[kf_m]]+liquidity_data[[#This Row],[equity]]</f>
        <v>11999.950148857431</v>
      </c>
      <c r="K499" s="5">
        <f>liquidity_data[[#This Row],[kf_d]]+liquidity_data[[#This Row],[cf_d]]</f>
        <v>9.7252019198162953E-10</v>
      </c>
      <c r="L499" s="5">
        <f>liquidity_data[[#This Row],[TOTAL_M]]-liquidity_data[[#This Row],[TOTAL_D]]</f>
        <v>11999.950148856458</v>
      </c>
      <c r="M499" s="6">
        <f>liquidity_data[[#This Row],[M-D]]/L498-1</f>
        <v>2.4743235083724002E-5</v>
      </c>
    </row>
    <row r="500" spans="1:13" x14ac:dyDescent="0.25">
      <c r="A500" s="7" t="s">
        <v>146</v>
      </c>
      <c r="B500">
        <v>499</v>
      </c>
      <c r="C500" s="5">
        <v>20148.016688138639</v>
      </c>
      <c r="D500" s="5">
        <v>8089.9570808410645</v>
      </c>
      <c r="E500" s="5">
        <v>-658.72235049214214</v>
      </c>
      <c r="F500" s="5">
        <v>0</v>
      </c>
      <c r="G500" s="5">
        <v>109602.27954101563</v>
      </c>
      <c r="H500" s="5">
        <v>9.2389416169597061E-10</v>
      </c>
      <c r="I500">
        <v>-125182</v>
      </c>
      <c r="J500" s="5">
        <f>liquidity_data[[#This Row],[w_m]]+liquidity_data[[#This Row],[c_m]]+liquidity_data[[#This Row],[cf_m]]+liquidity_data[[#This Row],[kf_m]]+liquidity_data[[#This Row],[equity]]</f>
        <v>11999.530959503201</v>
      </c>
      <c r="K500" s="5">
        <f>liquidity_data[[#This Row],[kf_d]]+liquidity_data[[#This Row],[cf_d]]</f>
        <v>9.2389416169597061E-10</v>
      </c>
      <c r="L500" s="5">
        <f>liquidity_data[[#This Row],[TOTAL_M]]-liquidity_data[[#This Row],[TOTAL_D]]</f>
        <v>11999.530959502277</v>
      </c>
      <c r="M500" s="6">
        <f>liquidity_data[[#This Row],[M-D]]/L499-1</f>
        <v>-3.4932591300940175E-5</v>
      </c>
    </row>
    <row r="501" spans="1:13" x14ac:dyDescent="0.25">
      <c r="A501" s="7" t="s">
        <v>146</v>
      </c>
      <c r="B501">
        <v>500</v>
      </c>
      <c r="C501" s="5">
        <v>20222.920252316035</v>
      </c>
      <c r="D501" s="5">
        <v>8150.3189239501953</v>
      </c>
      <c r="E501" s="5">
        <v>-482.76021367218345</v>
      </c>
      <c r="F501" s="5">
        <v>0</v>
      </c>
      <c r="G501" s="5">
        <v>110297.60778808594</v>
      </c>
      <c r="H501" s="5">
        <v>8.7769946779253649E-10</v>
      </c>
      <c r="I501">
        <v>-126188</v>
      </c>
      <c r="J501" s="5">
        <f>liquidity_data[[#This Row],[w_m]]+liquidity_data[[#This Row],[c_m]]+liquidity_data[[#This Row],[cf_m]]+liquidity_data[[#This Row],[kf_m]]+liquidity_data[[#This Row],[equity]]</f>
        <v>12000.086750679999</v>
      </c>
      <c r="K501" s="5">
        <f>liquidity_data[[#This Row],[kf_d]]+liquidity_data[[#This Row],[cf_d]]</f>
        <v>8.7769946779253649E-10</v>
      </c>
      <c r="L501" s="5">
        <f>liquidity_data[[#This Row],[TOTAL_M]]-liquidity_data[[#This Row],[TOTAL_D]]</f>
        <v>12000.08675067912</v>
      </c>
      <c r="M501" s="6">
        <f>liquidity_data[[#This Row],[M-D]]/L500-1</f>
        <v>4.6317741811519042E-5</v>
      </c>
    </row>
    <row r="502" spans="1:13" x14ac:dyDescent="0.25">
      <c r="A502" s="7" t="s">
        <v>146</v>
      </c>
      <c r="B502">
        <v>501</v>
      </c>
      <c r="C502" s="5">
        <v>20296.593397547622</v>
      </c>
      <c r="D502" s="5">
        <v>8251.6172866821289</v>
      </c>
      <c r="E502" s="5">
        <v>-671.63618538528681</v>
      </c>
      <c r="F502" s="5">
        <v>0</v>
      </c>
      <c r="G502" s="5">
        <v>111156.78051757813</v>
      </c>
      <c r="H502" s="5">
        <v>8.3381449791572471E-10</v>
      </c>
      <c r="I502">
        <v>-127033</v>
      </c>
      <c r="J502" s="5">
        <f>liquidity_data[[#This Row],[w_m]]+liquidity_data[[#This Row],[c_m]]+liquidity_data[[#This Row],[cf_m]]+liquidity_data[[#This Row],[kf_m]]+liquidity_data[[#This Row],[equity]]</f>
        <v>12000.355016422574</v>
      </c>
      <c r="K502" s="5">
        <f>liquidity_data[[#This Row],[kf_d]]+liquidity_data[[#This Row],[cf_d]]</f>
        <v>8.3381449791572471E-10</v>
      </c>
      <c r="L502" s="5">
        <f>liquidity_data[[#This Row],[TOTAL_M]]-liquidity_data[[#This Row],[TOTAL_D]]</f>
        <v>12000.355016421741</v>
      </c>
      <c r="M502" s="6">
        <f>liquidity_data[[#This Row],[M-D]]/L501-1</f>
        <v>2.2355316940281256E-5</v>
      </c>
    </row>
    <row r="503" spans="1:13" x14ac:dyDescent="0.25">
      <c r="A503" s="7" t="s">
        <v>146</v>
      </c>
      <c r="B503">
        <v>502</v>
      </c>
      <c r="C503" s="5">
        <v>20324.47111608542</v>
      </c>
      <c r="D503" s="5">
        <v>8413.3153991699219</v>
      </c>
      <c r="E503" s="5">
        <v>-726.75837123021483</v>
      </c>
      <c r="F503" s="5">
        <v>0</v>
      </c>
      <c r="G503" s="5">
        <v>112055.38671875</v>
      </c>
      <c r="H503" s="5">
        <v>7.9212376675324991E-10</v>
      </c>
      <c r="I503">
        <v>-128066</v>
      </c>
      <c r="J503" s="5">
        <f>liquidity_data[[#This Row],[w_m]]+liquidity_data[[#This Row],[c_m]]+liquidity_data[[#This Row],[cf_m]]+liquidity_data[[#This Row],[kf_m]]+liquidity_data[[#This Row],[equity]]</f>
        <v>12000.414862775127</v>
      </c>
      <c r="K503" s="5">
        <f>liquidity_data[[#This Row],[kf_d]]+liquidity_data[[#This Row],[cf_d]]</f>
        <v>7.9212376675324991E-10</v>
      </c>
      <c r="L503" s="5">
        <f>liquidity_data[[#This Row],[TOTAL_M]]-liquidity_data[[#This Row],[TOTAL_D]]</f>
        <v>12000.414862774336</v>
      </c>
      <c r="M503" s="6">
        <f>liquidity_data[[#This Row],[M-D]]/L502-1</f>
        <v>4.9870485092640138E-6</v>
      </c>
    </row>
    <row r="504" spans="1:13" x14ac:dyDescent="0.25">
      <c r="A504" s="7" t="s">
        <v>146</v>
      </c>
      <c r="B504">
        <v>503</v>
      </c>
      <c r="C504" s="5">
        <v>20404.700770259136</v>
      </c>
      <c r="D504" s="5">
        <v>8502.6465034484863</v>
      </c>
      <c r="E504" s="5">
        <v>-608.65837105922401</v>
      </c>
      <c r="F504" s="5">
        <v>0</v>
      </c>
      <c r="G504" s="5">
        <v>112874.89392089844</v>
      </c>
      <c r="H504" s="5">
        <v>7.5251756388727831E-10</v>
      </c>
      <c r="I504">
        <v>-129174</v>
      </c>
      <c r="J504" s="5">
        <f>liquidity_data[[#This Row],[w_m]]+liquidity_data[[#This Row],[c_m]]+liquidity_data[[#This Row],[cf_m]]+liquidity_data[[#This Row],[kf_m]]+liquidity_data[[#This Row],[equity]]</f>
        <v>11999.582823546836</v>
      </c>
      <c r="K504" s="5">
        <f>liquidity_data[[#This Row],[kf_d]]+liquidity_data[[#This Row],[cf_d]]</f>
        <v>7.5251756388727831E-10</v>
      </c>
      <c r="L504" s="5">
        <f>liquidity_data[[#This Row],[TOTAL_M]]-liquidity_data[[#This Row],[TOTAL_D]]</f>
        <v>11999.582823546083</v>
      </c>
      <c r="M504" s="6">
        <f>liquidity_data[[#This Row],[M-D]]/L503-1</f>
        <v>-6.933420533938861E-5</v>
      </c>
    </row>
    <row r="505" spans="1:13" x14ac:dyDescent="0.25">
      <c r="A505" s="7" t="s">
        <v>146</v>
      </c>
      <c r="B505">
        <v>504</v>
      </c>
      <c r="C505" s="5">
        <v>20468.953099071688</v>
      </c>
      <c r="D505" s="5">
        <v>8595.6768455505371</v>
      </c>
      <c r="E505" s="5">
        <v>-568.12728217151016</v>
      </c>
      <c r="F505" s="5">
        <v>0</v>
      </c>
      <c r="G505" s="5">
        <v>113647.17370605469</v>
      </c>
      <c r="H505" s="5">
        <v>7.148916916343423E-10</v>
      </c>
      <c r="I505">
        <v>-130144</v>
      </c>
      <c r="J505" s="5">
        <f>liquidity_data[[#This Row],[w_m]]+liquidity_data[[#This Row],[c_m]]+liquidity_data[[#This Row],[cf_m]]+liquidity_data[[#This Row],[kf_m]]+liquidity_data[[#This Row],[equity]]</f>
        <v>11999.676368505403</v>
      </c>
      <c r="K505" s="5">
        <f>liquidity_data[[#This Row],[kf_d]]+liquidity_data[[#This Row],[cf_d]]</f>
        <v>7.148916916343423E-10</v>
      </c>
      <c r="L505" s="5">
        <f>liquidity_data[[#This Row],[TOTAL_M]]-liquidity_data[[#This Row],[TOTAL_D]]</f>
        <v>11999.676368504688</v>
      </c>
      <c r="M505" s="6">
        <f>liquidity_data[[#This Row],[M-D]]/L504-1</f>
        <v>7.7956842317039587E-6</v>
      </c>
    </row>
    <row r="506" spans="1:13" x14ac:dyDescent="0.25">
      <c r="A506" s="7" t="s">
        <v>146</v>
      </c>
      <c r="B506">
        <v>505</v>
      </c>
      <c r="C506" s="5">
        <v>20545.005827534289</v>
      </c>
      <c r="D506" s="5">
        <v>8686.6722946166992</v>
      </c>
      <c r="E506" s="5">
        <v>-604.53499965276569</v>
      </c>
      <c r="F506" s="5">
        <v>0</v>
      </c>
      <c r="G506" s="5">
        <v>114474.16723632813</v>
      </c>
      <c r="H506" s="5">
        <v>6.7914711593224097E-10</v>
      </c>
      <c r="I506">
        <v>-131101</v>
      </c>
      <c r="J506" s="5">
        <f>liquidity_data[[#This Row],[w_m]]+liquidity_data[[#This Row],[c_m]]+liquidity_data[[#This Row],[cf_m]]+liquidity_data[[#This Row],[kf_m]]+liquidity_data[[#This Row],[equity]]</f>
        <v>12000.310358826362</v>
      </c>
      <c r="K506" s="5">
        <f>liquidity_data[[#This Row],[kf_d]]+liquidity_data[[#This Row],[cf_d]]</f>
        <v>6.7914711593224097E-10</v>
      </c>
      <c r="L506" s="5">
        <f>liquidity_data[[#This Row],[TOTAL_M]]-liquidity_data[[#This Row],[TOTAL_D]]</f>
        <v>12000.310358825684</v>
      </c>
      <c r="M506" s="6">
        <f>liquidity_data[[#This Row],[M-D]]/L505-1</f>
        <v>5.2833951643904697E-5</v>
      </c>
    </row>
    <row r="507" spans="1:13" x14ac:dyDescent="0.25">
      <c r="A507" s="7" t="s">
        <v>146</v>
      </c>
      <c r="B507">
        <v>506</v>
      </c>
      <c r="C507" s="5">
        <v>20659.439130565414</v>
      </c>
      <c r="D507" s="5">
        <v>8718.3338623046875</v>
      </c>
      <c r="E507" s="5">
        <v>-523.09677048306912</v>
      </c>
      <c r="F507" s="5">
        <v>0</v>
      </c>
      <c r="G507" s="5">
        <v>115244.50048828125</v>
      </c>
      <c r="H507" s="5">
        <v>6.4518975904058473E-10</v>
      </c>
      <c r="I507">
        <v>-132099</v>
      </c>
      <c r="J507" s="5">
        <f>liquidity_data[[#This Row],[w_m]]+liquidity_data[[#This Row],[c_m]]+liquidity_data[[#This Row],[cf_m]]+liquidity_data[[#This Row],[kf_m]]+liquidity_data[[#This Row],[equity]]</f>
        <v>12000.176710668282</v>
      </c>
      <c r="K507" s="5">
        <f>liquidity_data[[#This Row],[kf_d]]+liquidity_data[[#This Row],[cf_d]]</f>
        <v>6.4518975904058473E-10</v>
      </c>
      <c r="L507" s="5">
        <f>liquidity_data[[#This Row],[TOTAL_M]]-liquidity_data[[#This Row],[TOTAL_D]]</f>
        <v>12000.176710667636</v>
      </c>
      <c r="M507" s="6">
        <f>liquidity_data[[#This Row],[M-D]]/L506-1</f>
        <v>-1.1137058463561722E-5</v>
      </c>
    </row>
    <row r="508" spans="1:13" x14ac:dyDescent="0.25">
      <c r="A508" s="7" t="s">
        <v>146</v>
      </c>
      <c r="B508">
        <v>507</v>
      </c>
      <c r="C508" s="5">
        <v>20698.777522439676</v>
      </c>
      <c r="D508" s="5">
        <v>8801.0026245117188</v>
      </c>
      <c r="E508" s="5">
        <v>-384.53174328338355</v>
      </c>
      <c r="F508" s="5">
        <v>0</v>
      </c>
      <c r="G508" s="5">
        <v>115910.02697753906</v>
      </c>
      <c r="H508" s="5">
        <v>6.1293026383524296E-10</v>
      </c>
      <c r="I508">
        <v>-133025</v>
      </c>
      <c r="J508" s="5">
        <f>liquidity_data[[#This Row],[w_m]]+liquidity_data[[#This Row],[c_m]]+liquidity_data[[#This Row],[cf_m]]+liquidity_data[[#This Row],[kf_m]]+liquidity_data[[#This Row],[equity]]</f>
        <v>12000.275381207059</v>
      </c>
      <c r="K508" s="5">
        <f>liquidity_data[[#This Row],[kf_d]]+liquidity_data[[#This Row],[cf_d]]</f>
        <v>6.1293026383524296E-10</v>
      </c>
      <c r="L508" s="5">
        <f>liquidity_data[[#This Row],[TOTAL_M]]-liquidity_data[[#This Row],[TOTAL_D]]</f>
        <v>12000.275381206446</v>
      </c>
      <c r="M508" s="6">
        <f>liquidity_data[[#This Row],[M-D]]/L507-1</f>
        <v>8.2224238182604381E-6</v>
      </c>
    </row>
    <row r="509" spans="1:13" x14ac:dyDescent="0.25">
      <c r="A509" s="7" t="s">
        <v>146</v>
      </c>
      <c r="B509">
        <v>508</v>
      </c>
      <c r="C509" s="5">
        <v>20766.634772574034</v>
      </c>
      <c r="D509" s="5">
        <v>8797.5736236572266</v>
      </c>
      <c r="E509" s="5">
        <v>-78.566292884759605</v>
      </c>
      <c r="F509" s="5">
        <v>0</v>
      </c>
      <c r="G509" s="5">
        <v>116333.94738769531</v>
      </c>
      <c r="H509" s="5">
        <v>5.8228375853647263E-10</v>
      </c>
      <c r="I509">
        <v>-133820</v>
      </c>
      <c r="J509" s="5">
        <f>liquidity_data[[#This Row],[w_m]]+liquidity_data[[#This Row],[c_m]]+liquidity_data[[#This Row],[cf_m]]+liquidity_data[[#This Row],[kf_m]]+liquidity_data[[#This Row],[equity]]</f>
        <v>11999.589491041814</v>
      </c>
      <c r="K509" s="5">
        <f>liquidity_data[[#This Row],[kf_d]]+liquidity_data[[#This Row],[cf_d]]</f>
        <v>5.8228375853647263E-10</v>
      </c>
      <c r="L509" s="5">
        <f>liquidity_data[[#This Row],[TOTAL_M]]-liquidity_data[[#This Row],[TOTAL_D]]</f>
        <v>11999.589491041232</v>
      </c>
      <c r="M509" s="6">
        <f>liquidity_data[[#This Row],[M-D]]/L508-1</f>
        <v>-5.7156202122543576E-5</v>
      </c>
    </row>
    <row r="510" spans="1:13" x14ac:dyDescent="0.25">
      <c r="A510" s="7" t="s">
        <v>146</v>
      </c>
      <c r="B510">
        <v>509</v>
      </c>
      <c r="C510" s="5">
        <v>20819.552914695916</v>
      </c>
      <c r="D510" s="5">
        <v>8932.6002426147461</v>
      </c>
      <c r="E510" s="5">
        <v>-654.96475028852001</v>
      </c>
      <c r="F510" s="5">
        <v>0</v>
      </c>
      <c r="G510" s="5">
        <v>117244.64025878906</v>
      </c>
      <c r="H510" s="5">
        <v>5.5316957069638517E-10</v>
      </c>
      <c r="I510">
        <v>-134342</v>
      </c>
      <c r="J510" s="5">
        <f>liquidity_data[[#This Row],[w_m]]+liquidity_data[[#This Row],[c_m]]+liquidity_data[[#This Row],[cf_m]]+liquidity_data[[#This Row],[kf_m]]+liquidity_data[[#This Row],[equity]]</f>
        <v>11999.828665811219</v>
      </c>
      <c r="K510" s="5">
        <f>liquidity_data[[#This Row],[kf_d]]+liquidity_data[[#This Row],[cf_d]]</f>
        <v>5.5316957069638517E-10</v>
      </c>
      <c r="L510" s="5">
        <f>liquidity_data[[#This Row],[TOTAL_M]]-liquidity_data[[#This Row],[TOTAL_D]]</f>
        <v>11999.828665810666</v>
      </c>
      <c r="M510" s="6">
        <f>liquidity_data[[#This Row],[M-D]]/L509-1</f>
        <v>1.9931912638604388E-5</v>
      </c>
    </row>
    <row r="511" spans="1:13" x14ac:dyDescent="0.25">
      <c r="A511" s="7" t="s">
        <v>146</v>
      </c>
      <c r="B511">
        <v>510</v>
      </c>
      <c r="C511" s="5">
        <v>20894.015578378094</v>
      </c>
      <c r="D511" s="5">
        <v>8982.5077438354492</v>
      </c>
      <c r="E511" s="5">
        <v>-334.5009652976878</v>
      </c>
      <c r="F511" s="5">
        <v>0</v>
      </c>
      <c r="G511" s="5">
        <v>117902.380859375</v>
      </c>
      <c r="H511" s="5">
        <v>5.255110970946858E-10</v>
      </c>
      <c r="I511">
        <v>-135444</v>
      </c>
      <c r="J511" s="5">
        <f>liquidity_data[[#This Row],[w_m]]+liquidity_data[[#This Row],[c_m]]+liquidity_data[[#This Row],[cf_m]]+liquidity_data[[#This Row],[kf_m]]+liquidity_data[[#This Row],[equity]]</f>
        <v>12000.40321629087</v>
      </c>
      <c r="K511" s="5">
        <f>liquidity_data[[#This Row],[kf_d]]+liquidity_data[[#This Row],[cf_d]]</f>
        <v>5.255110970946858E-10</v>
      </c>
      <c r="L511" s="5">
        <f>liquidity_data[[#This Row],[TOTAL_M]]-liquidity_data[[#This Row],[TOTAL_D]]</f>
        <v>12000.403216290344</v>
      </c>
      <c r="M511" s="6">
        <f>liquidity_data[[#This Row],[M-D]]/L510-1</f>
        <v>4.787989026167061E-5</v>
      </c>
    </row>
    <row r="512" spans="1:13" x14ac:dyDescent="0.25">
      <c r="A512" s="7" t="s">
        <v>146</v>
      </c>
      <c r="B512">
        <v>511</v>
      </c>
      <c r="C512" s="5">
        <v>20981.382612438269</v>
      </c>
      <c r="D512" s="5">
        <v>9062.5135040283203</v>
      </c>
      <c r="E512" s="5">
        <v>-533.26068948814645</v>
      </c>
      <c r="F512" s="5">
        <v>0</v>
      </c>
      <c r="G512" s="5">
        <v>118720.21350097656</v>
      </c>
      <c r="H512" s="5">
        <v>4.9923553572389645E-10</v>
      </c>
      <c r="I512">
        <v>-136231</v>
      </c>
      <c r="J512" s="5">
        <f>liquidity_data[[#This Row],[w_m]]+liquidity_data[[#This Row],[c_m]]+liquidity_data[[#This Row],[cf_m]]+liquidity_data[[#This Row],[kf_m]]+liquidity_data[[#This Row],[equity]]</f>
        <v>11999.848927954998</v>
      </c>
      <c r="K512" s="5">
        <f>liquidity_data[[#This Row],[kf_d]]+liquidity_data[[#This Row],[cf_d]]</f>
        <v>4.9923553572389645E-10</v>
      </c>
      <c r="L512" s="5">
        <f>liquidity_data[[#This Row],[TOTAL_M]]-liquidity_data[[#This Row],[TOTAL_D]]</f>
        <v>11999.848927954499</v>
      </c>
      <c r="M512" s="6">
        <f>liquidity_data[[#This Row],[M-D]]/L511-1</f>
        <v>-4.6189142635877367E-5</v>
      </c>
    </row>
    <row r="513" spans="1:13" x14ac:dyDescent="0.25">
      <c r="A513" s="7" t="s">
        <v>146</v>
      </c>
      <c r="B513">
        <v>512</v>
      </c>
      <c r="C513" s="5">
        <v>21091.525249002967</v>
      </c>
      <c r="D513" s="5">
        <v>9148.9709777832031</v>
      </c>
      <c r="E513" s="5">
        <v>-651.02332213381305</v>
      </c>
      <c r="F513" s="5">
        <v>0</v>
      </c>
      <c r="G513" s="5">
        <v>119621.74987792969</v>
      </c>
      <c r="H513" s="5">
        <v>4.7427375286616946E-10</v>
      </c>
      <c r="I513">
        <v>-137211</v>
      </c>
      <c r="J513" s="5">
        <f>liquidity_data[[#This Row],[w_m]]+liquidity_data[[#This Row],[c_m]]+liquidity_data[[#This Row],[cf_m]]+liquidity_data[[#This Row],[kf_m]]+liquidity_data[[#This Row],[equity]]</f>
        <v>12000.222782582045</v>
      </c>
      <c r="K513" s="5">
        <f>liquidity_data[[#This Row],[kf_d]]+liquidity_data[[#This Row],[cf_d]]</f>
        <v>4.7427375286616946E-10</v>
      </c>
      <c r="L513" s="5">
        <f>liquidity_data[[#This Row],[TOTAL_M]]-liquidity_data[[#This Row],[TOTAL_D]]</f>
        <v>12000.22278258157</v>
      </c>
      <c r="M513" s="6">
        <f>liquidity_data[[#This Row],[M-D]]/L512-1</f>
        <v>3.1154944476030622E-5</v>
      </c>
    </row>
    <row r="514" spans="1:13" x14ac:dyDescent="0.25">
      <c r="A514" s="7" t="s">
        <v>146</v>
      </c>
      <c r="B514">
        <v>513</v>
      </c>
      <c r="C514" s="5">
        <v>21112.09672582848</v>
      </c>
      <c r="D514" s="5">
        <v>9380.2862930297852</v>
      </c>
      <c r="E514" s="5">
        <v>-957.26318573066965</v>
      </c>
      <c r="F514" s="5">
        <v>0</v>
      </c>
      <c r="G514" s="5">
        <v>120747.46752929688</v>
      </c>
      <c r="H514" s="5">
        <v>4.5056006234972523E-10</v>
      </c>
      <c r="I514">
        <v>-138283</v>
      </c>
      <c r="J514" s="5">
        <f>liquidity_data[[#This Row],[w_m]]+liquidity_data[[#This Row],[c_m]]+liquidity_data[[#This Row],[cf_m]]+liquidity_data[[#This Row],[kf_m]]+liquidity_data[[#This Row],[equity]]</f>
        <v>11999.58736242447</v>
      </c>
      <c r="K514" s="5">
        <f>liquidity_data[[#This Row],[kf_d]]+liquidity_data[[#This Row],[cf_d]]</f>
        <v>4.5056006234972523E-10</v>
      </c>
      <c r="L514" s="5">
        <f>liquidity_data[[#This Row],[TOTAL_M]]-liquidity_data[[#This Row],[TOTAL_D]]</f>
        <v>11999.587362424019</v>
      </c>
      <c r="M514" s="6">
        <f>liquidity_data[[#This Row],[M-D]]/L513-1</f>
        <v>-5.2950696754816562E-5</v>
      </c>
    </row>
    <row r="515" spans="1:13" x14ac:dyDescent="0.25">
      <c r="A515" s="7" t="s">
        <v>146</v>
      </c>
      <c r="B515">
        <v>514</v>
      </c>
      <c r="C515" s="5">
        <v>21157.564743645264</v>
      </c>
      <c r="D515" s="5">
        <v>9572.1856155395508</v>
      </c>
      <c r="E515" s="5">
        <v>-856.74277101596817</v>
      </c>
      <c r="F515" s="5">
        <v>0</v>
      </c>
      <c r="G515" s="5">
        <v>121799.55346679688</v>
      </c>
      <c r="H515" s="5">
        <v>4.2803205337754724E-10</v>
      </c>
      <c r="I515">
        <v>-139673</v>
      </c>
      <c r="J515" s="5">
        <f>liquidity_data[[#This Row],[w_m]]+liquidity_data[[#This Row],[c_m]]+liquidity_data[[#This Row],[cf_m]]+liquidity_data[[#This Row],[kf_m]]+liquidity_data[[#This Row],[equity]]</f>
        <v>11999.561054965714</v>
      </c>
      <c r="K515" s="5">
        <f>liquidity_data[[#This Row],[kf_d]]+liquidity_data[[#This Row],[cf_d]]</f>
        <v>4.2803205337754724E-10</v>
      </c>
      <c r="L515" s="5">
        <f>liquidity_data[[#This Row],[TOTAL_M]]-liquidity_data[[#This Row],[TOTAL_D]]</f>
        <v>11999.561054965287</v>
      </c>
      <c r="M515" s="6">
        <f>liquidity_data[[#This Row],[M-D]]/L514-1</f>
        <v>-2.1923636153164949E-6</v>
      </c>
    </row>
    <row r="516" spans="1:13" x14ac:dyDescent="0.25">
      <c r="A516" s="7" t="s">
        <v>146</v>
      </c>
      <c r="B516">
        <v>515</v>
      </c>
      <c r="C516" s="5">
        <v>21241.95186411887</v>
      </c>
      <c r="D516" s="5">
        <v>9765.1728070527315</v>
      </c>
      <c r="E516" s="5">
        <v>-1058.7275064499117</v>
      </c>
      <c r="F516" s="5">
        <v>0</v>
      </c>
      <c r="G516" s="5">
        <v>122987.65905761719</v>
      </c>
      <c r="H516" s="5">
        <v>4.0663046150732352E-10</v>
      </c>
      <c r="I516">
        <v>-140936</v>
      </c>
      <c r="J516" s="5">
        <f>liquidity_data[[#This Row],[w_m]]+liquidity_data[[#This Row],[c_m]]+liquidity_data[[#This Row],[cf_m]]+liquidity_data[[#This Row],[kf_m]]+liquidity_data[[#This Row],[equity]]</f>
        <v>12000.05622233887</v>
      </c>
      <c r="K516" s="5">
        <f>liquidity_data[[#This Row],[kf_d]]+liquidity_data[[#This Row],[cf_d]]</f>
        <v>4.0663046150732352E-10</v>
      </c>
      <c r="L516" s="5">
        <f>liquidity_data[[#This Row],[TOTAL_M]]-liquidity_data[[#This Row],[TOTAL_D]]</f>
        <v>12000.056222338462</v>
      </c>
      <c r="M516" s="6">
        <f>liquidity_data[[#This Row],[M-D]]/L515-1</f>
        <v>4.1265457203509825E-5</v>
      </c>
    </row>
    <row r="517" spans="1:13" x14ac:dyDescent="0.25">
      <c r="A517" s="7" t="s">
        <v>146</v>
      </c>
      <c r="B517">
        <v>516</v>
      </c>
      <c r="C517" s="5">
        <v>21327.250548676813</v>
      </c>
      <c r="D517" s="5">
        <v>9918.2248726040125</v>
      </c>
      <c r="E517" s="5">
        <v>-920.87907215580344</v>
      </c>
      <c r="F517" s="5">
        <v>0</v>
      </c>
      <c r="G517" s="5">
        <v>124036.43688964844</v>
      </c>
      <c r="H517" s="5">
        <v>3.8629893186169217E-10</v>
      </c>
      <c r="I517">
        <v>-142361</v>
      </c>
      <c r="J517" s="5">
        <f>liquidity_data[[#This Row],[w_m]]+liquidity_data[[#This Row],[c_m]]+liquidity_data[[#This Row],[cf_m]]+liquidity_data[[#This Row],[kf_m]]+liquidity_data[[#This Row],[equity]]</f>
        <v>12000.033238773467</v>
      </c>
      <c r="K517" s="5">
        <f>liquidity_data[[#This Row],[kf_d]]+liquidity_data[[#This Row],[cf_d]]</f>
        <v>3.8629893186169217E-10</v>
      </c>
      <c r="L517" s="5">
        <f>liquidity_data[[#This Row],[TOTAL_M]]-liquidity_data[[#This Row],[TOTAL_D]]</f>
        <v>12000.033238773081</v>
      </c>
      <c r="M517" s="6">
        <f>liquidity_data[[#This Row],[M-D]]/L516-1</f>
        <v>-1.9152881415296363E-6</v>
      </c>
    </row>
    <row r="518" spans="1:13" x14ac:dyDescent="0.25">
      <c r="A518" s="7" t="s">
        <v>146</v>
      </c>
      <c r="B518">
        <v>517</v>
      </c>
      <c r="C518" s="5">
        <v>21406.261885654494</v>
      </c>
      <c r="D518" s="5">
        <v>10150.663116455078</v>
      </c>
      <c r="E518" s="5">
        <v>-1294.4355554310605</v>
      </c>
      <c r="F518" s="5">
        <v>0</v>
      </c>
      <c r="G518" s="5">
        <v>125387.33435058594</v>
      </c>
      <c r="H518" s="5">
        <v>3.6698399722735753E-10</v>
      </c>
      <c r="I518">
        <v>-143650</v>
      </c>
      <c r="J518" s="5">
        <f>liquidity_data[[#This Row],[w_m]]+liquidity_data[[#This Row],[c_m]]+liquidity_data[[#This Row],[cf_m]]+liquidity_data[[#This Row],[kf_m]]+liquidity_data[[#This Row],[equity]]</f>
        <v>11999.823797264457</v>
      </c>
      <c r="K518" s="5">
        <f>liquidity_data[[#This Row],[kf_d]]+liquidity_data[[#This Row],[cf_d]]</f>
        <v>3.6698399722735753E-10</v>
      </c>
      <c r="L518" s="5">
        <f>liquidity_data[[#This Row],[TOTAL_M]]-liquidity_data[[#This Row],[TOTAL_D]]</f>
        <v>11999.823797264089</v>
      </c>
      <c r="M518" s="6">
        <f>liquidity_data[[#This Row],[M-D]]/L517-1</f>
        <v>-1.7453410738554886E-5</v>
      </c>
    </row>
    <row r="519" spans="1:13" x14ac:dyDescent="0.25">
      <c r="A519" s="7" t="s">
        <v>146</v>
      </c>
      <c r="B519">
        <v>518</v>
      </c>
      <c r="C519" s="5">
        <v>21484.008077348564</v>
      </c>
      <c r="D519" s="5">
        <v>10368.556243896484</v>
      </c>
      <c r="E519" s="5">
        <v>-1221.8163840221241</v>
      </c>
      <c r="F519" s="5">
        <v>0</v>
      </c>
      <c r="G519" s="5">
        <v>126673.27856445313</v>
      </c>
      <c r="H519" s="5">
        <v>3.486348009330148E-10</v>
      </c>
      <c r="I519">
        <v>-145304</v>
      </c>
      <c r="J519" s="5">
        <f>liquidity_data[[#This Row],[w_m]]+liquidity_data[[#This Row],[c_m]]+liquidity_data[[#This Row],[cf_m]]+liquidity_data[[#This Row],[kf_m]]+liquidity_data[[#This Row],[equity]]</f>
        <v>12000.026501676039</v>
      </c>
      <c r="K519" s="5">
        <f>liquidity_data[[#This Row],[kf_d]]+liquidity_data[[#This Row],[cf_d]]</f>
        <v>3.486348009330148E-10</v>
      </c>
      <c r="L519" s="5">
        <f>liquidity_data[[#This Row],[TOTAL_M]]-liquidity_data[[#This Row],[TOTAL_D]]</f>
        <v>12000.026501675689</v>
      </c>
      <c r="M519" s="6">
        <f>liquidity_data[[#This Row],[M-D]]/L518-1</f>
        <v>1.6892282338920594E-5</v>
      </c>
    </row>
    <row r="520" spans="1:13" x14ac:dyDescent="0.25">
      <c r="A520" s="7" t="s">
        <v>146</v>
      </c>
      <c r="B520">
        <v>519</v>
      </c>
      <c r="C520" s="5">
        <v>21544.844065768215</v>
      </c>
      <c r="D520" s="5">
        <v>10513.667037963867</v>
      </c>
      <c r="E520" s="5">
        <v>-808.22961201425642</v>
      </c>
      <c r="F520" s="5">
        <v>0</v>
      </c>
      <c r="G520" s="5">
        <v>127582.91418457031</v>
      </c>
      <c r="H520" s="5">
        <v>3.3120305358968344E-10</v>
      </c>
      <c r="I520">
        <v>-146833</v>
      </c>
      <c r="J520" s="5">
        <f>liquidity_data[[#This Row],[w_m]]+liquidity_data[[#This Row],[c_m]]+liquidity_data[[#This Row],[cf_m]]+liquidity_data[[#This Row],[kf_m]]+liquidity_data[[#This Row],[equity]]</f>
        <v>12000.195676288131</v>
      </c>
      <c r="K520" s="5">
        <f>liquidity_data[[#This Row],[kf_d]]+liquidity_data[[#This Row],[cf_d]]</f>
        <v>3.3120305358968344E-10</v>
      </c>
      <c r="L520" s="5">
        <f>liquidity_data[[#This Row],[TOTAL_M]]-liquidity_data[[#This Row],[TOTAL_D]]</f>
        <v>12000.1956762878</v>
      </c>
      <c r="M520" s="6">
        <f>liquidity_data[[#This Row],[M-D]]/L519-1</f>
        <v>1.4097853207717392E-5</v>
      </c>
    </row>
    <row r="521" spans="1:13" x14ac:dyDescent="0.25">
      <c r="A521" s="7" t="s">
        <v>146</v>
      </c>
      <c r="B521">
        <v>520</v>
      </c>
      <c r="C521" s="5">
        <v>21613.529185428568</v>
      </c>
      <c r="D521" s="5">
        <v>10673.743843078613</v>
      </c>
      <c r="E521" s="5">
        <v>-942.59379705693573</v>
      </c>
      <c r="F521" s="5">
        <v>0</v>
      </c>
      <c r="G521" s="5">
        <v>128597.04284667969</v>
      </c>
      <c r="H521" s="5">
        <v>3.1464289138548318E-10</v>
      </c>
      <c r="I521">
        <v>-147942</v>
      </c>
      <c r="J521" s="5">
        <f>liquidity_data[[#This Row],[w_m]]+liquidity_data[[#This Row],[c_m]]+liquidity_data[[#This Row],[cf_m]]+liquidity_data[[#This Row],[kf_m]]+liquidity_data[[#This Row],[equity]]</f>
        <v>11999.72207812994</v>
      </c>
      <c r="K521" s="5">
        <f>liquidity_data[[#This Row],[kf_d]]+liquidity_data[[#This Row],[cf_d]]</f>
        <v>3.1464289138548318E-10</v>
      </c>
      <c r="L521" s="5">
        <f>liquidity_data[[#This Row],[TOTAL_M]]-liquidity_data[[#This Row],[TOTAL_D]]</f>
        <v>11999.722078129626</v>
      </c>
      <c r="M521" s="6">
        <f>liquidity_data[[#This Row],[M-D]]/L520-1</f>
        <v>-3.946586963665677E-5</v>
      </c>
    </row>
    <row r="522" spans="1:13" x14ac:dyDescent="0.25">
      <c r="A522" s="7" t="s">
        <v>146</v>
      </c>
      <c r="B522">
        <v>521</v>
      </c>
      <c r="C522" s="5">
        <v>21686.942232388334</v>
      </c>
      <c r="D522" s="5">
        <v>10880.994163513184</v>
      </c>
      <c r="E522" s="5">
        <v>-1212.4557966338471</v>
      </c>
      <c r="F522" s="5">
        <v>0</v>
      </c>
      <c r="G522" s="5">
        <v>129839.62707519531</v>
      </c>
      <c r="H522" s="5">
        <v>2.9891074977608095E-10</v>
      </c>
      <c r="I522">
        <v>-149195</v>
      </c>
      <c r="J522" s="5">
        <f>liquidity_data[[#This Row],[w_m]]+liquidity_data[[#This Row],[c_m]]+liquidity_data[[#This Row],[cf_m]]+liquidity_data[[#This Row],[kf_m]]+liquidity_data[[#This Row],[equity]]</f>
        <v>12000.107674462983</v>
      </c>
      <c r="K522" s="5">
        <f>liquidity_data[[#This Row],[kf_d]]+liquidity_data[[#This Row],[cf_d]]</f>
        <v>2.9891074977608095E-10</v>
      </c>
      <c r="L522" s="5">
        <f>liquidity_data[[#This Row],[TOTAL_M]]-liquidity_data[[#This Row],[TOTAL_D]]</f>
        <v>12000.107674462684</v>
      </c>
      <c r="M522" s="6">
        <f>liquidity_data[[#This Row],[M-D]]/L521-1</f>
        <v>3.2133771977971293E-5</v>
      </c>
    </row>
    <row r="523" spans="1:13" x14ac:dyDescent="0.25">
      <c r="A523" s="7" t="s">
        <v>146</v>
      </c>
      <c r="B523">
        <v>522</v>
      </c>
      <c r="C523" s="5">
        <v>21760.553068738081</v>
      </c>
      <c r="D523" s="5">
        <v>11019.110748291016</v>
      </c>
      <c r="E523" s="5">
        <v>-898.41350139785209</v>
      </c>
      <c r="F523" s="5">
        <v>0</v>
      </c>
      <c r="G523" s="5">
        <v>130836.40380859375</v>
      </c>
      <c r="H523" s="5">
        <v>2.8396521668371671E-10</v>
      </c>
      <c r="I523">
        <v>-150718</v>
      </c>
      <c r="J523" s="5">
        <f>liquidity_data[[#This Row],[w_m]]+liquidity_data[[#This Row],[c_m]]+liquidity_data[[#This Row],[cf_m]]+liquidity_data[[#This Row],[kf_m]]+liquidity_data[[#This Row],[equity]]</f>
        <v>11999.654124224995</v>
      </c>
      <c r="K523" s="5">
        <f>liquidity_data[[#This Row],[kf_d]]+liquidity_data[[#This Row],[cf_d]]</f>
        <v>2.8396521668371671E-10</v>
      </c>
      <c r="L523" s="5">
        <f>liquidity_data[[#This Row],[TOTAL_M]]-liquidity_data[[#This Row],[TOTAL_D]]</f>
        <v>11999.654124224711</v>
      </c>
      <c r="M523" s="6">
        <f>liquidity_data[[#This Row],[M-D]]/L522-1</f>
        <v>-3.7795514030158905E-5</v>
      </c>
    </row>
    <row r="524" spans="1:13" x14ac:dyDescent="0.25">
      <c r="A524" s="7" t="s">
        <v>146</v>
      </c>
      <c r="B524">
        <v>523</v>
      </c>
      <c r="C524" s="5">
        <v>21788.735531986167</v>
      </c>
      <c r="D524" s="5">
        <v>11191.211151123047</v>
      </c>
      <c r="E524" s="5">
        <v>-837.13361716491636</v>
      </c>
      <c r="F524" s="5">
        <v>0</v>
      </c>
      <c r="G524" s="5">
        <v>131796.771484375</v>
      </c>
      <c r="H524" s="5">
        <v>2.6976695573568965E-10</v>
      </c>
      <c r="I524">
        <v>-151940</v>
      </c>
      <c r="J524" s="5">
        <f>liquidity_data[[#This Row],[w_m]]+liquidity_data[[#This Row],[c_m]]+liquidity_data[[#This Row],[cf_m]]+liquidity_data[[#This Row],[kf_m]]+liquidity_data[[#This Row],[equity]]</f>
        <v>11999.584550319298</v>
      </c>
      <c r="K524" s="5">
        <f>liquidity_data[[#This Row],[kf_d]]+liquidity_data[[#This Row],[cf_d]]</f>
        <v>2.6976695573568965E-10</v>
      </c>
      <c r="L524" s="5">
        <f>liquidity_data[[#This Row],[TOTAL_M]]-liquidity_data[[#This Row],[TOTAL_D]]</f>
        <v>11999.584550319028</v>
      </c>
      <c r="M524" s="6">
        <f>liquidity_data[[#This Row],[M-D]]/L523-1</f>
        <v>-5.7979925890405681E-6</v>
      </c>
    </row>
    <row r="525" spans="1:13" x14ac:dyDescent="0.25">
      <c r="A525" s="7" t="s">
        <v>146</v>
      </c>
      <c r="B525">
        <v>524</v>
      </c>
      <c r="C525" s="5">
        <v>21889.750472579733</v>
      </c>
      <c r="D525" s="5">
        <v>11261.303199768066</v>
      </c>
      <c r="E525" s="5">
        <v>-694.05864135036245</v>
      </c>
      <c r="F525" s="5">
        <v>0</v>
      </c>
      <c r="G525" s="5">
        <v>132663.76342773438</v>
      </c>
      <c r="H525" s="5">
        <v>2.5627861020404569E-10</v>
      </c>
      <c r="I525">
        <v>-153121</v>
      </c>
      <c r="J525" s="5">
        <f>liquidity_data[[#This Row],[w_m]]+liquidity_data[[#This Row],[c_m]]+liquidity_data[[#This Row],[cf_m]]+liquidity_data[[#This Row],[kf_m]]+liquidity_data[[#This Row],[equity]]</f>
        <v>11999.758458731812</v>
      </c>
      <c r="K525" s="5">
        <f>liquidity_data[[#This Row],[kf_d]]+liquidity_data[[#This Row],[cf_d]]</f>
        <v>2.5627861020404569E-10</v>
      </c>
      <c r="L525" s="5">
        <f>liquidity_data[[#This Row],[TOTAL_M]]-liquidity_data[[#This Row],[TOTAL_D]]</f>
        <v>11999.758458731556</v>
      </c>
      <c r="M525" s="6">
        <f>liquidity_data[[#This Row],[M-D]]/L524-1</f>
        <v>1.4492869465421165E-5</v>
      </c>
    </row>
    <row r="526" spans="1:13" x14ac:dyDescent="0.25">
      <c r="A526" s="7" t="s">
        <v>146</v>
      </c>
      <c r="B526">
        <v>525</v>
      </c>
      <c r="C526" s="5">
        <v>21906.730773143572</v>
      </c>
      <c r="D526" s="5">
        <v>11414.332679748535</v>
      </c>
      <c r="E526" s="5">
        <v>-680.80389592098072</v>
      </c>
      <c r="F526" s="5">
        <v>0</v>
      </c>
      <c r="G526" s="5">
        <v>133517.3046875</v>
      </c>
      <c r="H526" s="5">
        <v>2.4346468417701939E-10</v>
      </c>
      <c r="I526">
        <v>-154158</v>
      </c>
      <c r="J526" s="5">
        <f>liquidity_data[[#This Row],[w_m]]+liquidity_data[[#This Row],[c_m]]+liquidity_data[[#This Row],[cf_m]]+liquidity_data[[#This Row],[kf_m]]+liquidity_data[[#This Row],[equity]]</f>
        <v>11999.564244471141</v>
      </c>
      <c r="K526" s="5">
        <f>liquidity_data[[#This Row],[kf_d]]+liquidity_data[[#This Row],[cf_d]]</f>
        <v>2.4346468417701939E-10</v>
      </c>
      <c r="L526" s="5">
        <f>liquidity_data[[#This Row],[TOTAL_M]]-liquidity_data[[#This Row],[TOTAL_D]]</f>
        <v>11999.564244470897</v>
      </c>
      <c r="M526" s="6">
        <f>liquidity_data[[#This Row],[M-D]]/L525-1</f>
        <v>-1.6184847497213717E-5</v>
      </c>
    </row>
    <row r="527" spans="1:13" x14ac:dyDescent="0.25">
      <c r="A527" s="7" t="s">
        <v>146</v>
      </c>
      <c r="B527">
        <v>526</v>
      </c>
      <c r="C527" s="5">
        <v>22019.585455861932</v>
      </c>
      <c r="D527" s="5">
        <v>11466.502815246582</v>
      </c>
      <c r="E527" s="5">
        <v>-601.57059112424031</v>
      </c>
      <c r="F527" s="5">
        <v>0</v>
      </c>
      <c r="G527" s="5">
        <v>134330.03369140625</v>
      </c>
      <c r="H527" s="5">
        <v>2.3129144151139147E-10</v>
      </c>
      <c r="I527">
        <v>-155215</v>
      </c>
      <c r="J527" s="5">
        <f>liquidity_data[[#This Row],[w_m]]+liquidity_data[[#This Row],[c_m]]+liquidity_data[[#This Row],[cf_m]]+liquidity_data[[#This Row],[kf_m]]+liquidity_data[[#This Row],[equity]]</f>
        <v>11999.551371390524</v>
      </c>
      <c r="K527" s="5">
        <f>liquidity_data[[#This Row],[kf_d]]+liquidity_data[[#This Row],[cf_d]]</f>
        <v>2.3129144151139147E-10</v>
      </c>
      <c r="L527" s="5">
        <f>liquidity_data[[#This Row],[TOTAL_M]]-liquidity_data[[#This Row],[TOTAL_D]]</f>
        <v>11999.551371390293</v>
      </c>
      <c r="M527" s="6">
        <f>liquidity_data[[#This Row],[M-D]]/L526-1</f>
        <v>-1.0727956734069011E-6</v>
      </c>
    </row>
    <row r="528" spans="1:13" x14ac:dyDescent="0.25">
      <c r="A528" s="7" t="s">
        <v>146</v>
      </c>
      <c r="B528">
        <v>527</v>
      </c>
      <c r="C528" s="5">
        <v>22091.277456520133</v>
      </c>
      <c r="D528" s="5">
        <v>11576.540641784668</v>
      </c>
      <c r="E528" s="5">
        <v>-676.50444698799402</v>
      </c>
      <c r="F528" s="5">
        <v>0</v>
      </c>
      <c r="G528" s="5">
        <v>135217.8330078125</v>
      </c>
      <c r="H528" s="5">
        <v>2.1972687514956735E-10</v>
      </c>
      <c r="I528">
        <v>-156209</v>
      </c>
      <c r="J528" s="5">
        <f>liquidity_data[[#This Row],[w_m]]+liquidity_data[[#This Row],[c_m]]+liquidity_data[[#This Row],[cf_m]]+liquidity_data[[#This Row],[kf_m]]+liquidity_data[[#This Row],[equity]]</f>
        <v>12000.146659129299</v>
      </c>
      <c r="K528" s="5">
        <f>liquidity_data[[#This Row],[kf_d]]+liquidity_data[[#This Row],[cf_d]]</f>
        <v>2.1972687514956735E-10</v>
      </c>
      <c r="L528" s="5">
        <f>liquidity_data[[#This Row],[TOTAL_M]]-liquidity_data[[#This Row],[TOTAL_D]]</f>
        <v>12000.146659129079</v>
      </c>
      <c r="M528" s="6">
        <f>liquidity_data[[#This Row],[M-D]]/L527-1</f>
        <v>4.9609166239861224E-5</v>
      </c>
    </row>
    <row r="529" spans="1:13" x14ac:dyDescent="0.25">
      <c r="A529" s="7" t="s">
        <v>146</v>
      </c>
      <c r="B529">
        <v>528</v>
      </c>
      <c r="C529" s="5">
        <v>22140.950545045554</v>
      </c>
      <c r="D529" s="5">
        <v>11758.198959350586</v>
      </c>
      <c r="E529" s="5">
        <v>-931.98223927151412</v>
      </c>
      <c r="F529" s="5">
        <v>0</v>
      </c>
      <c r="G529" s="5">
        <v>136302.81591796875</v>
      </c>
      <c r="H529" s="5">
        <v>2.0874052529887277E-10</v>
      </c>
      <c r="I529">
        <v>-157270</v>
      </c>
      <c r="J529" s="5">
        <f>liquidity_data[[#This Row],[w_m]]+liquidity_data[[#This Row],[c_m]]+liquidity_data[[#This Row],[cf_m]]+liquidity_data[[#This Row],[kf_m]]+liquidity_data[[#This Row],[equity]]</f>
        <v>11999.983183093369</v>
      </c>
      <c r="K529" s="5">
        <f>liquidity_data[[#This Row],[kf_d]]+liquidity_data[[#This Row],[cf_d]]</f>
        <v>2.0874052529887277E-10</v>
      </c>
      <c r="L529" s="5">
        <f>liquidity_data[[#This Row],[TOTAL_M]]-liquidity_data[[#This Row],[TOTAL_D]]</f>
        <v>11999.98318309316</v>
      </c>
      <c r="M529" s="6">
        <f>liquidity_data[[#This Row],[M-D]]/L528-1</f>
        <v>-1.3622836500526425E-5</v>
      </c>
    </row>
    <row r="530" spans="1:13" x14ac:dyDescent="0.25">
      <c r="A530" s="7" t="s">
        <v>146</v>
      </c>
      <c r="B530">
        <v>529</v>
      </c>
      <c r="C530" s="5">
        <v>22228.659826836505</v>
      </c>
      <c r="D530" s="5">
        <v>11843.499282836914</v>
      </c>
      <c r="E530" s="5">
        <v>-642.35508359130472</v>
      </c>
      <c r="F530" s="5">
        <v>0</v>
      </c>
      <c r="G530" s="5">
        <v>137135.09985351563</v>
      </c>
      <c r="H530" s="5">
        <v>1.9830350837975186E-10</v>
      </c>
      <c r="I530">
        <v>-158565</v>
      </c>
      <c r="J530" s="5">
        <f>liquidity_data[[#This Row],[w_m]]+liquidity_data[[#This Row],[c_m]]+liquidity_data[[#This Row],[cf_m]]+liquidity_data[[#This Row],[kf_m]]+liquidity_data[[#This Row],[equity]]</f>
        <v>11999.903879597725</v>
      </c>
      <c r="K530" s="5">
        <f>liquidity_data[[#This Row],[kf_d]]+liquidity_data[[#This Row],[cf_d]]</f>
        <v>1.9830350837975186E-10</v>
      </c>
      <c r="L530" s="5">
        <f>liquidity_data[[#This Row],[TOTAL_M]]-liquidity_data[[#This Row],[TOTAL_D]]</f>
        <v>11999.903879597527</v>
      </c>
      <c r="M530" s="6">
        <f>liquidity_data[[#This Row],[M-D]]/L529-1</f>
        <v>-6.6086338974535863E-6</v>
      </c>
    </row>
    <row r="531" spans="1:13" x14ac:dyDescent="0.25">
      <c r="A531" s="7" t="s">
        <v>146</v>
      </c>
      <c r="B531">
        <v>530</v>
      </c>
      <c r="C531" s="5">
        <v>22302.695506600387</v>
      </c>
      <c r="D531" s="5">
        <v>11967.85147857666</v>
      </c>
      <c r="E531" s="5">
        <v>-772.14036239404231</v>
      </c>
      <c r="F531" s="5">
        <v>0</v>
      </c>
      <c r="G531" s="5">
        <v>138074.15795898438</v>
      </c>
      <c r="H531" s="5">
        <v>1.8838832360409952E-10</v>
      </c>
      <c r="I531">
        <v>-159573</v>
      </c>
      <c r="J531" s="5">
        <f>liquidity_data[[#This Row],[w_m]]+liquidity_data[[#This Row],[c_m]]+liquidity_data[[#This Row],[cf_m]]+liquidity_data[[#This Row],[kf_m]]+liquidity_data[[#This Row],[equity]]</f>
        <v>11999.564581767365</v>
      </c>
      <c r="K531" s="5">
        <f>liquidity_data[[#This Row],[kf_d]]+liquidity_data[[#This Row],[cf_d]]</f>
        <v>1.8838832360409952E-10</v>
      </c>
      <c r="L531" s="5">
        <f>liquidity_data[[#This Row],[TOTAL_M]]-liquidity_data[[#This Row],[TOTAL_D]]</f>
        <v>11999.564581767176</v>
      </c>
      <c r="M531" s="6">
        <f>liquidity_data[[#This Row],[M-D]]/L530-1</f>
        <v>-2.8275045679926336E-5</v>
      </c>
    </row>
    <row r="532" spans="1:13" x14ac:dyDescent="0.25">
      <c r="A532" s="7" t="s">
        <v>146</v>
      </c>
      <c r="B532">
        <v>531</v>
      </c>
      <c r="C532" s="5">
        <v>22338.547813910714</v>
      </c>
      <c r="D532" s="5">
        <v>12162.236236572266</v>
      </c>
      <c r="E532" s="5">
        <v>-934.14313778933138</v>
      </c>
      <c r="F532" s="5">
        <v>0</v>
      </c>
      <c r="G532" s="5">
        <v>139151.81274414063</v>
      </c>
      <c r="H532" s="5">
        <v>1.7896890946219463E-10</v>
      </c>
      <c r="I532">
        <v>-160718</v>
      </c>
      <c r="J532" s="5">
        <f>liquidity_data[[#This Row],[w_m]]+liquidity_data[[#This Row],[c_m]]+liquidity_data[[#This Row],[cf_m]]+liquidity_data[[#This Row],[kf_m]]+liquidity_data[[#This Row],[equity]]</f>
        <v>12000.453656834259</v>
      </c>
      <c r="K532" s="5">
        <f>liquidity_data[[#This Row],[kf_d]]+liquidity_data[[#This Row],[cf_d]]</f>
        <v>1.7896890946219463E-10</v>
      </c>
      <c r="L532" s="5">
        <f>liquidity_data[[#This Row],[TOTAL_M]]-liquidity_data[[#This Row],[TOTAL_D]]</f>
        <v>12000.453656834081</v>
      </c>
      <c r="M532" s="6">
        <f>liquidity_data[[#This Row],[M-D]]/L531-1</f>
        <v>7.4092277336124113E-5</v>
      </c>
    </row>
    <row r="533" spans="1:13" x14ac:dyDescent="0.25">
      <c r="A533" s="7" t="s">
        <v>146</v>
      </c>
      <c r="B533">
        <v>532</v>
      </c>
      <c r="C533" s="5">
        <v>22394.091954069139</v>
      </c>
      <c r="D533" s="5">
        <v>12424.218086242676</v>
      </c>
      <c r="E533" s="5">
        <v>-1343.5579014439136</v>
      </c>
      <c r="F533" s="5">
        <v>0</v>
      </c>
      <c r="G533" s="5">
        <v>140544.5830078125</v>
      </c>
      <c r="H533" s="5">
        <v>1.7002046222725636E-10</v>
      </c>
      <c r="I533">
        <v>-162019</v>
      </c>
      <c r="J533" s="5">
        <f>liquidity_data[[#This Row],[w_m]]+liquidity_data[[#This Row],[c_m]]+liquidity_data[[#This Row],[cf_m]]+liquidity_data[[#This Row],[kf_m]]+liquidity_data[[#This Row],[equity]]</f>
        <v>12000.335146680416</v>
      </c>
      <c r="K533" s="5">
        <f>liquidity_data[[#This Row],[kf_d]]+liquidity_data[[#This Row],[cf_d]]</f>
        <v>1.7002046222725636E-10</v>
      </c>
      <c r="L533" s="5">
        <f>liquidity_data[[#This Row],[TOTAL_M]]-liquidity_data[[#This Row],[TOTAL_D]]</f>
        <v>12000.335146680247</v>
      </c>
      <c r="M533" s="6">
        <f>liquidity_data[[#This Row],[M-D]]/L532-1</f>
        <v>-9.8754728131700276E-6</v>
      </c>
    </row>
    <row r="534" spans="1:13" x14ac:dyDescent="0.25">
      <c r="A534" s="7" t="s">
        <v>146</v>
      </c>
      <c r="B534">
        <v>533</v>
      </c>
      <c r="C534" s="5">
        <v>22463.74049851278</v>
      </c>
      <c r="D534" s="5">
        <v>12596.044075012207</v>
      </c>
      <c r="E534" s="5">
        <v>-974.82030068524182</v>
      </c>
      <c r="F534" s="5">
        <v>0</v>
      </c>
      <c r="G534" s="5">
        <v>141614.10766601563</v>
      </c>
      <c r="H534" s="5">
        <v>1.6151944397854029E-10</v>
      </c>
      <c r="I534">
        <v>-163699</v>
      </c>
      <c r="J534" s="5">
        <f>liquidity_data[[#This Row],[w_m]]+liquidity_data[[#This Row],[c_m]]+liquidity_data[[#This Row],[cf_m]]+liquidity_data[[#This Row],[kf_m]]+liquidity_data[[#This Row],[equity]]</f>
        <v>12000.07193885537</v>
      </c>
      <c r="K534" s="5">
        <f>liquidity_data[[#This Row],[kf_d]]+liquidity_data[[#This Row],[cf_d]]</f>
        <v>1.6151944397854029E-10</v>
      </c>
      <c r="L534" s="5">
        <f>liquidity_data[[#This Row],[TOTAL_M]]-liquidity_data[[#This Row],[TOTAL_D]]</f>
        <v>12000.071938855208</v>
      </c>
      <c r="M534" s="6">
        <f>liquidity_data[[#This Row],[M-D]]/L533-1</f>
        <v>-2.193337284517316E-5</v>
      </c>
    </row>
    <row r="535" spans="1:13" x14ac:dyDescent="0.25">
      <c r="A535" s="7" t="s">
        <v>146</v>
      </c>
      <c r="B535">
        <v>534</v>
      </c>
      <c r="C535" s="5">
        <v>22539.19171422522</v>
      </c>
      <c r="D535" s="5">
        <v>12742.692169189453</v>
      </c>
      <c r="E535" s="5">
        <v>-862.52760238200426</v>
      </c>
      <c r="F535" s="5">
        <v>0</v>
      </c>
      <c r="G535" s="5">
        <v>142601.70678710938</v>
      </c>
      <c r="H535" s="5">
        <v>1.5344346783853838E-10</v>
      </c>
      <c r="I535">
        <v>-165021</v>
      </c>
      <c r="J535" s="5">
        <f>liquidity_data[[#This Row],[w_m]]+liquidity_data[[#This Row],[c_m]]+liquidity_data[[#This Row],[cf_m]]+liquidity_data[[#This Row],[kf_m]]+liquidity_data[[#This Row],[equity]]</f>
        <v>12000.063068142044</v>
      </c>
      <c r="K535" s="5">
        <f>liquidity_data[[#This Row],[kf_d]]+liquidity_data[[#This Row],[cf_d]]</f>
        <v>1.5344346783853838E-10</v>
      </c>
      <c r="L535" s="5">
        <f>liquidity_data[[#This Row],[TOTAL_M]]-liquidity_data[[#This Row],[TOTAL_D]]</f>
        <v>12000.063068141892</v>
      </c>
      <c r="M535" s="6">
        <f>liquidity_data[[#This Row],[M-D]]/L534-1</f>
        <v>-7.3922167809215011E-7</v>
      </c>
    </row>
    <row r="536" spans="1:13" x14ac:dyDescent="0.25">
      <c r="A536" s="7" t="s">
        <v>146</v>
      </c>
      <c r="B536">
        <v>535</v>
      </c>
      <c r="C536" s="5">
        <v>22649.880560505931</v>
      </c>
      <c r="D536" s="5">
        <v>13018.459785461426</v>
      </c>
      <c r="E536" s="5">
        <v>-1671.4783961568028</v>
      </c>
      <c r="F536" s="5">
        <v>0</v>
      </c>
      <c r="G536" s="5">
        <v>144260.95874023438</v>
      </c>
      <c r="H536" s="5">
        <v>1.4577129580457468E-10</v>
      </c>
      <c r="I536">
        <v>-166258</v>
      </c>
      <c r="J536" s="5">
        <f>liquidity_data[[#This Row],[w_m]]+liquidity_data[[#This Row],[c_m]]+liquidity_data[[#This Row],[cf_m]]+liquidity_data[[#This Row],[kf_m]]+liquidity_data[[#This Row],[equity]]</f>
        <v>11999.82069004493</v>
      </c>
      <c r="K536" s="5">
        <f>liquidity_data[[#This Row],[kf_d]]+liquidity_data[[#This Row],[cf_d]]</f>
        <v>1.4577129580457468E-10</v>
      </c>
      <c r="L536" s="5">
        <f>liquidity_data[[#This Row],[TOTAL_M]]-liquidity_data[[#This Row],[TOTAL_D]]</f>
        <v>11999.820690044784</v>
      </c>
      <c r="M536" s="6">
        <f>liquidity_data[[#This Row],[M-D]]/L535-1</f>
        <v>-2.0198068604426744E-5</v>
      </c>
    </row>
    <row r="537" spans="1:13" x14ac:dyDescent="0.25">
      <c r="A537" s="7" t="s">
        <v>146</v>
      </c>
      <c r="B537">
        <v>536</v>
      </c>
      <c r="C537" s="5">
        <v>22738.726229027758</v>
      </c>
      <c r="D537" s="5">
        <v>13252.261100769043</v>
      </c>
      <c r="E537" s="5">
        <v>-1373.4877169830725</v>
      </c>
      <c r="F537" s="5">
        <v>0</v>
      </c>
      <c r="G537" s="5">
        <v>145681.119140625</v>
      </c>
      <c r="H537" s="5">
        <v>1.3848272886491514E-10</v>
      </c>
      <c r="I537">
        <v>-168299</v>
      </c>
      <c r="J537" s="5">
        <f>liquidity_data[[#This Row],[w_m]]+liquidity_data[[#This Row],[c_m]]+liquidity_data[[#This Row],[cf_m]]+liquidity_data[[#This Row],[kf_m]]+liquidity_data[[#This Row],[equity]]</f>
        <v>11999.618753438728</v>
      </c>
      <c r="K537" s="5">
        <f>liquidity_data[[#This Row],[kf_d]]+liquidity_data[[#This Row],[cf_d]]</f>
        <v>1.3848272886491514E-10</v>
      </c>
      <c r="L537" s="5">
        <f>liquidity_data[[#This Row],[TOTAL_M]]-liquidity_data[[#This Row],[TOTAL_D]]</f>
        <v>11999.61875343859</v>
      </c>
      <c r="M537" s="6">
        <f>liquidity_data[[#This Row],[M-D]]/L536-1</f>
        <v>-1.6828301973026427E-5</v>
      </c>
    </row>
    <row r="538" spans="1:13" x14ac:dyDescent="0.25">
      <c r="A538" s="7" t="s">
        <v>146</v>
      </c>
      <c r="B538">
        <v>537</v>
      </c>
      <c r="C538" s="5">
        <v>22804.654237171839</v>
      </c>
      <c r="D538" s="5">
        <v>13519.087936401367</v>
      </c>
      <c r="E538" s="5">
        <v>-1462.4907736135647</v>
      </c>
      <c r="F538" s="5">
        <v>0</v>
      </c>
      <c r="G538" s="5">
        <v>147146.66381835938</v>
      </c>
      <c r="H538" s="5">
        <v>1.3155859431360217E-10</v>
      </c>
      <c r="I538">
        <v>-170008</v>
      </c>
      <c r="J538" s="5">
        <f>liquidity_data[[#This Row],[w_m]]+liquidity_data[[#This Row],[c_m]]+liquidity_data[[#This Row],[cf_m]]+liquidity_data[[#This Row],[kf_m]]+liquidity_data[[#This Row],[equity]]</f>
        <v>11999.915218319016</v>
      </c>
      <c r="K538" s="5">
        <f>liquidity_data[[#This Row],[kf_d]]+liquidity_data[[#This Row],[cf_d]]</f>
        <v>1.3155859431360217E-10</v>
      </c>
      <c r="L538" s="5">
        <f>liquidity_data[[#This Row],[TOTAL_M]]-liquidity_data[[#This Row],[TOTAL_D]]</f>
        <v>11999.915218318885</v>
      </c>
      <c r="M538" s="6">
        <f>liquidity_data[[#This Row],[M-D]]/L537-1</f>
        <v>2.470619162053822E-5</v>
      </c>
    </row>
    <row r="539" spans="1:13" x14ac:dyDescent="0.25">
      <c r="A539" s="7" t="s">
        <v>146</v>
      </c>
      <c r="B539">
        <v>538</v>
      </c>
      <c r="C539" s="5">
        <v>22901.443622469815</v>
      </c>
      <c r="D539" s="5">
        <v>13701.232894897461</v>
      </c>
      <c r="E539" s="5">
        <v>-1183.2669210564345</v>
      </c>
      <c r="F539" s="5">
        <v>0</v>
      </c>
      <c r="G539" s="5">
        <v>148363.79321289063</v>
      </c>
      <c r="H539" s="5">
        <v>1.2498066302582891E-10</v>
      </c>
      <c r="I539">
        <v>-171783</v>
      </c>
      <c r="J539" s="5">
        <f>liquidity_data[[#This Row],[w_m]]+liquidity_data[[#This Row],[c_m]]+liquidity_data[[#This Row],[cf_m]]+liquidity_data[[#This Row],[kf_m]]+liquidity_data[[#This Row],[equity]]</f>
        <v>12000.202809201466</v>
      </c>
      <c r="K539" s="5">
        <f>liquidity_data[[#This Row],[kf_d]]+liquidity_data[[#This Row],[cf_d]]</f>
        <v>1.2498066302582891E-10</v>
      </c>
      <c r="L539" s="5">
        <f>liquidity_data[[#This Row],[TOTAL_M]]-liquidity_data[[#This Row],[TOTAL_D]]</f>
        <v>12000.202809201341</v>
      </c>
      <c r="M539" s="6">
        <f>liquidity_data[[#This Row],[M-D]]/L538-1</f>
        <v>2.3966076194925634E-5</v>
      </c>
    </row>
    <row r="540" spans="1:13" x14ac:dyDescent="0.25">
      <c r="A540" s="7" t="s">
        <v>146</v>
      </c>
      <c r="B540">
        <v>539</v>
      </c>
      <c r="C540" s="5">
        <v>23002.360652346222</v>
      </c>
      <c r="D540" s="5">
        <v>13909.055473327637</v>
      </c>
      <c r="E540" s="5">
        <v>-1308.6698584193364</v>
      </c>
      <c r="F540" s="5">
        <v>0</v>
      </c>
      <c r="G540" s="5">
        <v>149700.85571289063</v>
      </c>
      <c r="H540" s="5">
        <v>1.1873163183965391E-10</v>
      </c>
      <c r="I540">
        <v>-173304</v>
      </c>
      <c r="J540" s="5">
        <f>liquidity_data[[#This Row],[w_m]]+liquidity_data[[#This Row],[c_m]]+liquidity_data[[#This Row],[cf_m]]+liquidity_data[[#This Row],[kf_m]]+liquidity_data[[#This Row],[equity]]</f>
        <v>11999.601980145148</v>
      </c>
      <c r="K540" s="5">
        <f>liquidity_data[[#This Row],[kf_d]]+liquidity_data[[#This Row],[cf_d]]</f>
        <v>1.1873163183965391E-10</v>
      </c>
      <c r="L540" s="5">
        <f>liquidity_data[[#This Row],[TOTAL_M]]-liquidity_data[[#This Row],[TOTAL_D]]</f>
        <v>11999.601980145029</v>
      </c>
      <c r="M540" s="6">
        <f>liquidity_data[[#This Row],[M-D]]/L539-1</f>
        <v>-5.006824183428904E-5</v>
      </c>
    </row>
    <row r="541" spans="1:13" x14ac:dyDescent="0.25">
      <c r="A541" s="7" t="s">
        <v>146</v>
      </c>
      <c r="B541">
        <v>540</v>
      </c>
      <c r="C541" s="5">
        <v>23066.121066391934</v>
      </c>
      <c r="D541" s="5">
        <v>14189.861351013184</v>
      </c>
      <c r="E541" s="5">
        <v>-1539.319315337576</v>
      </c>
      <c r="F541" s="5">
        <v>0</v>
      </c>
      <c r="G541" s="5">
        <v>151200.79296875</v>
      </c>
      <c r="H541" s="5">
        <v>1.1279504739079849E-10</v>
      </c>
      <c r="I541">
        <v>-174917</v>
      </c>
      <c r="J541" s="5">
        <f>liquidity_data[[#This Row],[w_m]]+liquidity_data[[#This Row],[c_m]]+liquidity_data[[#This Row],[cf_m]]+liquidity_data[[#This Row],[kf_m]]+liquidity_data[[#This Row],[equity]]</f>
        <v>12000.456070817541</v>
      </c>
      <c r="K541" s="5">
        <f>liquidity_data[[#This Row],[kf_d]]+liquidity_data[[#This Row],[cf_d]]</f>
        <v>1.1279504739079849E-10</v>
      </c>
      <c r="L541" s="5">
        <f>liquidity_data[[#This Row],[TOTAL_M]]-liquidity_data[[#This Row],[TOTAL_D]]</f>
        <v>12000.456070817429</v>
      </c>
      <c r="M541" s="6">
        <f>liquidity_data[[#This Row],[M-D]]/L540-1</f>
        <v>7.1176583507748248E-5</v>
      </c>
    </row>
    <row r="542" spans="1:13" x14ac:dyDescent="0.25">
      <c r="A542" s="7" t="s">
        <v>146</v>
      </c>
      <c r="B542">
        <v>541</v>
      </c>
      <c r="C542" s="5">
        <v>23125.014480360987</v>
      </c>
      <c r="D542" s="5">
        <v>14460.722053527832</v>
      </c>
      <c r="E542" s="5">
        <v>-1461.6173456078395</v>
      </c>
      <c r="F542" s="5">
        <v>0</v>
      </c>
      <c r="G542" s="5">
        <v>152619.27856445313</v>
      </c>
      <c r="H542" s="5">
        <v>1.0715529662587778E-10</v>
      </c>
      <c r="I542">
        <v>-176743</v>
      </c>
      <c r="J542" s="5">
        <f>liquidity_data[[#This Row],[w_m]]+liquidity_data[[#This Row],[c_m]]+liquidity_data[[#This Row],[cf_m]]+liquidity_data[[#This Row],[kf_m]]+liquidity_data[[#This Row],[equity]]</f>
        <v>12000.397752734105</v>
      </c>
      <c r="K542" s="5">
        <f>liquidity_data[[#This Row],[kf_d]]+liquidity_data[[#This Row],[cf_d]]</f>
        <v>1.0715529662587778E-10</v>
      </c>
      <c r="L542" s="5">
        <f>liquidity_data[[#This Row],[TOTAL_M]]-liquidity_data[[#This Row],[TOTAL_D]]</f>
        <v>12000.397752733998</v>
      </c>
      <c r="M542" s="6">
        <f>liquidity_data[[#This Row],[M-D]]/L541-1</f>
        <v>-4.8596555902724603E-6</v>
      </c>
    </row>
    <row r="543" spans="1:13" x14ac:dyDescent="0.25">
      <c r="A543" s="7" t="s">
        <v>146</v>
      </c>
      <c r="B543">
        <v>542</v>
      </c>
      <c r="C543" s="5">
        <v>23223.047487153759</v>
      </c>
      <c r="D543" s="5">
        <v>14661.909111022949</v>
      </c>
      <c r="E543" s="5">
        <v>-1323.9032669775188</v>
      </c>
      <c r="F543" s="5">
        <v>0</v>
      </c>
      <c r="G543" s="5">
        <v>153929.66162109375</v>
      </c>
      <c r="H543" s="5">
        <v>1.0179753372717426E-10</v>
      </c>
      <c r="I543">
        <v>-178491</v>
      </c>
      <c r="J543" s="5">
        <f>liquidity_data[[#This Row],[w_m]]+liquidity_data[[#This Row],[c_m]]+liquidity_data[[#This Row],[cf_m]]+liquidity_data[[#This Row],[kf_m]]+liquidity_data[[#This Row],[equity]]</f>
        <v>11999.714952292939</v>
      </c>
      <c r="K543" s="5">
        <f>liquidity_data[[#This Row],[kf_d]]+liquidity_data[[#This Row],[cf_d]]</f>
        <v>1.0179753372717426E-10</v>
      </c>
      <c r="L543" s="5">
        <f>liquidity_data[[#This Row],[TOTAL_M]]-liquidity_data[[#This Row],[TOTAL_D]]</f>
        <v>11999.714952292838</v>
      </c>
      <c r="M543" s="6">
        <f>liquidity_data[[#This Row],[M-D]]/L542-1</f>
        <v>-5.6898150813777804E-5</v>
      </c>
    </row>
    <row r="544" spans="1:13" x14ac:dyDescent="0.25">
      <c r="A544" s="7" t="s">
        <v>146</v>
      </c>
      <c r="B544">
        <v>543</v>
      </c>
      <c r="C544" s="5">
        <v>23315.629044337344</v>
      </c>
      <c r="D544" s="5">
        <v>14876.641273498535</v>
      </c>
      <c r="E544" s="5">
        <v>-1366.2606852753088</v>
      </c>
      <c r="F544" s="5">
        <v>0</v>
      </c>
      <c r="G544" s="5">
        <v>155292.11547851563</v>
      </c>
      <c r="H544" s="5">
        <v>9.6707654254415965E-11</v>
      </c>
      <c r="I544">
        <v>-180118</v>
      </c>
      <c r="J544" s="5">
        <f>liquidity_data[[#This Row],[w_m]]+liquidity_data[[#This Row],[c_m]]+liquidity_data[[#This Row],[cf_m]]+liquidity_data[[#This Row],[kf_m]]+liquidity_data[[#This Row],[equity]]</f>
        <v>12000.125111076195</v>
      </c>
      <c r="K544" s="5">
        <f>liquidity_data[[#This Row],[kf_d]]+liquidity_data[[#This Row],[cf_d]]</f>
        <v>9.6707654254415965E-11</v>
      </c>
      <c r="L544" s="5">
        <f>liquidity_data[[#This Row],[TOTAL_M]]-liquidity_data[[#This Row],[TOTAL_D]]</f>
        <v>12000.125111076099</v>
      </c>
      <c r="M544" s="6">
        <f>liquidity_data[[#This Row],[M-D]]/L543-1</f>
        <v>3.4180710532849545E-5</v>
      </c>
    </row>
    <row r="545" spans="1:13" x14ac:dyDescent="0.25">
      <c r="A545" s="7" t="s">
        <v>146</v>
      </c>
      <c r="B545">
        <v>544</v>
      </c>
      <c r="C545" s="5">
        <v>23361.131417631477</v>
      </c>
      <c r="D545" s="5">
        <v>15125.545570373535</v>
      </c>
      <c r="E545" s="5">
        <v>-1296.0149379624054</v>
      </c>
      <c r="F545" s="5">
        <v>0</v>
      </c>
      <c r="G545" s="5">
        <v>156604.31372070313</v>
      </c>
      <c r="H545" s="5">
        <v>9.1872271400748884E-11</v>
      </c>
      <c r="I545">
        <v>-181795</v>
      </c>
      <c r="J545" s="5">
        <f>liquidity_data[[#This Row],[w_m]]+liquidity_data[[#This Row],[c_m]]+liquidity_data[[#This Row],[cf_m]]+liquidity_data[[#This Row],[kf_m]]+liquidity_data[[#This Row],[equity]]</f>
        <v>11999.975770745717</v>
      </c>
      <c r="K545" s="5">
        <f>liquidity_data[[#This Row],[kf_d]]+liquidity_data[[#This Row],[cf_d]]</f>
        <v>9.1872271400748884E-11</v>
      </c>
      <c r="L545" s="5">
        <f>liquidity_data[[#This Row],[TOTAL_M]]-liquidity_data[[#This Row],[TOTAL_D]]</f>
        <v>11999.975770745625</v>
      </c>
      <c r="M545" s="6">
        <f>liquidity_data[[#This Row],[M-D]]/L544-1</f>
        <v>-1.2444897789953835E-5</v>
      </c>
    </row>
    <row r="546" spans="1:13" x14ac:dyDescent="0.25">
      <c r="A546" s="7" t="s">
        <v>146</v>
      </c>
      <c r="B546">
        <v>545</v>
      </c>
      <c r="C546" s="5">
        <v>23437.968357916179</v>
      </c>
      <c r="D546" s="5">
        <v>15402.790924072266</v>
      </c>
      <c r="E546" s="5">
        <v>-1583.1356418123469</v>
      </c>
      <c r="F546" s="5">
        <v>0</v>
      </c>
      <c r="G546" s="5">
        <v>158136.40234375</v>
      </c>
      <c r="H546" s="5">
        <v>8.7278658123446026E-11</v>
      </c>
      <c r="I546">
        <v>-183394</v>
      </c>
      <c r="J546" s="5">
        <f>liquidity_data[[#This Row],[w_m]]+liquidity_data[[#This Row],[c_m]]+liquidity_data[[#This Row],[cf_m]]+liquidity_data[[#This Row],[kf_m]]+liquidity_data[[#This Row],[equity]]</f>
        <v>12000.025983926083</v>
      </c>
      <c r="K546" s="5">
        <f>liquidity_data[[#This Row],[kf_d]]+liquidity_data[[#This Row],[cf_d]]</f>
        <v>8.7278658123446026E-11</v>
      </c>
      <c r="L546" s="5">
        <f>liquidity_data[[#This Row],[TOTAL_M]]-liquidity_data[[#This Row],[TOTAL_D]]</f>
        <v>12000.025983925996</v>
      </c>
      <c r="M546" s="6">
        <f>liquidity_data[[#This Row],[M-D]]/L545-1</f>
        <v>4.1844401463819736E-6</v>
      </c>
    </row>
    <row r="547" spans="1:13" x14ac:dyDescent="0.25">
      <c r="A547" s="7" t="s">
        <v>146</v>
      </c>
      <c r="B547">
        <v>546</v>
      </c>
      <c r="C547" s="5">
        <v>23509.564647018313</v>
      </c>
      <c r="D547" s="5">
        <v>15660.182846069336</v>
      </c>
      <c r="E547" s="5">
        <v>-1471.7386014340445</v>
      </c>
      <c r="F547" s="5">
        <v>0</v>
      </c>
      <c r="G547" s="5">
        <v>159568.90405273438</v>
      </c>
      <c r="H547" s="5">
        <v>8.2914725270128581E-11</v>
      </c>
      <c r="I547">
        <v>-185267</v>
      </c>
      <c r="J547" s="5">
        <f>liquidity_data[[#This Row],[w_m]]+liquidity_data[[#This Row],[c_m]]+liquidity_data[[#This Row],[cf_m]]+liquidity_data[[#This Row],[kf_m]]+liquidity_data[[#This Row],[equity]]</f>
        <v>11999.912944387994</v>
      </c>
      <c r="K547" s="5">
        <f>liquidity_data[[#This Row],[kf_d]]+liquidity_data[[#This Row],[cf_d]]</f>
        <v>8.2914725270128581E-11</v>
      </c>
      <c r="L547" s="5">
        <f>liquidity_data[[#This Row],[TOTAL_M]]-liquidity_data[[#This Row],[TOTAL_D]]</f>
        <v>11999.91294438791</v>
      </c>
      <c r="M547" s="6">
        <f>liquidity_data[[#This Row],[M-D]]/L546-1</f>
        <v>-9.4199411099227248E-6</v>
      </c>
    </row>
    <row r="548" spans="1:13" x14ac:dyDescent="0.25">
      <c r="A548" s="7" t="s">
        <v>146</v>
      </c>
      <c r="B548">
        <v>547</v>
      </c>
      <c r="C548" s="5">
        <v>23583.793167797558</v>
      </c>
      <c r="D548" s="5">
        <v>15914.498062133789</v>
      </c>
      <c r="E548" s="5">
        <v>-1481.2314201211557</v>
      </c>
      <c r="F548" s="5">
        <v>0</v>
      </c>
      <c r="G548" s="5">
        <v>161009.93139648438</v>
      </c>
      <c r="H548" s="5">
        <v>7.8768991627680904E-11</v>
      </c>
      <c r="I548">
        <v>-187027</v>
      </c>
      <c r="J548" s="5">
        <f>liquidity_data[[#This Row],[w_m]]+liquidity_data[[#This Row],[c_m]]+liquidity_data[[#This Row],[cf_m]]+liquidity_data[[#This Row],[kf_m]]+liquidity_data[[#This Row],[equity]]</f>
        <v>11999.991206294566</v>
      </c>
      <c r="K548" s="5">
        <f>liquidity_data[[#This Row],[kf_d]]+liquidity_data[[#This Row],[cf_d]]</f>
        <v>7.8768991627680904E-11</v>
      </c>
      <c r="L548" s="5">
        <f>liquidity_data[[#This Row],[TOTAL_M]]-liquidity_data[[#This Row],[TOTAL_D]]</f>
        <v>11999.991206294488</v>
      </c>
      <c r="M548" s="6">
        <f>liquidity_data[[#This Row],[M-D]]/L547-1</f>
        <v>6.5218728619864663E-6</v>
      </c>
    </row>
    <row r="549" spans="1:13" x14ac:dyDescent="0.25">
      <c r="A549" s="7" t="s">
        <v>146</v>
      </c>
      <c r="B549">
        <v>548</v>
      </c>
      <c r="C549" s="5">
        <v>23635.667497875664</v>
      </c>
      <c r="D549" s="5">
        <v>16196.049362182617</v>
      </c>
      <c r="E549" s="5">
        <v>-1511.5987175414339</v>
      </c>
      <c r="F549" s="5">
        <v>0</v>
      </c>
      <c r="G549" s="5">
        <v>162487.10693359375</v>
      </c>
      <c r="H549" s="5">
        <v>7.4830540852319216E-11</v>
      </c>
      <c r="I549">
        <v>-188807</v>
      </c>
      <c r="J549" s="5">
        <f>liquidity_data[[#This Row],[w_m]]+liquidity_data[[#This Row],[c_m]]+liquidity_data[[#This Row],[cf_m]]+liquidity_data[[#This Row],[kf_m]]+liquidity_data[[#This Row],[equity]]</f>
        <v>12000.225076110597</v>
      </c>
      <c r="K549" s="5">
        <f>liquidity_data[[#This Row],[kf_d]]+liquidity_data[[#This Row],[cf_d]]</f>
        <v>7.4830540852319216E-11</v>
      </c>
      <c r="L549" s="5">
        <f>liquidity_data[[#This Row],[TOTAL_M]]-liquidity_data[[#This Row],[TOTAL_D]]</f>
        <v>12000.225076110522</v>
      </c>
      <c r="M549" s="6">
        <f>liquidity_data[[#This Row],[M-D]]/L548-1</f>
        <v>1.9489165618002957E-5</v>
      </c>
    </row>
    <row r="550" spans="1:13" x14ac:dyDescent="0.25">
      <c r="A550" s="7" t="s">
        <v>146</v>
      </c>
      <c r="B550">
        <v>549</v>
      </c>
      <c r="C550" s="5">
        <v>23724.322961085243</v>
      </c>
      <c r="D550" s="5">
        <v>16343.572723388672</v>
      </c>
      <c r="E550" s="5">
        <v>-1040.1871877759695</v>
      </c>
      <c r="F550" s="5">
        <v>0</v>
      </c>
      <c r="G550" s="5">
        <v>163576.12817382813</v>
      </c>
      <c r="H550" s="5">
        <v>7.1089014422277483E-11</v>
      </c>
      <c r="I550">
        <v>-190604</v>
      </c>
      <c r="J550" s="5">
        <f>liquidity_data[[#This Row],[w_m]]+liquidity_data[[#This Row],[c_m]]+liquidity_data[[#This Row],[cf_m]]+liquidity_data[[#This Row],[kf_m]]+liquidity_data[[#This Row],[equity]]</f>
        <v>11999.836670526071</v>
      </c>
      <c r="K550" s="5">
        <f>liquidity_data[[#This Row],[kf_d]]+liquidity_data[[#This Row],[cf_d]]</f>
        <v>7.1089014422277483E-11</v>
      </c>
      <c r="L550" s="5">
        <f>liquidity_data[[#This Row],[TOTAL_M]]-liquidity_data[[#This Row],[TOTAL_D]]</f>
        <v>11999.836670526</v>
      </c>
      <c r="M550" s="6">
        <f>liquidity_data[[#This Row],[M-D]]/L549-1</f>
        <v>-3.2366524965965482E-5</v>
      </c>
    </row>
    <row r="551" spans="1:13" x14ac:dyDescent="0.25">
      <c r="A551" s="7" t="s">
        <v>146</v>
      </c>
      <c r="B551">
        <v>550</v>
      </c>
      <c r="C551" s="5">
        <v>23793.009583804174</v>
      </c>
      <c r="D551" s="5">
        <v>16551.539474487305</v>
      </c>
      <c r="E551" s="5">
        <v>-1232.009981703246</v>
      </c>
      <c r="F551" s="5">
        <v>0</v>
      </c>
      <c r="G551" s="5">
        <v>164842.07983398438</v>
      </c>
      <c r="H551" s="5">
        <v>6.7534564908693778E-11</v>
      </c>
      <c r="I551">
        <v>-191955</v>
      </c>
      <c r="J551" s="5">
        <f>liquidity_data[[#This Row],[w_m]]+liquidity_data[[#This Row],[c_m]]+liquidity_data[[#This Row],[cf_m]]+liquidity_data[[#This Row],[kf_m]]+liquidity_data[[#This Row],[equity]]</f>
        <v>11999.618910572608</v>
      </c>
      <c r="K551" s="5">
        <f>liquidity_data[[#This Row],[kf_d]]+liquidity_data[[#This Row],[cf_d]]</f>
        <v>6.7534564908693778E-11</v>
      </c>
      <c r="L551" s="5">
        <f>liquidity_data[[#This Row],[TOTAL_M]]-liquidity_data[[#This Row],[TOTAL_D]]</f>
        <v>11999.618910572541</v>
      </c>
      <c r="M551" s="6">
        <f>liquidity_data[[#This Row],[M-D]]/L550-1</f>
        <v>-1.8146909781968645E-5</v>
      </c>
    </row>
    <row r="552" spans="1:13" x14ac:dyDescent="0.25">
      <c r="A552" s="7" t="s">
        <v>146</v>
      </c>
      <c r="B552">
        <v>551</v>
      </c>
      <c r="C552" s="5">
        <v>23845.720044501533</v>
      </c>
      <c r="D552" s="5">
        <v>16755.731857299805</v>
      </c>
      <c r="E552" s="5">
        <v>-1130.9217201927677</v>
      </c>
      <c r="F552" s="5">
        <v>0</v>
      </c>
      <c r="G552" s="5">
        <v>166036.91333007813</v>
      </c>
      <c r="H552" s="5">
        <v>6.4157833613940479E-11</v>
      </c>
      <c r="I552">
        <v>-193507</v>
      </c>
      <c r="J552" s="5">
        <f>liquidity_data[[#This Row],[w_m]]+liquidity_data[[#This Row],[c_m]]+liquidity_data[[#This Row],[cf_m]]+liquidity_data[[#This Row],[kf_m]]+liquidity_data[[#This Row],[equity]]</f>
        <v>12000.443511686695</v>
      </c>
      <c r="K552" s="5">
        <f>liquidity_data[[#This Row],[kf_d]]+liquidity_data[[#This Row],[cf_d]]</f>
        <v>6.4157833613940479E-11</v>
      </c>
      <c r="L552" s="5">
        <f>liquidity_data[[#This Row],[TOTAL_M]]-liquidity_data[[#This Row],[TOTAL_D]]</f>
        <v>12000.443511686632</v>
      </c>
      <c r="M552" s="6">
        <f>liquidity_data[[#This Row],[M-D]]/L551-1</f>
        <v>6.8718941846013237E-5</v>
      </c>
    </row>
    <row r="553" spans="1:13" x14ac:dyDescent="0.25">
      <c r="A553" s="7" t="s">
        <v>146</v>
      </c>
      <c r="B553">
        <v>552</v>
      </c>
      <c r="C553" s="5">
        <v>23905.263744405675</v>
      </c>
      <c r="D553" s="5">
        <v>16905.695861816406</v>
      </c>
      <c r="E553" s="5">
        <v>-884.28661238681525</v>
      </c>
      <c r="F553" s="5">
        <v>0</v>
      </c>
      <c r="G553" s="5">
        <v>167044.80419921875</v>
      </c>
      <c r="H553" s="5">
        <v>6.0949942982209057E-11</v>
      </c>
      <c r="I553">
        <v>-194971</v>
      </c>
      <c r="J553" s="5">
        <f>liquidity_data[[#This Row],[w_m]]+liquidity_data[[#This Row],[c_m]]+liquidity_data[[#This Row],[cf_m]]+liquidity_data[[#This Row],[kf_m]]+liquidity_data[[#This Row],[equity]]</f>
        <v>12000.477193054016</v>
      </c>
      <c r="K553" s="5">
        <f>liquidity_data[[#This Row],[kf_d]]+liquidity_data[[#This Row],[cf_d]]</f>
        <v>6.0949942982209057E-11</v>
      </c>
      <c r="L553" s="5">
        <f>liquidity_data[[#This Row],[TOTAL_M]]-liquidity_data[[#This Row],[TOTAL_D]]</f>
        <v>12000.477193053954</v>
      </c>
      <c r="M553" s="6">
        <f>liquidity_data[[#This Row],[M-D]]/L552-1</f>
        <v>2.8066768773538087E-6</v>
      </c>
    </row>
    <row r="554" spans="1:13" x14ac:dyDescent="0.25">
      <c r="A554" s="7" t="s">
        <v>146</v>
      </c>
      <c r="B554">
        <v>553</v>
      </c>
      <c r="C554" s="5">
        <v>23926.88864170431</v>
      </c>
      <c r="D554" s="5">
        <v>17141.331756591797</v>
      </c>
      <c r="E554" s="5">
        <v>-1131.576981282793</v>
      </c>
      <c r="F554" s="5">
        <v>0</v>
      </c>
      <c r="G554" s="5">
        <v>168250.89306640625</v>
      </c>
      <c r="H554" s="5">
        <v>5.7902447024365741E-11</v>
      </c>
      <c r="I554">
        <v>-196188</v>
      </c>
      <c r="J554" s="5">
        <f>liquidity_data[[#This Row],[w_m]]+liquidity_data[[#This Row],[c_m]]+liquidity_data[[#This Row],[cf_m]]+liquidity_data[[#This Row],[kf_m]]+liquidity_data[[#This Row],[equity]]</f>
        <v>11999.536483419564</v>
      </c>
      <c r="K554" s="5">
        <f>liquidity_data[[#This Row],[kf_d]]+liquidity_data[[#This Row],[cf_d]]</f>
        <v>5.7902447024365741E-11</v>
      </c>
      <c r="L554" s="5">
        <f>liquidity_data[[#This Row],[TOTAL_M]]-liquidity_data[[#This Row],[TOTAL_D]]</f>
        <v>11999.536483419506</v>
      </c>
      <c r="M554" s="6">
        <f>liquidity_data[[#This Row],[M-D]]/L553-1</f>
        <v>-7.8389352299423898E-5</v>
      </c>
    </row>
    <row r="555" spans="1:13" x14ac:dyDescent="0.25">
      <c r="A555" s="7" t="s">
        <v>146</v>
      </c>
      <c r="B555">
        <v>554</v>
      </c>
      <c r="C555" s="5">
        <v>23981.897552234244</v>
      </c>
      <c r="D555" s="5">
        <v>17324.818069458008</v>
      </c>
      <c r="E555" s="5">
        <v>-1014.8797955522314</v>
      </c>
      <c r="F555" s="5">
        <v>0</v>
      </c>
      <c r="G555" s="5">
        <v>169351.89086914063</v>
      </c>
      <c r="H555" s="5">
        <v>5.5007323511695877E-11</v>
      </c>
      <c r="I555">
        <v>-197644</v>
      </c>
      <c r="J555" s="5">
        <f>liquidity_data[[#This Row],[w_m]]+liquidity_data[[#This Row],[c_m]]+liquidity_data[[#This Row],[cf_m]]+liquidity_data[[#This Row],[kf_m]]+liquidity_data[[#This Row],[equity]]</f>
        <v>11999.726695280639</v>
      </c>
      <c r="K555" s="5">
        <f>liquidity_data[[#This Row],[kf_d]]+liquidity_data[[#This Row],[cf_d]]</f>
        <v>5.5007323511695877E-11</v>
      </c>
      <c r="L555" s="5">
        <f>liquidity_data[[#This Row],[TOTAL_M]]-liquidity_data[[#This Row],[TOTAL_D]]</f>
        <v>11999.726695280584</v>
      </c>
      <c r="M555" s="6">
        <f>liquidity_data[[#This Row],[M-D]]/L554-1</f>
        <v>1.5851600713157055E-5</v>
      </c>
    </row>
    <row r="556" spans="1:13" x14ac:dyDescent="0.25">
      <c r="A556" s="7" t="s">
        <v>146</v>
      </c>
      <c r="B556">
        <v>555</v>
      </c>
      <c r="C556" s="5">
        <v>24050.016611092095</v>
      </c>
      <c r="D556" s="5">
        <v>17593.84602355957</v>
      </c>
      <c r="E556" s="5">
        <v>-1492.7059795660898</v>
      </c>
      <c r="F556" s="5">
        <v>0</v>
      </c>
      <c r="G556" s="5">
        <v>170841.65307617188</v>
      </c>
      <c r="H556" s="5">
        <v>5.2256956574459057E-11</v>
      </c>
      <c r="I556">
        <v>-198993</v>
      </c>
      <c r="J556" s="5">
        <f>liquidity_data[[#This Row],[w_m]]+liquidity_data[[#This Row],[c_m]]+liquidity_data[[#This Row],[cf_m]]+liquidity_data[[#This Row],[kf_m]]+liquidity_data[[#This Row],[equity]]</f>
        <v>11999.809731257439</v>
      </c>
      <c r="K556" s="5">
        <f>liquidity_data[[#This Row],[kf_d]]+liquidity_data[[#This Row],[cf_d]]</f>
        <v>5.2256956574459057E-11</v>
      </c>
      <c r="L556" s="5">
        <f>liquidity_data[[#This Row],[TOTAL_M]]-liquidity_data[[#This Row],[TOTAL_D]]</f>
        <v>11999.809731257386</v>
      </c>
      <c r="M556" s="6">
        <f>liquidity_data[[#This Row],[M-D]]/L555-1</f>
        <v>6.9198223351385479E-6</v>
      </c>
    </row>
    <row r="557" spans="1:13" x14ac:dyDescent="0.25">
      <c r="A557" s="7" t="s">
        <v>146</v>
      </c>
      <c r="B557">
        <v>556</v>
      </c>
      <c r="C557" s="5">
        <v>24117.914838281937</v>
      </c>
      <c r="D557" s="5">
        <v>17835.154327392578</v>
      </c>
      <c r="E557" s="5">
        <v>-1355.3726249663159</v>
      </c>
      <c r="F557" s="5">
        <v>0</v>
      </c>
      <c r="G557" s="5">
        <v>172232.90600585938</v>
      </c>
      <c r="H557" s="5">
        <v>4.9644108810788234E-11</v>
      </c>
      <c r="I557">
        <v>-200831</v>
      </c>
      <c r="J557" s="5">
        <f>liquidity_data[[#This Row],[w_m]]+liquidity_data[[#This Row],[c_m]]+liquidity_data[[#This Row],[cf_m]]+liquidity_data[[#This Row],[kf_m]]+liquidity_data[[#This Row],[equity]]</f>
        <v>11999.602546567563</v>
      </c>
      <c r="K557" s="5">
        <f>liquidity_data[[#This Row],[kf_d]]+liquidity_data[[#This Row],[cf_d]]</f>
        <v>4.9644108810788234E-11</v>
      </c>
      <c r="L557" s="5">
        <f>liquidity_data[[#This Row],[TOTAL_M]]-liquidity_data[[#This Row],[TOTAL_D]]</f>
        <v>11999.602546567514</v>
      </c>
      <c r="M557" s="6">
        <f>liquidity_data[[#This Row],[M-D]]/L556-1</f>
        <v>-1.726566458237766E-5</v>
      </c>
    </row>
    <row r="558" spans="1:13" x14ac:dyDescent="0.25">
      <c r="A558" s="7" t="s">
        <v>146</v>
      </c>
      <c r="B558">
        <v>557</v>
      </c>
      <c r="C558" s="5">
        <v>24178.593954460561</v>
      </c>
      <c r="D558" s="5">
        <v>18038.637832641602</v>
      </c>
      <c r="E558" s="5">
        <v>-1100.1233223443851</v>
      </c>
      <c r="F558" s="5">
        <v>0</v>
      </c>
      <c r="G558" s="5">
        <v>173434.12670898438</v>
      </c>
      <c r="H558" s="5">
        <v>4.7161904318925724E-11</v>
      </c>
      <c r="I558">
        <v>-202551</v>
      </c>
      <c r="J558" s="5">
        <f>liquidity_data[[#This Row],[w_m]]+liquidity_data[[#This Row],[c_m]]+liquidity_data[[#This Row],[cf_m]]+liquidity_data[[#This Row],[kf_m]]+liquidity_data[[#This Row],[equity]]</f>
        <v>12000.23517374217</v>
      </c>
      <c r="K558" s="5">
        <f>liquidity_data[[#This Row],[kf_d]]+liquidity_data[[#This Row],[cf_d]]</f>
        <v>4.7161904318925724E-11</v>
      </c>
      <c r="L558" s="5">
        <f>liquidity_data[[#This Row],[TOTAL_M]]-liquidity_data[[#This Row],[TOTAL_D]]</f>
        <v>12000.235173742123</v>
      </c>
      <c r="M558" s="6">
        <f>liquidity_data[[#This Row],[M-D]]/L557-1</f>
        <v>5.2720677385265091E-5</v>
      </c>
    </row>
    <row r="559" spans="1:13" x14ac:dyDescent="0.25">
      <c r="A559" s="7" t="s">
        <v>146</v>
      </c>
      <c r="B559">
        <v>558</v>
      </c>
      <c r="C559" s="5">
        <v>24265.048705517271</v>
      </c>
      <c r="D559" s="5">
        <v>18301.973587036133</v>
      </c>
      <c r="E559" s="5">
        <v>-1535.2071705088019</v>
      </c>
      <c r="F559" s="5">
        <v>0</v>
      </c>
      <c r="G559" s="5">
        <v>174992.03393554688</v>
      </c>
      <c r="H559" s="5">
        <v>4.4803808991848715E-11</v>
      </c>
      <c r="I559">
        <v>-204024</v>
      </c>
      <c r="J559" s="5">
        <f>liquidity_data[[#This Row],[w_m]]+liquidity_data[[#This Row],[c_m]]+liquidity_data[[#This Row],[cf_m]]+liquidity_data[[#This Row],[kf_m]]+liquidity_data[[#This Row],[equity]]</f>
        <v>11999.849057591462</v>
      </c>
      <c r="K559" s="5">
        <f>liquidity_data[[#This Row],[kf_d]]+liquidity_data[[#This Row],[cf_d]]</f>
        <v>4.4803808991848715E-11</v>
      </c>
      <c r="L559" s="5">
        <f>liquidity_data[[#This Row],[TOTAL_M]]-liquidity_data[[#This Row],[TOTAL_D]]</f>
        <v>11999.849057591417</v>
      </c>
      <c r="M559" s="6">
        <f>liquidity_data[[#This Row],[M-D]]/L558-1</f>
        <v>-3.2175715318549791E-5</v>
      </c>
    </row>
    <row r="560" spans="1:13" x14ac:dyDescent="0.25">
      <c r="A560" s="7" t="s">
        <v>146</v>
      </c>
      <c r="B560">
        <v>559</v>
      </c>
      <c r="C560" s="5">
        <v>24295.069651711048</v>
      </c>
      <c r="D560" s="5">
        <v>18586.288162231445</v>
      </c>
      <c r="E560" s="5">
        <v>-1342.6832451615483</v>
      </c>
      <c r="F560" s="5">
        <v>0</v>
      </c>
      <c r="G560" s="5">
        <v>176397.14331054688</v>
      </c>
      <c r="H560" s="5">
        <v>4.2563618319994834E-11</v>
      </c>
      <c r="I560">
        <v>-205936</v>
      </c>
      <c r="J560" s="5">
        <f>liquidity_data[[#This Row],[w_m]]+liquidity_data[[#This Row],[c_m]]+liquidity_data[[#This Row],[cf_m]]+liquidity_data[[#This Row],[kf_m]]+liquidity_data[[#This Row],[equity]]</f>
        <v>11999.817879327806</v>
      </c>
      <c r="K560" s="5">
        <f>liquidity_data[[#This Row],[kf_d]]+liquidity_data[[#This Row],[cf_d]]</f>
        <v>4.2563618319994834E-11</v>
      </c>
      <c r="L560" s="5">
        <f>liquidity_data[[#This Row],[TOTAL_M]]-liquidity_data[[#This Row],[TOTAL_D]]</f>
        <v>11999.817879327764</v>
      </c>
      <c r="M560" s="6">
        <f>liquidity_data[[#This Row],[M-D]]/L559-1</f>
        <v>-2.5982213195385739E-6</v>
      </c>
    </row>
    <row r="561" spans="1:13" x14ac:dyDescent="0.25">
      <c r="A561" s="7" t="s">
        <v>146</v>
      </c>
      <c r="B561">
        <v>560</v>
      </c>
      <c r="C561" s="5">
        <v>24394.830056205574</v>
      </c>
      <c r="D561" s="5">
        <v>18787.119262695313</v>
      </c>
      <c r="E561" s="5">
        <v>-1279.1227585196029</v>
      </c>
      <c r="F561" s="5">
        <v>0</v>
      </c>
      <c r="G561" s="5">
        <v>177748.81958007813</v>
      </c>
      <c r="H561" s="5">
        <v>4.0435436601685484E-11</v>
      </c>
      <c r="I561">
        <v>-207652</v>
      </c>
      <c r="J561" s="5">
        <f>liquidity_data[[#This Row],[w_m]]+liquidity_data[[#This Row],[c_m]]+liquidity_data[[#This Row],[cf_m]]+liquidity_data[[#This Row],[kf_m]]+liquidity_data[[#This Row],[equity]]</f>
        <v>11999.646140459401</v>
      </c>
      <c r="K561" s="5">
        <f>liquidity_data[[#This Row],[kf_d]]+liquidity_data[[#This Row],[cf_d]]</f>
        <v>4.0435436601685484E-11</v>
      </c>
      <c r="L561" s="5">
        <f>liquidity_data[[#This Row],[TOTAL_M]]-liquidity_data[[#This Row],[TOTAL_D]]</f>
        <v>11999.646140459361</v>
      </c>
      <c r="M561" s="6">
        <f>liquidity_data[[#This Row],[M-D]]/L560-1</f>
        <v>-1.4311789573007161E-5</v>
      </c>
    </row>
    <row r="562" spans="1:13" x14ac:dyDescent="0.25">
      <c r="A562" s="7" t="s">
        <v>146</v>
      </c>
      <c r="B562">
        <v>561</v>
      </c>
      <c r="C562" s="5">
        <v>24459.17329428692</v>
      </c>
      <c r="D562" s="5">
        <v>19045.435806274414</v>
      </c>
      <c r="E562" s="5">
        <v>-1374.5683877514675</v>
      </c>
      <c r="F562" s="5">
        <v>0</v>
      </c>
      <c r="G562" s="5">
        <v>179181.92895507813</v>
      </c>
      <c r="H562" s="5">
        <v>3.8413666629652683E-11</v>
      </c>
      <c r="I562">
        <v>-209312</v>
      </c>
      <c r="J562" s="5">
        <f>liquidity_data[[#This Row],[w_m]]+liquidity_data[[#This Row],[c_m]]+liquidity_data[[#This Row],[cf_m]]+liquidity_data[[#This Row],[kf_m]]+liquidity_data[[#This Row],[equity]]</f>
        <v>11999.969667887985</v>
      </c>
      <c r="K562" s="5">
        <f>liquidity_data[[#This Row],[kf_d]]+liquidity_data[[#This Row],[cf_d]]</f>
        <v>3.8413666629652683E-11</v>
      </c>
      <c r="L562" s="5">
        <f>liquidity_data[[#This Row],[TOTAL_M]]-liquidity_data[[#This Row],[TOTAL_D]]</f>
        <v>11999.969667887946</v>
      </c>
      <c r="M562" s="6">
        <f>liquidity_data[[#This Row],[M-D]]/L561-1</f>
        <v>2.6961414094861524E-5</v>
      </c>
    </row>
    <row r="563" spans="1:13" x14ac:dyDescent="0.25">
      <c r="A563" s="7" t="s">
        <v>146</v>
      </c>
      <c r="B563">
        <v>562</v>
      </c>
      <c r="C563" s="5">
        <v>24554.518824864303</v>
      </c>
      <c r="D563" s="5">
        <v>19205.294326782227</v>
      </c>
      <c r="E563" s="5">
        <v>-1042.0644189231098</v>
      </c>
      <c r="F563" s="5">
        <v>0</v>
      </c>
      <c r="G563" s="5">
        <v>180361.63647460938</v>
      </c>
      <c r="H563" s="5">
        <v>3.6492982409801894E-11</v>
      </c>
      <c r="I563">
        <v>-211079</v>
      </c>
      <c r="J563" s="5">
        <f>liquidity_data[[#This Row],[w_m]]+liquidity_data[[#This Row],[c_m]]+liquidity_data[[#This Row],[cf_m]]+liquidity_data[[#This Row],[kf_m]]+liquidity_data[[#This Row],[equity]]</f>
        <v>12000.385207332787</v>
      </c>
      <c r="K563" s="5">
        <f>liquidity_data[[#This Row],[kf_d]]+liquidity_data[[#This Row],[cf_d]]</f>
        <v>3.6492982409801894E-11</v>
      </c>
      <c r="L563" s="5">
        <f>liquidity_data[[#This Row],[TOTAL_M]]-liquidity_data[[#This Row],[TOTAL_D]]</f>
        <v>12000.385207332751</v>
      </c>
      <c r="M563" s="6">
        <f>liquidity_data[[#This Row],[M-D]]/L562-1</f>
        <v>3.4628374596445965E-5</v>
      </c>
    </row>
    <row r="564" spans="1:13" x14ac:dyDescent="0.25">
      <c r="A564" s="7" t="s">
        <v>146</v>
      </c>
      <c r="B564">
        <v>563</v>
      </c>
      <c r="C564" s="5">
        <v>24611.65512395648</v>
      </c>
      <c r="D564" s="5">
        <v>19537.789474487305</v>
      </c>
      <c r="E564" s="5">
        <v>-1676.7542275178712</v>
      </c>
      <c r="F564" s="5">
        <v>0</v>
      </c>
      <c r="G564" s="5">
        <v>182044.43701171875</v>
      </c>
      <c r="H564" s="5">
        <v>3.4668333050787321E-11</v>
      </c>
      <c r="I564">
        <v>-212517</v>
      </c>
      <c r="J564" s="5">
        <f>liquidity_data[[#This Row],[w_m]]+liquidity_data[[#This Row],[c_m]]+liquidity_data[[#This Row],[cf_m]]+liquidity_data[[#This Row],[kf_m]]+liquidity_data[[#This Row],[equity]]</f>
        <v>12000.127382644656</v>
      </c>
      <c r="K564" s="5">
        <f>liquidity_data[[#This Row],[kf_d]]+liquidity_data[[#This Row],[cf_d]]</f>
        <v>3.4668333050787321E-11</v>
      </c>
      <c r="L564" s="5">
        <f>liquidity_data[[#This Row],[TOTAL_M]]-liquidity_data[[#This Row],[TOTAL_D]]</f>
        <v>12000.127382644621</v>
      </c>
      <c r="M564" s="6">
        <f>liquidity_data[[#This Row],[M-D]]/L563-1</f>
        <v>-2.1484701005380913E-5</v>
      </c>
    </row>
    <row r="565" spans="1:13" x14ac:dyDescent="0.25">
      <c r="A565" s="7" t="s">
        <v>146</v>
      </c>
      <c r="B565">
        <v>564</v>
      </c>
      <c r="C565" s="5">
        <v>24660.872455278928</v>
      </c>
      <c r="D565" s="5">
        <v>19860.171966552734</v>
      </c>
      <c r="E565" s="5">
        <v>-1621.5073111439124</v>
      </c>
      <c r="F565" s="5">
        <v>0</v>
      </c>
      <c r="G565" s="5">
        <v>183692.8173828125</v>
      </c>
      <c r="H565" s="5">
        <v>3.2934916580529446E-11</v>
      </c>
      <c r="I565">
        <v>-214592</v>
      </c>
      <c r="J565" s="5">
        <f>liquidity_data[[#This Row],[w_m]]+liquidity_data[[#This Row],[c_m]]+liquidity_data[[#This Row],[cf_m]]+liquidity_data[[#This Row],[kf_m]]+liquidity_data[[#This Row],[equity]]</f>
        <v>12000.354493500257</v>
      </c>
      <c r="K565" s="5">
        <f>liquidity_data[[#This Row],[kf_d]]+liquidity_data[[#This Row],[cf_d]]</f>
        <v>3.2934916580529446E-11</v>
      </c>
      <c r="L565" s="5">
        <f>liquidity_data[[#This Row],[TOTAL_M]]-liquidity_data[[#This Row],[TOTAL_D]]</f>
        <v>12000.354493500225</v>
      </c>
      <c r="M565" s="6">
        <f>liquidity_data[[#This Row],[M-D]]/L564-1</f>
        <v>1.8925703733074783E-5</v>
      </c>
    </row>
    <row r="566" spans="1:13" x14ac:dyDescent="0.25">
      <c r="A566" s="7" t="s">
        <v>146</v>
      </c>
      <c r="B566">
        <v>565</v>
      </c>
      <c r="C566" s="5">
        <v>24778.624238976561</v>
      </c>
      <c r="D566" s="5">
        <v>20091.704452514648</v>
      </c>
      <c r="E566" s="5">
        <v>-1524.7787271651905</v>
      </c>
      <c r="F566" s="5">
        <v>0</v>
      </c>
      <c r="G566" s="5">
        <v>185253.74487304688</v>
      </c>
      <c r="H566" s="5">
        <v>3.1288171001547099E-11</v>
      </c>
      <c r="I566">
        <v>-216599</v>
      </c>
      <c r="J566" s="5">
        <f>liquidity_data[[#This Row],[w_m]]+liquidity_data[[#This Row],[c_m]]+liquidity_data[[#This Row],[cf_m]]+liquidity_data[[#This Row],[kf_m]]+liquidity_data[[#This Row],[equity]]</f>
        <v>12000.294837372901</v>
      </c>
      <c r="K566" s="5">
        <f>liquidity_data[[#This Row],[kf_d]]+liquidity_data[[#This Row],[cf_d]]</f>
        <v>3.1288171001547099E-11</v>
      </c>
      <c r="L566" s="5">
        <f>liquidity_data[[#This Row],[TOTAL_M]]-liquidity_data[[#This Row],[TOTAL_D]]</f>
        <v>12000.29483737287</v>
      </c>
      <c r="M566" s="6">
        <f>liquidity_data[[#This Row],[M-D]]/L565-1</f>
        <v>-4.9711970914190218E-6</v>
      </c>
    </row>
    <row r="567" spans="1:13" x14ac:dyDescent="0.25">
      <c r="A567" s="7" t="s">
        <v>146</v>
      </c>
      <c r="B567">
        <v>566</v>
      </c>
      <c r="C567" s="5">
        <v>24831.231116557312</v>
      </c>
      <c r="D567" s="5">
        <v>20392.135864257813</v>
      </c>
      <c r="E567" s="5">
        <v>-1535.9476468628272</v>
      </c>
      <c r="F567" s="5">
        <v>0</v>
      </c>
      <c r="G567" s="5">
        <v>186813.16357421875</v>
      </c>
      <c r="H567" s="5">
        <v>2.9723761727764794E-11</v>
      </c>
      <c r="I567">
        <v>-218501</v>
      </c>
      <c r="J567" s="5">
        <f>liquidity_data[[#This Row],[w_m]]+liquidity_data[[#This Row],[c_m]]+liquidity_data[[#This Row],[cf_m]]+liquidity_data[[#This Row],[kf_m]]+liquidity_data[[#This Row],[equity]]</f>
        <v>11999.582908171054</v>
      </c>
      <c r="K567" s="5">
        <f>liquidity_data[[#This Row],[kf_d]]+liquidity_data[[#This Row],[cf_d]]</f>
        <v>2.9723761727764794E-11</v>
      </c>
      <c r="L567" s="5">
        <f>liquidity_data[[#This Row],[TOTAL_M]]-liquidity_data[[#This Row],[TOTAL_D]]</f>
        <v>11999.582908171025</v>
      </c>
      <c r="M567" s="6">
        <f>liquidity_data[[#This Row],[M-D]]/L566-1</f>
        <v>-5.9325975860891056E-5</v>
      </c>
    </row>
    <row r="568" spans="1:13" x14ac:dyDescent="0.25">
      <c r="A568" s="7" t="s">
        <v>146</v>
      </c>
      <c r="B568">
        <v>567</v>
      </c>
      <c r="C568" s="5">
        <v>24886.771379660306</v>
      </c>
      <c r="D568" s="5">
        <v>20698.329025268555</v>
      </c>
      <c r="E568" s="5">
        <v>-1609.039580126293</v>
      </c>
      <c r="F568" s="5">
        <v>0</v>
      </c>
      <c r="G568" s="5">
        <v>188412.14672851563</v>
      </c>
      <c r="H568" s="5">
        <v>2.8237574510093545E-11</v>
      </c>
      <c r="I568">
        <v>-220388</v>
      </c>
      <c r="J568" s="5">
        <f>liquidity_data[[#This Row],[w_m]]+liquidity_data[[#This Row],[c_m]]+liquidity_data[[#This Row],[cf_m]]+liquidity_data[[#This Row],[kf_m]]+liquidity_data[[#This Row],[equity]]</f>
        <v>12000.207553318178</v>
      </c>
      <c r="K568" s="5">
        <f>liquidity_data[[#This Row],[kf_d]]+liquidity_data[[#This Row],[cf_d]]</f>
        <v>2.8237574510093545E-11</v>
      </c>
      <c r="L568" s="5">
        <f>liquidity_data[[#This Row],[TOTAL_M]]-liquidity_data[[#This Row],[TOTAL_D]]</f>
        <v>12000.207553318149</v>
      </c>
      <c r="M568" s="6">
        <f>liquidity_data[[#This Row],[M-D]]/L567-1</f>
        <v>5.2055571589715299E-5</v>
      </c>
    </row>
    <row r="569" spans="1:13" x14ac:dyDescent="0.25">
      <c r="A569" s="7" t="s">
        <v>146</v>
      </c>
      <c r="B569">
        <v>568</v>
      </c>
      <c r="C569" s="5">
        <v>24937.939289620728</v>
      </c>
      <c r="D569" s="5">
        <v>21023.102005004883</v>
      </c>
      <c r="E569" s="5">
        <v>-1681.0505371047184</v>
      </c>
      <c r="F569" s="5">
        <v>0</v>
      </c>
      <c r="G569" s="5">
        <v>190063.61254882813</v>
      </c>
      <c r="H569" s="5">
        <v>2.6825695541321005E-11</v>
      </c>
      <c r="I569">
        <v>-222344</v>
      </c>
      <c r="J569" s="5">
        <f>liquidity_data[[#This Row],[w_m]]+liquidity_data[[#This Row],[c_m]]+liquidity_data[[#This Row],[cf_m]]+liquidity_data[[#This Row],[kf_m]]+liquidity_data[[#This Row],[equity]]</f>
        <v>11999.603306349018</v>
      </c>
      <c r="K569" s="5">
        <f>liquidity_data[[#This Row],[kf_d]]+liquidity_data[[#This Row],[cf_d]]</f>
        <v>2.6825695541321005E-11</v>
      </c>
      <c r="L569" s="5">
        <f>liquidity_data[[#This Row],[TOTAL_M]]-liquidity_data[[#This Row],[TOTAL_D]]</f>
        <v>11999.60330634899</v>
      </c>
      <c r="M569" s="6">
        <f>liquidity_data[[#This Row],[M-D]]/L568-1</f>
        <v>-5.0353043184792057E-5</v>
      </c>
    </row>
    <row r="570" spans="1:13" x14ac:dyDescent="0.25">
      <c r="A570" s="7" t="s">
        <v>146</v>
      </c>
      <c r="B570">
        <v>569</v>
      </c>
      <c r="C570" s="5">
        <v>24965.094070224113</v>
      </c>
      <c r="D570" s="5">
        <v>21382.456192016602</v>
      </c>
      <c r="E570" s="5">
        <v>-1747.6992752291262</v>
      </c>
      <c r="F570" s="5">
        <v>0</v>
      </c>
      <c r="G570" s="5">
        <v>191772.50512695313</v>
      </c>
      <c r="H570" s="5">
        <v>2.5484410642959837E-11</v>
      </c>
      <c r="I570">
        <v>-224372</v>
      </c>
      <c r="J570" s="5">
        <f>liquidity_data[[#This Row],[w_m]]+liquidity_data[[#This Row],[c_m]]+liquidity_data[[#This Row],[cf_m]]+liquidity_data[[#This Row],[kf_m]]+liquidity_data[[#This Row],[equity]]</f>
        <v>12000.356113964721</v>
      </c>
      <c r="K570" s="5">
        <f>liquidity_data[[#This Row],[kf_d]]+liquidity_data[[#This Row],[cf_d]]</f>
        <v>2.5484410642959837E-11</v>
      </c>
      <c r="L570" s="5">
        <f>liquidity_data[[#This Row],[TOTAL_M]]-liquidity_data[[#This Row],[TOTAL_D]]</f>
        <v>12000.356113964695</v>
      </c>
      <c r="M570" s="6">
        <f>liquidity_data[[#This Row],[M-D]]/L569-1</f>
        <v>6.2736041891220395E-5</v>
      </c>
    </row>
    <row r="571" spans="1:13" x14ac:dyDescent="0.25">
      <c r="A571" s="7" t="s">
        <v>146</v>
      </c>
      <c r="B571">
        <v>570</v>
      </c>
      <c r="C571" s="5">
        <v>25081.689486172159</v>
      </c>
      <c r="D571" s="5">
        <v>21600.678604125977</v>
      </c>
      <c r="E571" s="5">
        <v>-1501.1402140781283</v>
      </c>
      <c r="F571" s="5">
        <v>0</v>
      </c>
      <c r="G571" s="5">
        <v>193260.79833984375</v>
      </c>
      <c r="H571" s="5">
        <v>2.4210190208390041E-11</v>
      </c>
      <c r="I571">
        <v>-226442</v>
      </c>
      <c r="J571" s="5">
        <f>liquidity_data[[#This Row],[w_m]]+liquidity_data[[#This Row],[c_m]]+liquidity_data[[#This Row],[cf_m]]+liquidity_data[[#This Row],[kf_m]]+liquidity_data[[#This Row],[equity]]</f>
        <v>12000.026216063765</v>
      </c>
      <c r="K571" s="5">
        <f>liquidity_data[[#This Row],[kf_d]]+liquidity_data[[#This Row],[cf_d]]</f>
        <v>2.4210190208390041E-11</v>
      </c>
      <c r="L571" s="5">
        <f>liquidity_data[[#This Row],[TOTAL_M]]-liquidity_data[[#This Row],[TOTAL_D]]</f>
        <v>12000.026216063741</v>
      </c>
      <c r="M571" s="6">
        <f>liquidity_data[[#This Row],[M-D]]/L570-1</f>
        <v>-2.7490675928332209E-5</v>
      </c>
    </row>
    <row r="572" spans="1:13" x14ac:dyDescent="0.25">
      <c r="A572" s="7" t="s">
        <v>146</v>
      </c>
      <c r="B572">
        <v>571</v>
      </c>
      <c r="C572" s="5">
        <v>25158.808085142686</v>
      </c>
      <c r="D572" s="5">
        <v>21860.238815307617</v>
      </c>
      <c r="E572" s="5">
        <v>-1503.0749880857766</v>
      </c>
      <c r="F572" s="5">
        <v>0</v>
      </c>
      <c r="G572" s="5">
        <v>194755.82177734375</v>
      </c>
      <c r="H572" s="5">
        <v>2.2999680868054755E-11</v>
      </c>
      <c r="I572">
        <v>-228272</v>
      </c>
      <c r="J572" s="5">
        <f>liquidity_data[[#This Row],[w_m]]+liquidity_data[[#This Row],[c_m]]+liquidity_data[[#This Row],[cf_m]]+liquidity_data[[#This Row],[kf_m]]+liquidity_data[[#This Row],[equity]]</f>
        <v>11999.793689708284</v>
      </c>
      <c r="K572" s="5">
        <f>liquidity_data[[#This Row],[kf_d]]+liquidity_data[[#This Row],[cf_d]]</f>
        <v>2.2999680868054755E-11</v>
      </c>
      <c r="L572" s="5">
        <f>liquidity_data[[#This Row],[TOTAL_M]]-liquidity_data[[#This Row],[TOTAL_D]]</f>
        <v>11999.79368970826</v>
      </c>
      <c r="M572" s="6">
        <f>liquidity_data[[#This Row],[M-D]]/L571-1</f>
        <v>-1.9377153957389481E-5</v>
      </c>
    </row>
    <row r="573" spans="1:13" x14ac:dyDescent="0.25">
      <c r="A573" s="7" t="s">
        <v>146</v>
      </c>
      <c r="B573">
        <v>572</v>
      </c>
      <c r="C573" s="5">
        <v>25205.015439325038</v>
      </c>
      <c r="D573" s="5">
        <v>22183.589004516602</v>
      </c>
      <c r="E573" s="5">
        <v>-1701.1047897366807</v>
      </c>
      <c r="F573" s="5">
        <v>0</v>
      </c>
      <c r="G573" s="5">
        <v>196418.7333984375</v>
      </c>
      <c r="H573" s="5">
        <v>2.1849696388938269E-11</v>
      </c>
      <c r="I573">
        <v>-230106</v>
      </c>
      <c r="J573" s="5">
        <f>liquidity_data[[#This Row],[w_m]]+liquidity_data[[#This Row],[c_m]]+liquidity_data[[#This Row],[cf_m]]+liquidity_data[[#This Row],[kf_m]]+liquidity_data[[#This Row],[equity]]</f>
        <v>12000.233052542462</v>
      </c>
      <c r="K573" s="5">
        <f>liquidity_data[[#This Row],[kf_d]]+liquidity_data[[#This Row],[cf_d]]</f>
        <v>2.1849696388938269E-11</v>
      </c>
      <c r="L573" s="5">
        <f>liquidity_data[[#This Row],[TOTAL_M]]-liquidity_data[[#This Row],[TOTAL_D]]</f>
        <v>12000.23305254244</v>
      </c>
      <c r="M573" s="6">
        <f>liquidity_data[[#This Row],[M-D]]/L572-1</f>
        <v>3.6614199005580161E-5</v>
      </c>
    </row>
    <row r="574" spans="1:13" x14ac:dyDescent="0.25">
      <c r="A574" s="7" t="s">
        <v>146</v>
      </c>
      <c r="B574">
        <v>573</v>
      </c>
      <c r="C574" s="5">
        <v>25228.79320558214</v>
      </c>
      <c r="D574" s="5">
        <v>22493.976531982422</v>
      </c>
      <c r="E574" s="5">
        <v>-1528.415251661092</v>
      </c>
      <c r="F574" s="5">
        <v>0</v>
      </c>
      <c r="G574" s="5">
        <v>197956.01342773438</v>
      </c>
      <c r="H574" s="5">
        <v>2.075721177244045E-11</v>
      </c>
      <c r="I574">
        <v>-232150</v>
      </c>
      <c r="J574" s="5">
        <f>liquidity_data[[#This Row],[w_m]]+liquidity_data[[#This Row],[c_m]]+liquidity_data[[#This Row],[cf_m]]+liquidity_data[[#This Row],[kf_m]]+liquidity_data[[#This Row],[equity]]</f>
        <v>12000.367913637834</v>
      </c>
      <c r="K574" s="5">
        <f>liquidity_data[[#This Row],[kf_d]]+liquidity_data[[#This Row],[cf_d]]</f>
        <v>2.075721177244045E-11</v>
      </c>
      <c r="L574" s="5">
        <f>liquidity_data[[#This Row],[TOTAL_M]]-liquidity_data[[#This Row],[TOTAL_D]]</f>
        <v>12000.367913637814</v>
      </c>
      <c r="M574" s="6">
        <f>liquidity_data[[#This Row],[M-D]]/L573-1</f>
        <v>1.1238206356845026E-5</v>
      </c>
    </row>
    <row r="575" spans="1:13" x14ac:dyDescent="0.25">
      <c r="A575" s="7" t="s">
        <v>146</v>
      </c>
      <c r="B575">
        <v>574</v>
      </c>
      <c r="C575" s="5">
        <v>25312.645561989484</v>
      </c>
      <c r="D575" s="5">
        <v>22623.084686279297</v>
      </c>
      <c r="E575" s="5">
        <v>-917.77853801753372</v>
      </c>
      <c r="F575" s="5">
        <v>0</v>
      </c>
      <c r="G575" s="5">
        <v>199003.83911132813</v>
      </c>
      <c r="H575" s="5">
        <v>1.9719351511111958E-11</v>
      </c>
      <c r="I575">
        <v>-234022</v>
      </c>
      <c r="J575" s="5">
        <f>liquidity_data[[#This Row],[w_m]]+liquidity_data[[#This Row],[c_m]]+liquidity_data[[#This Row],[cf_m]]+liquidity_data[[#This Row],[kf_m]]+liquidity_data[[#This Row],[equity]]</f>
        <v>11999.790821579372</v>
      </c>
      <c r="K575" s="5">
        <f>liquidity_data[[#This Row],[kf_d]]+liquidity_data[[#This Row],[cf_d]]</f>
        <v>1.9719351511111958E-11</v>
      </c>
      <c r="L575" s="5">
        <f>liquidity_data[[#This Row],[TOTAL_M]]-liquidity_data[[#This Row],[TOTAL_D]]</f>
        <v>11999.790821579352</v>
      </c>
      <c r="M575" s="6">
        <f>liquidity_data[[#This Row],[M-D]]/L574-1</f>
        <v>-4.808953047230613E-5</v>
      </c>
    </row>
    <row r="576" spans="1:13" x14ac:dyDescent="0.25">
      <c r="A576" s="7" t="s">
        <v>146</v>
      </c>
      <c r="B576">
        <v>575</v>
      </c>
      <c r="C576" s="5">
        <v>25371.354195942302</v>
      </c>
      <c r="D576" s="5">
        <v>22828.725158691406</v>
      </c>
      <c r="E576" s="5">
        <v>-1155.6805930994451</v>
      </c>
      <c r="F576" s="5">
        <v>0</v>
      </c>
      <c r="G576" s="5">
        <v>200257.19018554688</v>
      </c>
      <c r="H576" s="5">
        <v>1.8733383767843836E-11</v>
      </c>
      <c r="I576">
        <v>-235302</v>
      </c>
      <c r="J576" s="5">
        <f>liquidity_data[[#This Row],[w_m]]+liquidity_data[[#This Row],[c_m]]+liquidity_data[[#This Row],[cf_m]]+liquidity_data[[#This Row],[kf_m]]+liquidity_data[[#This Row],[equity]]</f>
        <v>11999.588947081123</v>
      </c>
      <c r="K576" s="5">
        <f>liquidity_data[[#This Row],[kf_d]]+liquidity_data[[#This Row],[cf_d]]</f>
        <v>1.8733383767843836E-11</v>
      </c>
      <c r="L576" s="5">
        <f>liquidity_data[[#This Row],[TOTAL_M]]-liquidity_data[[#This Row],[TOTAL_D]]</f>
        <v>11999.588947081105</v>
      </c>
      <c r="M576" s="6">
        <f>liquidity_data[[#This Row],[M-D]]/L575-1</f>
        <v>-1.6823168107582553E-5</v>
      </c>
    </row>
    <row r="577" spans="1:13" x14ac:dyDescent="0.25">
      <c r="A577" s="7" t="s">
        <v>146</v>
      </c>
      <c r="B577">
        <v>576</v>
      </c>
      <c r="C577" s="5">
        <v>25439.210884703512</v>
      </c>
      <c r="D577" s="5">
        <v>23062.430938720703</v>
      </c>
      <c r="E577" s="5">
        <v>-1343.3208284480497</v>
      </c>
      <c r="F577" s="5">
        <v>0</v>
      </c>
      <c r="G577" s="5">
        <v>201664.09838867188</v>
      </c>
      <c r="H577" s="5">
        <v>1.7796714080718645E-11</v>
      </c>
      <c r="I577">
        <v>-236822</v>
      </c>
      <c r="J577" s="5">
        <f>liquidity_data[[#This Row],[w_m]]+liquidity_data[[#This Row],[c_m]]+liquidity_data[[#This Row],[cf_m]]+liquidity_data[[#This Row],[kf_m]]+liquidity_data[[#This Row],[equity]]</f>
        <v>12000.419383648026</v>
      </c>
      <c r="K577" s="5">
        <f>liquidity_data[[#This Row],[kf_d]]+liquidity_data[[#This Row],[cf_d]]</f>
        <v>1.7796714080718645E-11</v>
      </c>
      <c r="L577" s="5">
        <f>liquidity_data[[#This Row],[TOTAL_M]]-liquidity_data[[#This Row],[TOTAL_D]]</f>
        <v>12000.419383648008</v>
      </c>
      <c r="M577" s="6">
        <f>liquidity_data[[#This Row],[M-D]]/L576-1</f>
        <v>6.9205417832618465E-5</v>
      </c>
    </row>
    <row r="578" spans="1:13" x14ac:dyDescent="0.25">
      <c r="A578" s="7" t="s">
        <v>146</v>
      </c>
      <c r="B578">
        <v>577</v>
      </c>
      <c r="C578" s="5">
        <v>25460.412518027078</v>
      </c>
      <c r="D578" s="5">
        <v>23403.904327392578</v>
      </c>
      <c r="E578" s="5">
        <v>-1610.7738479366526</v>
      </c>
      <c r="F578" s="5">
        <v>0</v>
      </c>
      <c r="G578" s="5">
        <v>203285.79223632813</v>
      </c>
      <c r="H578" s="5">
        <v>1.6906878403787767E-11</v>
      </c>
      <c r="I578">
        <v>-238539</v>
      </c>
      <c r="J578" s="5">
        <f>liquidity_data[[#This Row],[w_m]]+liquidity_data[[#This Row],[c_m]]+liquidity_data[[#This Row],[cf_m]]+liquidity_data[[#This Row],[kf_m]]+liquidity_data[[#This Row],[equity]]</f>
        <v>12000.335233811114</v>
      </c>
      <c r="K578" s="5">
        <f>liquidity_data[[#This Row],[kf_d]]+liquidity_data[[#This Row],[cf_d]]</f>
        <v>1.6906878403787767E-11</v>
      </c>
      <c r="L578" s="5">
        <f>liquidity_data[[#This Row],[TOTAL_M]]-liquidity_data[[#This Row],[TOTAL_D]]</f>
        <v>12000.335233811098</v>
      </c>
      <c r="M578" s="6">
        <f>liquidity_data[[#This Row],[M-D]]/L577-1</f>
        <v>-7.0122413409201556E-6</v>
      </c>
    </row>
    <row r="579" spans="1:13" x14ac:dyDescent="0.25">
      <c r="A579" s="7" t="s">
        <v>146</v>
      </c>
      <c r="B579">
        <v>578</v>
      </c>
      <c r="C579" s="5">
        <v>25498.235952772644</v>
      </c>
      <c r="D579" s="5">
        <v>23700.437698364258</v>
      </c>
      <c r="E579" s="5">
        <v>-1454.9133797474205</v>
      </c>
      <c r="F579" s="5">
        <v>0</v>
      </c>
      <c r="G579" s="5">
        <v>204796.36572265625</v>
      </c>
      <c r="H579" s="5">
        <v>1.6061534995883905E-11</v>
      </c>
      <c r="I579">
        <v>-240540</v>
      </c>
      <c r="J579" s="5">
        <f>liquidity_data[[#This Row],[w_m]]+liquidity_data[[#This Row],[c_m]]+liquidity_data[[#This Row],[cf_m]]+liquidity_data[[#This Row],[kf_m]]+liquidity_data[[#This Row],[equity]]</f>
        <v>12000.125994045724</v>
      </c>
      <c r="K579" s="5">
        <f>liquidity_data[[#This Row],[kf_d]]+liquidity_data[[#This Row],[cf_d]]</f>
        <v>1.6061534995883905E-11</v>
      </c>
      <c r="L579" s="5">
        <f>liquidity_data[[#This Row],[TOTAL_M]]-liquidity_data[[#This Row],[TOTAL_D]]</f>
        <v>12000.125994045708</v>
      </c>
      <c r="M579" s="6">
        <f>liquidity_data[[#This Row],[M-D]]/L578-1</f>
        <v>-1.7436160016703894E-5</v>
      </c>
    </row>
    <row r="580" spans="1:13" x14ac:dyDescent="0.25">
      <c r="A580" s="7" t="s">
        <v>146</v>
      </c>
      <c r="B580">
        <v>579</v>
      </c>
      <c r="C580" s="5">
        <v>25605.88577751819</v>
      </c>
      <c r="D580" s="5">
        <v>23978.111907958984</v>
      </c>
      <c r="E580" s="5">
        <v>-1698.2431261288002</v>
      </c>
      <c r="F580" s="5">
        <v>0</v>
      </c>
      <c r="G580" s="5">
        <v>206495.3046875</v>
      </c>
      <c r="H580" s="5">
        <v>1.5258457773106512E-11</v>
      </c>
      <c r="I580">
        <v>-242381</v>
      </c>
      <c r="J580" s="5">
        <f>liquidity_data[[#This Row],[w_m]]+liquidity_data[[#This Row],[c_m]]+liquidity_data[[#This Row],[cf_m]]+liquidity_data[[#This Row],[kf_m]]+liquidity_data[[#This Row],[equity]]</f>
        <v>12000.059246848366</v>
      </c>
      <c r="K580" s="5">
        <f>liquidity_data[[#This Row],[kf_d]]+liquidity_data[[#This Row],[cf_d]]</f>
        <v>1.5258457773106512E-11</v>
      </c>
      <c r="L580" s="5">
        <f>liquidity_data[[#This Row],[TOTAL_M]]-liquidity_data[[#This Row],[TOTAL_D]]</f>
        <v>12000.059246848352</v>
      </c>
      <c r="M580" s="6">
        <f>liquidity_data[[#This Row],[M-D]]/L579-1</f>
        <v>-5.5622080459283296E-6</v>
      </c>
    </row>
    <row r="581" spans="1:13" x14ac:dyDescent="0.25">
      <c r="A581" s="7" t="s">
        <v>146</v>
      </c>
      <c r="B581">
        <v>580</v>
      </c>
      <c r="C581" s="5">
        <v>25705.272107227582</v>
      </c>
      <c r="D581" s="5">
        <v>24272.640899658203</v>
      </c>
      <c r="E581" s="5">
        <v>-1735.1553545193747</v>
      </c>
      <c r="F581" s="5">
        <v>0</v>
      </c>
      <c r="G581" s="5">
        <v>208204.22778320313</v>
      </c>
      <c r="H581" s="5">
        <v>1.4495534743504904E-11</v>
      </c>
      <c r="I581">
        <v>-244447</v>
      </c>
      <c r="J581" s="5">
        <f>liquidity_data[[#This Row],[w_m]]+liquidity_data[[#This Row],[c_m]]+liquidity_data[[#This Row],[cf_m]]+liquidity_data[[#This Row],[kf_m]]+liquidity_data[[#This Row],[equity]]</f>
        <v>11999.985435569542</v>
      </c>
      <c r="K581" s="5">
        <f>liquidity_data[[#This Row],[kf_d]]+liquidity_data[[#This Row],[cf_d]]</f>
        <v>1.4495534743504904E-11</v>
      </c>
      <c r="L581" s="5">
        <f>liquidity_data[[#This Row],[TOTAL_M]]-liquidity_data[[#This Row],[TOTAL_D]]</f>
        <v>11999.985435569528</v>
      </c>
      <c r="M581" s="6">
        <f>liquidity_data[[#This Row],[M-D]]/L580-1</f>
        <v>-6.1509095334866259E-6</v>
      </c>
    </row>
    <row r="582" spans="1:13" x14ac:dyDescent="0.25">
      <c r="A582" s="7" t="s">
        <v>146</v>
      </c>
      <c r="B582">
        <v>581</v>
      </c>
      <c r="C582" s="5">
        <v>25774.444786621185</v>
      </c>
      <c r="D582" s="5">
        <v>24765.579818725586</v>
      </c>
      <c r="E582" s="5">
        <v>-2561.291728249751</v>
      </c>
      <c r="F582" s="5">
        <v>0</v>
      </c>
      <c r="G582" s="5">
        <v>210572.65258789063</v>
      </c>
      <c r="H582" s="5">
        <v>1.3770758154391018E-11</v>
      </c>
      <c r="I582">
        <v>-246551</v>
      </c>
      <c r="J582" s="5">
        <f>liquidity_data[[#This Row],[w_m]]+liquidity_data[[#This Row],[c_m]]+liquidity_data[[#This Row],[cf_m]]+liquidity_data[[#This Row],[kf_m]]+liquidity_data[[#This Row],[equity]]</f>
        <v>12000.385464987659</v>
      </c>
      <c r="K582" s="5">
        <f>liquidity_data[[#This Row],[kf_d]]+liquidity_data[[#This Row],[cf_d]]</f>
        <v>1.3770758154391018E-11</v>
      </c>
      <c r="L582" s="5">
        <f>liquidity_data[[#This Row],[TOTAL_M]]-liquidity_data[[#This Row],[TOTAL_D]]</f>
        <v>12000.385464987645</v>
      </c>
      <c r="M582" s="6">
        <f>liquidity_data[[#This Row],[M-D]]/L581-1</f>
        <v>3.3335825302849287E-5</v>
      </c>
    </row>
    <row r="583" spans="1:13" x14ac:dyDescent="0.25">
      <c r="A583" s="7" t="s">
        <v>146</v>
      </c>
      <c r="B583">
        <v>582</v>
      </c>
      <c r="C583" s="5">
        <v>25885.014895080822</v>
      </c>
      <c r="D583" s="5">
        <v>25066.432144165039</v>
      </c>
      <c r="E583" s="5">
        <v>-1836.0270783798769</v>
      </c>
      <c r="F583" s="5">
        <v>0</v>
      </c>
      <c r="G583" s="5">
        <v>212348.28369140625</v>
      </c>
      <c r="H583" s="5">
        <v>1.3082220196188304E-11</v>
      </c>
      <c r="I583">
        <v>-249464</v>
      </c>
      <c r="J583" s="5">
        <f>liquidity_data[[#This Row],[w_m]]+liquidity_data[[#This Row],[c_m]]+liquidity_data[[#This Row],[cf_m]]+liquidity_data[[#This Row],[kf_m]]+liquidity_data[[#This Row],[equity]]</f>
        <v>11999.703652272234</v>
      </c>
      <c r="K583" s="5">
        <f>liquidity_data[[#This Row],[kf_d]]+liquidity_data[[#This Row],[cf_d]]</f>
        <v>1.3082220196188304E-11</v>
      </c>
      <c r="L583" s="5">
        <f>liquidity_data[[#This Row],[TOTAL_M]]-liquidity_data[[#This Row],[TOTAL_D]]</f>
        <v>11999.703652272221</v>
      </c>
      <c r="M583" s="6">
        <f>liquidity_data[[#This Row],[M-D]]/L582-1</f>
        <v>-5.6815901240292455E-5</v>
      </c>
    </row>
    <row r="584" spans="1:13" x14ac:dyDescent="0.25">
      <c r="A584" s="7" t="s">
        <v>146</v>
      </c>
      <c r="B584">
        <v>583</v>
      </c>
      <c r="C584" s="5">
        <v>25951.906945875628</v>
      </c>
      <c r="D584" s="5">
        <v>25479.919540405273</v>
      </c>
      <c r="E584" s="5">
        <v>-2207.3023756043985</v>
      </c>
      <c r="F584" s="5">
        <v>0</v>
      </c>
      <c r="G584" s="5">
        <v>214432.29663085938</v>
      </c>
      <c r="H584" s="5">
        <v>1.24281093229206E-11</v>
      </c>
      <c r="I584">
        <v>-251657</v>
      </c>
      <c r="J584" s="5">
        <f>liquidity_data[[#This Row],[w_m]]+liquidity_data[[#This Row],[c_m]]+liquidity_data[[#This Row],[cf_m]]+liquidity_data[[#This Row],[kf_m]]+liquidity_data[[#This Row],[equity]]</f>
        <v>11999.820741535863</v>
      </c>
      <c r="K584" s="5">
        <f>liquidity_data[[#This Row],[kf_d]]+liquidity_data[[#This Row],[cf_d]]</f>
        <v>1.24281093229206E-11</v>
      </c>
      <c r="L584" s="5">
        <f>liquidity_data[[#This Row],[TOTAL_M]]-liquidity_data[[#This Row],[TOTAL_D]]</f>
        <v>11999.82074153585</v>
      </c>
      <c r="M584" s="6">
        <f>liquidity_data[[#This Row],[M-D]]/L583-1</f>
        <v>9.7576796078691075E-6</v>
      </c>
    </row>
    <row r="585" spans="1:13" x14ac:dyDescent="0.25">
      <c r="A585" s="7" t="s">
        <v>146</v>
      </c>
      <c r="B585">
        <v>584</v>
      </c>
      <c r="C585" s="5">
        <v>26002.385556134854</v>
      </c>
      <c r="D585" s="5">
        <v>25901.931869506836</v>
      </c>
      <c r="E585" s="5">
        <v>-2180.6515922173858</v>
      </c>
      <c r="F585" s="5">
        <v>0</v>
      </c>
      <c r="G585" s="5">
        <v>216487.49609375</v>
      </c>
      <c r="H585" s="5">
        <v>1.1806703889300635E-11</v>
      </c>
      <c r="I585">
        <v>-254211</v>
      </c>
      <c r="J585" s="5">
        <f>liquidity_data[[#This Row],[w_m]]+liquidity_data[[#This Row],[c_m]]+liquidity_data[[#This Row],[cf_m]]+liquidity_data[[#This Row],[kf_m]]+liquidity_data[[#This Row],[equity]]</f>
        <v>12000.161927174311</v>
      </c>
      <c r="K585" s="5">
        <f>liquidity_data[[#This Row],[kf_d]]+liquidity_data[[#This Row],[cf_d]]</f>
        <v>1.1806703889300635E-11</v>
      </c>
      <c r="L585" s="5">
        <f>liquidity_data[[#This Row],[TOTAL_M]]-liquidity_data[[#This Row],[TOTAL_D]]</f>
        <v>12000.1619271743</v>
      </c>
      <c r="M585" s="6">
        <f>liquidity_data[[#This Row],[M-D]]/L584-1</f>
        <v>2.8432561268942891E-5</v>
      </c>
    </row>
    <row r="586" spans="1:13" x14ac:dyDescent="0.25">
      <c r="A586" s="7" t="s">
        <v>146</v>
      </c>
      <c r="B586">
        <v>585</v>
      </c>
      <c r="C586" s="5">
        <v>26056.23284030833</v>
      </c>
      <c r="D586" s="5">
        <v>26212.516387939453</v>
      </c>
      <c r="E586" s="5">
        <v>-1654.1586758522317</v>
      </c>
      <c r="F586" s="5">
        <v>0</v>
      </c>
      <c r="G586" s="5">
        <v>218108.26635742188</v>
      </c>
      <c r="H586" s="5">
        <v>1.1216368627072967E-11</v>
      </c>
      <c r="I586">
        <v>-256723</v>
      </c>
      <c r="J586" s="5">
        <f>liquidity_data[[#This Row],[w_m]]+liquidity_data[[#This Row],[c_m]]+liquidity_data[[#This Row],[cf_m]]+liquidity_data[[#This Row],[kf_m]]+liquidity_data[[#This Row],[equity]]</f>
        <v>11999.856909817434</v>
      </c>
      <c r="K586" s="5">
        <f>liquidity_data[[#This Row],[kf_d]]+liquidity_data[[#This Row],[cf_d]]</f>
        <v>1.1216368627072967E-11</v>
      </c>
      <c r="L586" s="5">
        <f>liquidity_data[[#This Row],[TOTAL_M]]-liquidity_data[[#This Row],[TOTAL_D]]</f>
        <v>11999.856909817423</v>
      </c>
      <c r="M586" s="6">
        <f>liquidity_data[[#This Row],[M-D]]/L585-1</f>
        <v>-2.5417770087465819E-5</v>
      </c>
    </row>
    <row r="587" spans="1:13" x14ac:dyDescent="0.25">
      <c r="A587" s="7" t="s">
        <v>146</v>
      </c>
      <c r="B587">
        <v>586</v>
      </c>
      <c r="C587" s="5">
        <v>26137.983563788141</v>
      </c>
      <c r="D587" s="5">
        <v>26560.726776123047</v>
      </c>
      <c r="E587" s="5">
        <v>-1977.2166291614994</v>
      </c>
      <c r="F587" s="5">
        <v>0</v>
      </c>
      <c r="G587" s="5">
        <v>219983.2451171875</v>
      </c>
      <c r="H587" s="5">
        <v>1.0655550514881333E-11</v>
      </c>
      <c r="I587">
        <v>-258705</v>
      </c>
      <c r="J587" s="5">
        <f>liquidity_data[[#This Row],[w_m]]+liquidity_data[[#This Row],[c_m]]+liquidity_data[[#This Row],[cf_m]]+liquidity_data[[#This Row],[kf_m]]+liquidity_data[[#This Row],[equity]]</f>
        <v>11999.738827937166</v>
      </c>
      <c r="K587" s="5">
        <f>liquidity_data[[#This Row],[kf_d]]+liquidity_data[[#This Row],[cf_d]]</f>
        <v>1.0655550514881333E-11</v>
      </c>
      <c r="L587" s="5">
        <f>liquidity_data[[#This Row],[TOTAL_M]]-liquidity_data[[#This Row],[TOTAL_D]]</f>
        <v>11999.738827937155</v>
      </c>
      <c r="M587" s="6">
        <f>liquidity_data[[#This Row],[M-D]]/L586-1</f>
        <v>-9.8402740261738231E-6</v>
      </c>
    </row>
    <row r="588" spans="1:13" x14ac:dyDescent="0.25">
      <c r="A588" s="7" t="s">
        <v>146</v>
      </c>
      <c r="B588">
        <v>587</v>
      </c>
      <c r="C588" s="5">
        <v>26161.253455155005</v>
      </c>
      <c r="D588" s="5">
        <v>26873.380615234375</v>
      </c>
      <c r="E588" s="5">
        <v>-1549.2416418669745</v>
      </c>
      <c r="F588" s="5">
        <v>0</v>
      </c>
      <c r="G588" s="5">
        <v>221493.4169921875</v>
      </c>
      <c r="H588" s="5">
        <v>1.0122772554270552E-11</v>
      </c>
      <c r="I588">
        <v>-260979</v>
      </c>
      <c r="J588" s="5">
        <f>liquidity_data[[#This Row],[w_m]]+liquidity_data[[#This Row],[c_m]]+liquidity_data[[#This Row],[cf_m]]+liquidity_data[[#This Row],[kf_m]]+liquidity_data[[#This Row],[equity]]</f>
        <v>11999.809420709906</v>
      </c>
      <c r="K588" s="5">
        <f>liquidity_data[[#This Row],[kf_d]]+liquidity_data[[#This Row],[cf_d]]</f>
        <v>1.0122772554270552E-11</v>
      </c>
      <c r="L588" s="5">
        <f>liquidity_data[[#This Row],[TOTAL_M]]-liquidity_data[[#This Row],[TOTAL_D]]</f>
        <v>11999.809420709895</v>
      </c>
      <c r="M588" s="6">
        <f>liquidity_data[[#This Row],[M-D]]/L587-1</f>
        <v>5.8828590980830597E-6</v>
      </c>
    </row>
    <row r="589" spans="1:13" x14ac:dyDescent="0.25">
      <c r="A589" s="7" t="s">
        <v>146</v>
      </c>
      <c r="B589">
        <v>588</v>
      </c>
      <c r="C589" s="5">
        <v>26183.385834102053</v>
      </c>
      <c r="D589" s="5">
        <v>27210.911193847656</v>
      </c>
      <c r="E589" s="5">
        <v>-1656.8606242304668</v>
      </c>
      <c r="F589" s="5">
        <v>0</v>
      </c>
      <c r="G589" s="5">
        <v>223108.44091796875</v>
      </c>
      <c r="H589" s="5">
        <v>9.6166342609656317E-12</v>
      </c>
      <c r="I589">
        <v>-262846</v>
      </c>
      <c r="J589" s="5">
        <f>liquidity_data[[#This Row],[w_m]]+liquidity_data[[#This Row],[c_m]]+liquidity_data[[#This Row],[cf_m]]+liquidity_data[[#This Row],[kf_m]]+liquidity_data[[#This Row],[equity]]</f>
        <v>11999.877321687993</v>
      </c>
      <c r="K589" s="5">
        <f>liquidity_data[[#This Row],[kf_d]]+liquidity_data[[#This Row],[cf_d]]</f>
        <v>9.6166342609656317E-12</v>
      </c>
      <c r="L589" s="5">
        <f>liquidity_data[[#This Row],[TOTAL_M]]-liquidity_data[[#This Row],[TOTAL_D]]</f>
        <v>11999.877321687984</v>
      </c>
      <c r="M589" s="6">
        <f>liquidity_data[[#This Row],[M-D]]/L588-1</f>
        <v>5.6585047067958527E-6</v>
      </c>
    </row>
    <row r="590" spans="1:13" x14ac:dyDescent="0.25">
      <c r="A590" s="7" t="s">
        <v>146</v>
      </c>
      <c r="B590">
        <v>589</v>
      </c>
      <c r="C590" s="5">
        <v>26261.895088056219</v>
      </c>
      <c r="D590" s="5">
        <v>27549.298553466797</v>
      </c>
      <c r="E590" s="5">
        <v>-1941.5928194364533</v>
      </c>
      <c r="F590" s="5">
        <v>0</v>
      </c>
      <c r="G590" s="5">
        <v>224964.42822265625</v>
      </c>
      <c r="H590" s="5">
        <v>9.1358026253361615E-12</v>
      </c>
      <c r="I590">
        <v>-264834</v>
      </c>
      <c r="J590" s="5">
        <f>liquidity_data[[#This Row],[w_m]]+liquidity_data[[#This Row],[c_m]]+liquidity_data[[#This Row],[cf_m]]+liquidity_data[[#This Row],[kf_m]]+liquidity_data[[#This Row],[equity]]</f>
        <v>12000.029044742812</v>
      </c>
      <c r="K590" s="5">
        <f>liquidity_data[[#This Row],[kf_d]]+liquidity_data[[#This Row],[cf_d]]</f>
        <v>9.1358026253361615E-12</v>
      </c>
      <c r="L590" s="5">
        <f>liquidity_data[[#This Row],[TOTAL_M]]-liquidity_data[[#This Row],[TOTAL_D]]</f>
        <v>12000.029044742803</v>
      </c>
      <c r="M590" s="6">
        <f>liquidity_data[[#This Row],[M-D]]/L589-1</f>
        <v>1.2643717160809587E-5</v>
      </c>
    </row>
    <row r="591" spans="1:13" x14ac:dyDescent="0.25">
      <c r="A591" s="7" t="s">
        <v>146</v>
      </c>
      <c r="B591">
        <v>590</v>
      </c>
      <c r="C591" s="5">
        <v>26324.705461454898</v>
      </c>
      <c r="D591" s="5">
        <v>27760.616943359375</v>
      </c>
      <c r="E591" s="5">
        <v>-1220.0377537594177</v>
      </c>
      <c r="F591" s="5">
        <v>0</v>
      </c>
      <c r="G591" s="5">
        <v>226254.37426757813</v>
      </c>
      <c r="H591" s="5">
        <v>8.6790124003875094E-12</v>
      </c>
      <c r="I591">
        <v>-267120</v>
      </c>
      <c r="J591" s="5">
        <f>liquidity_data[[#This Row],[w_m]]+liquidity_data[[#This Row],[c_m]]+liquidity_data[[#This Row],[cf_m]]+liquidity_data[[#This Row],[kf_m]]+liquidity_data[[#This Row],[equity]]</f>
        <v>11999.658918633009</v>
      </c>
      <c r="K591" s="5">
        <f>liquidity_data[[#This Row],[kf_d]]+liquidity_data[[#This Row],[cf_d]]</f>
        <v>8.6790124003875094E-12</v>
      </c>
      <c r="L591" s="5">
        <f>liquidity_data[[#This Row],[TOTAL_M]]-liquidity_data[[#This Row],[TOTAL_D]]</f>
        <v>11999.658918633</v>
      </c>
      <c r="M591" s="6">
        <f>liquidity_data[[#This Row],[M-D]]/L590-1</f>
        <v>-3.0843767829469293E-5</v>
      </c>
    </row>
    <row r="592" spans="1:13" x14ac:dyDescent="0.25">
      <c r="A592" s="7" t="s">
        <v>146</v>
      </c>
      <c r="B592">
        <v>591</v>
      </c>
      <c r="C592" s="5">
        <v>26362.446806921551</v>
      </c>
      <c r="D592" s="5">
        <v>28125.844848632813</v>
      </c>
      <c r="E592" s="5">
        <v>-1814.4375888109207</v>
      </c>
      <c r="F592" s="5">
        <v>0</v>
      </c>
      <c r="G592" s="5">
        <v>228040.87329101563</v>
      </c>
      <c r="H592" s="5">
        <v>8.2450618632079562E-12</v>
      </c>
      <c r="I592">
        <v>-268715</v>
      </c>
      <c r="J592" s="5">
        <f>liquidity_data[[#This Row],[w_m]]+liquidity_data[[#This Row],[c_m]]+liquidity_data[[#This Row],[cf_m]]+liquidity_data[[#This Row],[kf_m]]+liquidity_data[[#This Row],[equity]]</f>
        <v>11999.727357759082</v>
      </c>
      <c r="K592" s="5">
        <f>liquidity_data[[#This Row],[kf_d]]+liquidity_data[[#This Row],[cf_d]]</f>
        <v>8.2450618632079562E-12</v>
      </c>
      <c r="L592" s="5">
        <f>liquidity_data[[#This Row],[TOTAL_M]]-liquidity_data[[#This Row],[TOTAL_D]]</f>
        <v>11999.727357759073</v>
      </c>
      <c r="M592" s="6">
        <f>liquidity_data[[#This Row],[M-D]]/L591-1</f>
        <v>5.7034226170760149E-6</v>
      </c>
    </row>
    <row r="593" spans="1:13" x14ac:dyDescent="0.25">
      <c r="A593" s="7" t="s">
        <v>146</v>
      </c>
      <c r="B593">
        <v>592</v>
      </c>
      <c r="C593" s="5">
        <v>26453.348743218128</v>
      </c>
      <c r="D593" s="5">
        <v>28347.922149658203</v>
      </c>
      <c r="E593" s="5">
        <v>-1362.4605410164222</v>
      </c>
      <c r="F593" s="5">
        <v>0</v>
      </c>
      <c r="G593" s="5">
        <v>229451.53051757813</v>
      </c>
      <c r="H593" s="5">
        <v>7.8328086102971445E-12</v>
      </c>
      <c r="I593">
        <v>-270890</v>
      </c>
      <c r="J593" s="5">
        <f>liquidity_data[[#This Row],[w_m]]+liquidity_data[[#This Row],[c_m]]+liquidity_data[[#This Row],[cf_m]]+liquidity_data[[#This Row],[kf_m]]+liquidity_data[[#This Row],[equity]]</f>
        <v>12000.34086943802</v>
      </c>
      <c r="K593" s="5">
        <f>liquidity_data[[#This Row],[kf_d]]+liquidity_data[[#This Row],[cf_d]]</f>
        <v>7.8328086102971445E-12</v>
      </c>
      <c r="L593" s="5">
        <f>liquidity_data[[#This Row],[TOTAL_M]]-liquidity_data[[#This Row],[TOTAL_D]]</f>
        <v>12000.340869438012</v>
      </c>
      <c r="M593" s="6">
        <f>liquidity_data[[#This Row],[M-D]]/L592-1</f>
        <v>5.1127134862882784E-5</v>
      </c>
    </row>
    <row r="594" spans="1:13" x14ac:dyDescent="0.25">
      <c r="A594" s="7" t="s">
        <v>146</v>
      </c>
      <c r="B594">
        <v>593</v>
      </c>
      <c r="C594" s="5">
        <v>26490.54647337459</v>
      </c>
      <c r="D594" s="5">
        <v>28771.039001464844</v>
      </c>
      <c r="E594" s="5">
        <v>-2075.1942249713466</v>
      </c>
      <c r="F594" s="5">
        <v>0</v>
      </c>
      <c r="G594" s="5">
        <v>231454.99682617188</v>
      </c>
      <c r="H594" s="5">
        <v>7.4411683344505035E-12</v>
      </c>
      <c r="I594">
        <v>-272641</v>
      </c>
      <c r="J594" s="5">
        <f>liquidity_data[[#This Row],[w_m]]+liquidity_data[[#This Row],[c_m]]+liquidity_data[[#This Row],[cf_m]]+liquidity_data[[#This Row],[kf_m]]+liquidity_data[[#This Row],[equity]]</f>
        <v>12000.388076039962</v>
      </c>
      <c r="K594" s="5">
        <f>liquidity_data[[#This Row],[kf_d]]+liquidity_data[[#This Row],[cf_d]]</f>
        <v>7.4411683344505035E-12</v>
      </c>
      <c r="L594" s="5">
        <f>liquidity_data[[#This Row],[TOTAL_M]]-liquidity_data[[#This Row],[TOTAL_D]]</f>
        <v>12000.388076039955</v>
      </c>
      <c r="M594" s="6">
        <f>liquidity_data[[#This Row],[M-D]]/L593-1</f>
        <v>3.9337717534504435E-6</v>
      </c>
    </row>
    <row r="595" spans="1:13" x14ac:dyDescent="0.25">
      <c r="A595" s="7" t="s">
        <v>146</v>
      </c>
      <c r="B595">
        <v>594</v>
      </c>
      <c r="C595" s="5">
        <v>26608.309126506225</v>
      </c>
      <c r="D595" s="5">
        <v>29091.319610595703</v>
      </c>
      <c r="E595" s="5">
        <v>-1946.7765102600679</v>
      </c>
      <c r="F595" s="5">
        <v>0</v>
      </c>
      <c r="G595" s="5">
        <v>233354.48901367188</v>
      </c>
      <c r="H595" s="5">
        <v>7.0691100068358444E-12</v>
      </c>
      <c r="I595">
        <v>-275107</v>
      </c>
      <c r="J595" s="5">
        <f>liquidity_data[[#This Row],[w_m]]+liquidity_data[[#This Row],[c_m]]+liquidity_data[[#This Row],[cf_m]]+liquidity_data[[#This Row],[kf_m]]+liquidity_data[[#This Row],[equity]]</f>
        <v>12000.341240513721</v>
      </c>
      <c r="K595" s="5">
        <f>liquidity_data[[#This Row],[kf_d]]+liquidity_data[[#This Row],[cf_d]]</f>
        <v>7.0691100068358444E-12</v>
      </c>
      <c r="L595" s="5">
        <f>liquidity_data[[#This Row],[TOTAL_M]]-liquidity_data[[#This Row],[TOTAL_D]]</f>
        <v>12000.341240513713</v>
      </c>
      <c r="M595" s="6">
        <f>liquidity_data[[#This Row],[M-D]]/L594-1</f>
        <v>-3.9028343037372792E-6</v>
      </c>
    </row>
    <row r="596" spans="1:13" x14ac:dyDescent="0.25">
      <c r="A596" s="7" t="s">
        <v>146</v>
      </c>
      <c r="B596">
        <v>595</v>
      </c>
      <c r="C596" s="5">
        <v>26652.922181945658</v>
      </c>
      <c r="D596" s="5">
        <v>29543.141845703125</v>
      </c>
      <c r="E596" s="5">
        <v>-2252.2608885063091</v>
      </c>
      <c r="F596" s="5">
        <v>0</v>
      </c>
      <c r="G596" s="5">
        <v>235485.43432617188</v>
      </c>
      <c r="H596" s="5">
        <v>6.7156541287173577E-12</v>
      </c>
      <c r="I596">
        <v>-277429</v>
      </c>
      <c r="J596" s="5">
        <f>liquidity_data[[#This Row],[w_m]]+liquidity_data[[#This Row],[c_m]]+liquidity_data[[#This Row],[cf_m]]+liquidity_data[[#This Row],[kf_m]]+liquidity_data[[#This Row],[equity]]</f>
        <v>12000.237465314334</v>
      </c>
      <c r="K596" s="5">
        <f>liquidity_data[[#This Row],[kf_d]]+liquidity_data[[#This Row],[cf_d]]</f>
        <v>6.7156541287173577E-12</v>
      </c>
      <c r="L596" s="5">
        <f>liquidity_data[[#This Row],[TOTAL_M]]-liquidity_data[[#This Row],[TOTAL_D]]</f>
        <v>12000.237465314327</v>
      </c>
      <c r="M596" s="6">
        <f>liquidity_data[[#This Row],[M-D]]/L595-1</f>
        <v>-8.6476873704111057E-6</v>
      </c>
    </row>
    <row r="597" spans="1:13" x14ac:dyDescent="0.25">
      <c r="A597" s="7" t="s">
        <v>146</v>
      </c>
      <c r="B597">
        <v>596</v>
      </c>
      <c r="C597" s="5">
        <v>26745.070105845152</v>
      </c>
      <c r="D597" s="5">
        <v>29844.6591796875</v>
      </c>
      <c r="E597" s="5">
        <v>-1751.069246920757</v>
      </c>
      <c r="F597" s="5">
        <v>0</v>
      </c>
      <c r="G597" s="5">
        <v>237182.71557617188</v>
      </c>
      <c r="H597" s="5">
        <v>6.3798714202486107E-12</v>
      </c>
      <c r="I597">
        <v>-280021</v>
      </c>
      <c r="J597" s="5">
        <f>liquidity_data[[#This Row],[w_m]]+liquidity_data[[#This Row],[c_m]]+liquidity_data[[#This Row],[cf_m]]+liquidity_data[[#This Row],[kf_m]]+liquidity_data[[#This Row],[equity]]</f>
        <v>12000.375614783785</v>
      </c>
      <c r="K597" s="5">
        <f>liquidity_data[[#This Row],[kf_d]]+liquidity_data[[#This Row],[cf_d]]</f>
        <v>6.3798714202486107E-12</v>
      </c>
      <c r="L597" s="5">
        <f>liquidity_data[[#This Row],[TOTAL_M]]-liquidity_data[[#This Row],[TOTAL_D]]</f>
        <v>12000.375614783778</v>
      </c>
      <c r="M597" s="6">
        <f>liquidity_data[[#This Row],[M-D]]/L596-1</f>
        <v>1.1512227974685985E-5</v>
      </c>
    </row>
    <row r="598" spans="1:13" x14ac:dyDescent="0.25">
      <c r="A598" s="7" t="s">
        <v>146</v>
      </c>
      <c r="B598">
        <v>597</v>
      </c>
      <c r="C598" s="5">
        <v>26798.798650879311</v>
      </c>
      <c r="D598" s="5">
        <v>30242.091033935547</v>
      </c>
      <c r="E598" s="5">
        <v>-2032.0256897965446</v>
      </c>
      <c r="F598" s="5">
        <v>0</v>
      </c>
      <c r="G598" s="5">
        <v>239122.642578125</v>
      </c>
      <c r="H598" s="5">
        <v>6.060878124521888E-12</v>
      </c>
      <c r="I598">
        <v>-282132</v>
      </c>
      <c r="J598" s="5">
        <f>liquidity_data[[#This Row],[w_m]]+liquidity_data[[#This Row],[c_m]]+liquidity_data[[#This Row],[cf_m]]+liquidity_data[[#This Row],[kf_m]]+liquidity_data[[#This Row],[equity]]</f>
        <v>11999.506573143299</v>
      </c>
      <c r="K598" s="5">
        <f>liquidity_data[[#This Row],[kf_d]]+liquidity_data[[#This Row],[cf_d]]</f>
        <v>6.060878124521888E-12</v>
      </c>
      <c r="L598" s="5">
        <f>liquidity_data[[#This Row],[TOTAL_M]]-liquidity_data[[#This Row],[TOTAL_D]]</f>
        <v>11999.506573143293</v>
      </c>
      <c r="M598" s="6">
        <f>liquidity_data[[#This Row],[M-D]]/L597-1</f>
        <v>-7.2417869938501411E-5</v>
      </c>
    </row>
    <row r="599" spans="1:13" x14ac:dyDescent="0.25">
      <c r="A599" s="7" t="s">
        <v>146</v>
      </c>
      <c r="B599">
        <v>598</v>
      </c>
      <c r="C599" s="5">
        <v>26856.330298679022</v>
      </c>
      <c r="D599" s="5">
        <v>30612.808441162109</v>
      </c>
      <c r="E599" s="5">
        <v>-1952.4882464921102</v>
      </c>
      <c r="F599" s="5">
        <v>0</v>
      </c>
      <c r="G599" s="5">
        <v>240998.42407226563</v>
      </c>
      <c r="H599" s="5">
        <v>5.7578341542601028E-12</v>
      </c>
      <c r="I599">
        <v>-284515</v>
      </c>
      <c r="J599" s="5">
        <f>liquidity_data[[#This Row],[w_m]]+liquidity_data[[#This Row],[c_m]]+liquidity_data[[#This Row],[cf_m]]+liquidity_data[[#This Row],[kf_m]]+liquidity_data[[#This Row],[equity]]</f>
        <v>12000.074565614632</v>
      </c>
      <c r="K599" s="5">
        <f>liquidity_data[[#This Row],[kf_d]]+liquidity_data[[#This Row],[cf_d]]</f>
        <v>5.7578341542601028E-12</v>
      </c>
      <c r="L599" s="5">
        <f>liquidity_data[[#This Row],[TOTAL_M]]-liquidity_data[[#This Row],[TOTAL_D]]</f>
        <v>12000.074565614626</v>
      </c>
      <c r="M599" s="6">
        <f>liquidity_data[[#This Row],[M-D]]/L598-1</f>
        <v>4.7334652293562485E-5</v>
      </c>
    </row>
    <row r="600" spans="1:13" x14ac:dyDescent="0.25">
      <c r="A600" s="7" t="s">
        <v>146</v>
      </c>
      <c r="B600">
        <v>599</v>
      </c>
      <c r="C600" s="5">
        <v>26936.003195159676</v>
      </c>
      <c r="D600" s="5">
        <v>30961.690673828125</v>
      </c>
      <c r="E600" s="5">
        <v>-1954.2028466155753</v>
      </c>
      <c r="F600" s="5">
        <v>0</v>
      </c>
      <c r="G600" s="5">
        <v>242886.62109375</v>
      </c>
      <c r="H600" s="5">
        <v>5.4699423057702218E-12</v>
      </c>
      <c r="I600">
        <v>-286830</v>
      </c>
      <c r="J600" s="5">
        <f>liquidity_data[[#This Row],[w_m]]+liquidity_data[[#This Row],[c_m]]+liquidity_data[[#This Row],[cf_m]]+liquidity_data[[#This Row],[kf_m]]+liquidity_data[[#This Row],[equity]]</f>
        <v>12000.112116122211</v>
      </c>
      <c r="K600" s="5">
        <f>liquidity_data[[#This Row],[kf_d]]+liquidity_data[[#This Row],[cf_d]]</f>
        <v>5.4699423057702218E-12</v>
      </c>
      <c r="L600" s="5">
        <f>liquidity_data[[#This Row],[TOTAL_M]]-liquidity_data[[#This Row],[TOTAL_D]]</f>
        <v>12000.112116122205</v>
      </c>
      <c r="M600" s="6">
        <f>liquidity_data[[#This Row],[M-D]]/L599-1</f>
        <v>3.1291895208340748E-6</v>
      </c>
    </row>
    <row r="601" spans="1:13" x14ac:dyDescent="0.25">
      <c r="A601" s="7" t="s">
        <v>146</v>
      </c>
      <c r="B601">
        <v>600</v>
      </c>
      <c r="C601" s="5">
        <v>26978.82791704683</v>
      </c>
      <c r="D601" s="5">
        <v>31320.136901855469</v>
      </c>
      <c r="E601" s="5">
        <v>-1833.2613252429292</v>
      </c>
      <c r="F601" s="5">
        <v>0</v>
      </c>
      <c r="G601" s="5">
        <v>244684.20703125</v>
      </c>
      <c r="H601" s="5">
        <v>5.1964452299534461E-12</v>
      </c>
      <c r="I601">
        <v>-289150</v>
      </c>
      <c r="J601" s="5">
        <f>liquidity_data[[#This Row],[w_m]]+liquidity_data[[#This Row],[c_m]]+liquidity_data[[#This Row],[cf_m]]+liquidity_data[[#This Row],[kf_m]]+liquidity_data[[#This Row],[equity]]</f>
        <v>11999.910524909385</v>
      </c>
      <c r="K601" s="5">
        <f>liquidity_data[[#This Row],[kf_d]]+liquidity_data[[#This Row],[cf_d]]</f>
        <v>5.1964452299534461E-12</v>
      </c>
      <c r="L601" s="5">
        <f>liquidity_data[[#This Row],[TOTAL_M]]-liquidity_data[[#This Row],[TOTAL_D]]</f>
        <v>11999.910524909379</v>
      </c>
      <c r="M601" s="6">
        <f>liquidity_data[[#This Row],[M-D]]/L600-1</f>
        <v>-1.6799110781229309E-5</v>
      </c>
    </row>
  </sheetData>
  <conditionalFormatting sqref="C2:H601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{39445D51-064F-4E4B-93F3-65ED7C287048}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445D51-064F-4E4B-93F3-65ED7C2870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C2:H601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A9CF9-5043-48E8-B698-5F2998BA416C}">
  <dimension ref="A1:J601"/>
  <sheetViews>
    <sheetView topLeftCell="A178" workbookViewId="0">
      <selection activeCell="E139" sqref="E139"/>
    </sheetView>
  </sheetViews>
  <sheetFormatPr defaultRowHeight="15" x14ac:dyDescent="0.25"/>
  <cols>
    <col min="1" max="1" width="10.42578125" bestFit="1" customWidth="1"/>
    <col min="2" max="2" width="10" bestFit="1" customWidth="1"/>
    <col min="3" max="3" width="12.28515625" bestFit="1" customWidth="1"/>
    <col min="4" max="4" width="9.42578125" bestFit="1" customWidth="1"/>
    <col min="5" max="5" width="11.140625" bestFit="1" customWidth="1"/>
    <col min="6" max="6" width="16.7109375" bestFit="1" customWidth="1"/>
    <col min="7" max="7" width="16.28515625" bestFit="1" customWidth="1"/>
    <col min="8" max="8" width="12.28515625" bestFit="1" customWidth="1"/>
    <col min="9" max="9" width="14.5703125" bestFit="1" customWidth="1"/>
    <col min="10" max="10" width="10" bestFit="1" customWidth="1"/>
  </cols>
  <sheetData>
    <row r="1" spans="1:10" x14ac:dyDescent="0.25">
      <c r="A1" t="s">
        <v>0</v>
      </c>
      <c r="B1" t="s">
        <v>1</v>
      </c>
      <c r="C1" t="s">
        <v>32</v>
      </c>
      <c r="D1" t="s">
        <v>33</v>
      </c>
      <c r="E1" t="s">
        <v>31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</row>
    <row r="2" spans="1:10" x14ac:dyDescent="0.25">
      <c r="A2">
        <v>1</v>
      </c>
      <c r="B2">
        <v>568513272</v>
      </c>
      <c r="C2" s="7" t="s">
        <v>39</v>
      </c>
      <c r="D2">
        <v>2.85</v>
      </c>
      <c r="E2" s="7">
        <f>worker_data[[#This Row],[employed]]-worker_data[[#This Row],[spent_amount]]</f>
        <v>0.85</v>
      </c>
      <c r="F2">
        <v>8.7999999999999995E-2</v>
      </c>
      <c r="G2">
        <v>0.15</v>
      </c>
      <c r="H2">
        <v>1</v>
      </c>
      <c r="I2" s="7" t="s">
        <v>147</v>
      </c>
      <c r="J2">
        <v>0.15</v>
      </c>
    </row>
    <row r="3" spans="1:10" x14ac:dyDescent="0.25">
      <c r="A3">
        <v>2</v>
      </c>
      <c r="B3">
        <v>116381266</v>
      </c>
      <c r="C3" s="7" t="s">
        <v>39</v>
      </c>
      <c r="D3">
        <v>2.6194999999999999</v>
      </c>
      <c r="E3" s="7">
        <f>worker_data[[#This Row],[employed]]-worker_data[[#This Row],[spent_amount]]</f>
        <v>-0.23050000000000001</v>
      </c>
      <c r="F3">
        <v>8.448E-2</v>
      </c>
      <c r="G3">
        <v>0.23050000000000001</v>
      </c>
      <c r="H3">
        <v>0</v>
      </c>
      <c r="I3" s="7" t="s">
        <v>40</v>
      </c>
      <c r="J3">
        <v>0.23050000000000001</v>
      </c>
    </row>
    <row r="4" spans="1:10" x14ac:dyDescent="0.25">
      <c r="A4">
        <v>3</v>
      </c>
      <c r="B4">
        <v>561622615</v>
      </c>
      <c r="C4" s="7" t="s">
        <v>39</v>
      </c>
      <c r="D4">
        <v>2.4040499999999998</v>
      </c>
      <c r="E4" s="7">
        <f>worker_data[[#This Row],[employed]]-worker_data[[#This Row],[spent_amount]]</f>
        <v>-0.21545500000000001</v>
      </c>
      <c r="F4">
        <v>8.1100800000000001E-2</v>
      </c>
      <c r="G4">
        <v>0.21545500000000001</v>
      </c>
      <c r="H4">
        <v>0</v>
      </c>
      <c r="I4" s="7" t="s">
        <v>40</v>
      </c>
      <c r="J4">
        <v>0.21545500000000001</v>
      </c>
    </row>
    <row r="5" spans="1:10" x14ac:dyDescent="0.25">
      <c r="A5">
        <v>4</v>
      </c>
      <c r="B5">
        <v>580265595</v>
      </c>
      <c r="C5" s="7" t="s">
        <v>39</v>
      </c>
      <c r="D5">
        <v>2.2027399999999999</v>
      </c>
      <c r="E5" s="7">
        <f>worker_data[[#This Row],[employed]]-worker_data[[#This Row],[spent_amount]]</f>
        <v>-0.20130300000000001</v>
      </c>
      <c r="F5">
        <v>7.7856800000000004E-2</v>
      </c>
      <c r="G5">
        <v>0.20130300000000001</v>
      </c>
      <c r="H5">
        <v>0</v>
      </c>
      <c r="I5" s="7" t="s">
        <v>40</v>
      </c>
      <c r="J5">
        <v>0.20130300000000001</v>
      </c>
    </row>
    <row r="6" spans="1:10" x14ac:dyDescent="0.25">
      <c r="A6">
        <v>5</v>
      </c>
      <c r="B6">
        <v>92974295</v>
      </c>
      <c r="C6" s="7" t="s">
        <v>39</v>
      </c>
      <c r="D6">
        <v>2.0147499999999998</v>
      </c>
      <c r="E6" s="7">
        <f>worker_data[[#This Row],[employed]]-worker_data[[#This Row],[spent_amount]]</f>
        <v>-0.18799399999999999</v>
      </c>
      <c r="F6">
        <v>7.4742500000000003E-2</v>
      </c>
      <c r="G6">
        <v>0.18799399999999999</v>
      </c>
      <c r="H6">
        <v>0</v>
      </c>
      <c r="I6" s="7" t="s">
        <v>40</v>
      </c>
      <c r="J6">
        <v>0.18799399999999999</v>
      </c>
    </row>
    <row r="7" spans="1:10" x14ac:dyDescent="0.25">
      <c r="A7">
        <v>6</v>
      </c>
      <c r="B7">
        <v>844295000</v>
      </c>
      <c r="C7" s="7" t="s">
        <v>39</v>
      </c>
      <c r="D7">
        <v>1.83927</v>
      </c>
      <c r="E7" s="7">
        <f>worker_data[[#This Row],[employed]]-worker_data[[#This Row],[spent_amount]]</f>
        <v>-0.17548</v>
      </c>
      <c r="F7">
        <v>7.1752800000000005E-2</v>
      </c>
      <c r="G7">
        <v>0.17548</v>
      </c>
      <c r="H7">
        <v>0</v>
      </c>
      <c r="I7" s="7" t="s">
        <v>40</v>
      </c>
      <c r="J7">
        <v>0.17548</v>
      </c>
    </row>
    <row r="8" spans="1:10" x14ac:dyDescent="0.25">
      <c r="A8">
        <v>7</v>
      </c>
      <c r="B8">
        <v>461579371</v>
      </c>
      <c r="C8" s="7" t="s">
        <v>39</v>
      </c>
      <c r="D8">
        <v>1.6755500000000001</v>
      </c>
      <c r="E8" s="7">
        <f>worker_data[[#This Row],[employed]]-worker_data[[#This Row],[spent_amount]]</f>
        <v>-0.163716</v>
      </c>
      <c r="F8">
        <v>6.8882700000000005E-2</v>
      </c>
      <c r="G8">
        <v>0.163716</v>
      </c>
      <c r="H8">
        <v>0</v>
      </c>
      <c r="I8" s="7" t="s">
        <v>40</v>
      </c>
      <c r="J8">
        <v>0.163716</v>
      </c>
    </row>
    <row r="9" spans="1:10" x14ac:dyDescent="0.25">
      <c r="A9">
        <v>8</v>
      </c>
      <c r="B9">
        <v>924166741</v>
      </c>
      <c r="C9" s="7" t="s">
        <v>39</v>
      </c>
      <c r="D9">
        <v>1.5228900000000001</v>
      </c>
      <c r="E9" s="7">
        <f>worker_data[[#This Row],[employed]]-worker_data[[#This Row],[spent_amount]]</f>
        <v>-0.15265999999999999</v>
      </c>
      <c r="F9">
        <v>6.6127400000000003E-2</v>
      </c>
      <c r="G9">
        <v>0.15265999999999999</v>
      </c>
      <c r="H9">
        <v>0</v>
      </c>
      <c r="I9" s="7" t="s">
        <v>40</v>
      </c>
      <c r="J9">
        <v>0.15265999999999999</v>
      </c>
    </row>
    <row r="10" spans="1:10" x14ac:dyDescent="0.25">
      <c r="A10">
        <v>9</v>
      </c>
      <c r="B10">
        <v>656175618</v>
      </c>
      <c r="C10" s="7" t="s">
        <v>39</v>
      </c>
      <c r="D10">
        <v>1.38062</v>
      </c>
      <c r="E10" s="7">
        <f>worker_data[[#This Row],[employed]]-worker_data[[#This Row],[spent_amount]]</f>
        <v>-0.14227200000000001</v>
      </c>
      <c r="F10">
        <v>6.3482300000000005E-2</v>
      </c>
      <c r="G10">
        <v>0.14227200000000001</v>
      </c>
      <c r="H10">
        <v>0</v>
      </c>
      <c r="I10" s="7" t="s">
        <v>40</v>
      </c>
      <c r="J10">
        <v>0.14227200000000001</v>
      </c>
    </row>
    <row r="11" spans="1:10" x14ac:dyDescent="0.25">
      <c r="A11">
        <v>10</v>
      </c>
      <c r="B11">
        <v>290272111</v>
      </c>
      <c r="C11" s="7" t="s">
        <v>39</v>
      </c>
      <c r="D11">
        <v>1.2481100000000001</v>
      </c>
      <c r="E11" s="7">
        <f>worker_data[[#This Row],[employed]]-worker_data[[#This Row],[spent_amount]]</f>
        <v>-0.13251299999999999</v>
      </c>
      <c r="F11">
        <v>6.0942999999999997E-2</v>
      </c>
      <c r="G11">
        <v>0.13251299999999999</v>
      </c>
      <c r="H11">
        <v>0</v>
      </c>
      <c r="I11" s="7" t="s">
        <v>40</v>
      </c>
      <c r="J11">
        <v>0.13251299999999999</v>
      </c>
    </row>
    <row r="12" spans="1:10" x14ac:dyDescent="0.25">
      <c r="A12">
        <v>11</v>
      </c>
      <c r="B12">
        <v>3764035</v>
      </c>
      <c r="C12" s="7" t="s">
        <v>39</v>
      </c>
      <c r="D12">
        <v>1.12476</v>
      </c>
      <c r="E12" s="7">
        <f>worker_data[[#This Row],[employed]]-worker_data[[#This Row],[spent_amount]]</f>
        <v>-0.123348</v>
      </c>
      <c r="F12">
        <v>5.8505300000000003E-2</v>
      </c>
      <c r="G12">
        <v>0.123348</v>
      </c>
      <c r="H12">
        <v>0</v>
      </c>
      <c r="I12" s="7" t="s">
        <v>40</v>
      </c>
      <c r="J12">
        <v>0.123348</v>
      </c>
    </row>
    <row r="13" spans="1:10" x14ac:dyDescent="0.25">
      <c r="A13">
        <v>12</v>
      </c>
      <c r="B13">
        <v>121302646</v>
      </c>
      <c r="C13" s="7" t="s">
        <v>39</v>
      </c>
      <c r="D13">
        <v>1.0100199999999999</v>
      </c>
      <c r="E13" s="7">
        <f>worker_data[[#This Row],[employed]]-worker_data[[#This Row],[spent_amount]]</f>
        <v>-0.114743</v>
      </c>
      <c r="F13">
        <v>5.6165100000000003E-2</v>
      </c>
      <c r="G13">
        <v>0.114743</v>
      </c>
      <c r="H13">
        <v>0</v>
      </c>
      <c r="I13" s="7" t="s">
        <v>40</v>
      </c>
      <c r="J13">
        <v>0.114743</v>
      </c>
    </row>
    <row r="14" spans="1:10" x14ac:dyDescent="0.25">
      <c r="A14">
        <v>13</v>
      </c>
      <c r="B14">
        <v>238110832</v>
      </c>
      <c r="C14" s="7" t="s">
        <v>39</v>
      </c>
      <c r="D14">
        <v>0.90334899999999996</v>
      </c>
      <c r="E14" s="7">
        <f>worker_data[[#This Row],[employed]]-worker_data[[#This Row],[spent_amount]]</f>
        <v>-0.106666</v>
      </c>
      <c r="F14">
        <v>5.3918500000000001E-2</v>
      </c>
      <c r="G14">
        <v>0.106666</v>
      </c>
      <c r="H14">
        <v>0</v>
      </c>
      <c r="I14" s="7" t="s">
        <v>40</v>
      </c>
      <c r="J14">
        <v>0.106666</v>
      </c>
    </row>
    <row r="15" spans="1:10" x14ac:dyDescent="0.25">
      <c r="A15">
        <v>14</v>
      </c>
      <c r="B15">
        <v>961221646</v>
      </c>
      <c r="C15" s="7" t="s">
        <v>39</v>
      </c>
      <c r="D15">
        <v>0.80426299999999995</v>
      </c>
      <c r="E15" s="7">
        <f>worker_data[[#This Row],[employed]]-worker_data[[#This Row],[spent_amount]]</f>
        <v>-9.9085900000000005E-2</v>
      </c>
      <c r="F15">
        <v>5.1761700000000001E-2</v>
      </c>
      <c r="G15">
        <v>9.9085900000000005E-2</v>
      </c>
      <c r="H15">
        <v>0</v>
      </c>
      <c r="I15" s="7" t="s">
        <v>40</v>
      </c>
      <c r="J15">
        <v>9.9085900000000005E-2</v>
      </c>
    </row>
    <row r="16" spans="1:10" x14ac:dyDescent="0.25">
      <c r="A16">
        <v>15</v>
      </c>
      <c r="B16">
        <v>831476582</v>
      </c>
      <c r="C16" s="7" t="s">
        <v>39</v>
      </c>
      <c r="D16">
        <v>0.71228800000000003</v>
      </c>
      <c r="E16" s="7">
        <f>worker_data[[#This Row],[employed]]-worker_data[[#This Row],[spent_amount]]</f>
        <v>-9.1974899999999998E-2</v>
      </c>
      <c r="F16">
        <v>4.9691300000000001E-2</v>
      </c>
      <c r="G16">
        <v>9.1974899999999998E-2</v>
      </c>
      <c r="H16">
        <v>0</v>
      </c>
      <c r="I16" s="7" t="s">
        <v>40</v>
      </c>
      <c r="J16">
        <v>9.1974899999999998E-2</v>
      </c>
    </row>
    <row r="17" spans="1:10" x14ac:dyDescent="0.25">
      <c r="A17">
        <v>16</v>
      </c>
      <c r="B17">
        <v>104392272</v>
      </c>
      <c r="C17" s="7" t="s">
        <v>39</v>
      </c>
      <c r="D17">
        <v>0.62698299999999996</v>
      </c>
      <c r="E17" s="7">
        <f>worker_data[[#This Row],[employed]]-worker_data[[#This Row],[spent_amount]]</f>
        <v>-8.5305699999999998E-2</v>
      </c>
      <c r="F17">
        <v>4.7703599999999999E-2</v>
      </c>
      <c r="G17">
        <v>8.5305699999999998E-2</v>
      </c>
      <c r="H17">
        <v>0</v>
      </c>
      <c r="I17" s="7" t="s">
        <v>40</v>
      </c>
      <c r="J17">
        <v>8.5305699999999998E-2</v>
      </c>
    </row>
    <row r="18" spans="1:10" x14ac:dyDescent="0.25">
      <c r="A18">
        <v>17</v>
      </c>
      <c r="B18">
        <v>916001675</v>
      </c>
      <c r="C18" s="7" t="s">
        <v>39</v>
      </c>
      <c r="D18">
        <v>0.54793000000000003</v>
      </c>
      <c r="E18" s="7">
        <f>worker_data[[#This Row],[employed]]-worker_data[[#This Row],[spent_amount]]</f>
        <v>-7.9052700000000004E-2</v>
      </c>
      <c r="F18">
        <v>4.5795500000000003E-2</v>
      </c>
      <c r="G18">
        <v>7.9052700000000004E-2</v>
      </c>
      <c r="H18">
        <v>0</v>
      </c>
      <c r="I18" s="7" t="s">
        <v>40</v>
      </c>
      <c r="J18">
        <v>7.9052700000000004E-2</v>
      </c>
    </row>
    <row r="19" spans="1:10" x14ac:dyDescent="0.25">
      <c r="A19">
        <v>18</v>
      </c>
      <c r="B19">
        <v>936052797</v>
      </c>
      <c r="C19" s="7" t="s">
        <v>39</v>
      </c>
      <c r="D19">
        <v>0.47473799999999999</v>
      </c>
      <c r="E19" s="7">
        <f>worker_data[[#This Row],[employed]]-worker_data[[#This Row],[spent_amount]]</f>
        <v>-7.3191999999999993E-2</v>
      </c>
      <c r="F19">
        <v>4.3963599999999999E-2</v>
      </c>
      <c r="G19">
        <v>7.3191999999999993E-2</v>
      </c>
      <c r="H19">
        <v>0</v>
      </c>
      <c r="I19" s="7" t="s">
        <v>40</v>
      </c>
      <c r="J19">
        <v>7.3191999999999993E-2</v>
      </c>
    </row>
    <row r="20" spans="1:10" x14ac:dyDescent="0.25">
      <c r="A20">
        <v>19</v>
      </c>
      <c r="B20">
        <v>77616671</v>
      </c>
      <c r="C20" s="7" t="s">
        <v>39</v>
      </c>
      <c r="D20">
        <v>0.40703699999999998</v>
      </c>
      <c r="E20" s="7">
        <f>worker_data[[#This Row],[employed]]-worker_data[[#This Row],[spent_amount]]</f>
        <v>-6.7700499999999997E-2</v>
      </c>
      <c r="F20">
        <v>4.2205100000000002E-2</v>
      </c>
      <c r="G20">
        <v>6.7700499999999997E-2</v>
      </c>
      <c r="H20">
        <v>0</v>
      </c>
      <c r="I20" s="7" t="s">
        <v>40</v>
      </c>
      <c r="J20">
        <v>6.7700499999999997E-2</v>
      </c>
    </row>
    <row r="21" spans="1:10" x14ac:dyDescent="0.25">
      <c r="A21">
        <v>20</v>
      </c>
      <c r="B21">
        <v>680394204</v>
      </c>
      <c r="C21" s="7" t="s">
        <v>39</v>
      </c>
      <c r="D21">
        <v>0.34448000000000001</v>
      </c>
      <c r="E21" s="7">
        <f>worker_data[[#This Row],[employed]]-worker_data[[#This Row],[spent_amount]]</f>
        <v>-6.2557000000000001E-2</v>
      </c>
      <c r="F21">
        <v>4.0516900000000002E-2</v>
      </c>
      <c r="G21">
        <v>6.2557000000000001E-2</v>
      </c>
      <c r="H21">
        <v>0</v>
      </c>
      <c r="I21" s="7" t="s">
        <v>40</v>
      </c>
      <c r="J21">
        <v>6.2557000000000001E-2</v>
      </c>
    </row>
    <row r="22" spans="1:10" x14ac:dyDescent="0.25">
      <c r="A22">
        <v>21</v>
      </c>
      <c r="B22">
        <v>658983578</v>
      </c>
      <c r="C22" s="7" t="s">
        <v>39</v>
      </c>
      <c r="D22">
        <v>1.28674</v>
      </c>
      <c r="E22" s="7">
        <f>worker_data[[#This Row],[employed]]-worker_data[[#This Row],[spent_amount]]</f>
        <v>0.94225910000000002</v>
      </c>
      <c r="F22">
        <v>7.88962E-2</v>
      </c>
      <c r="G22">
        <v>5.7740899999999998E-2</v>
      </c>
      <c r="H22">
        <v>1</v>
      </c>
      <c r="I22" s="7" t="s">
        <v>148</v>
      </c>
      <c r="J22">
        <v>5.7740899999999998E-2</v>
      </c>
    </row>
    <row r="23" spans="1:10" x14ac:dyDescent="0.25">
      <c r="A23">
        <v>22</v>
      </c>
      <c r="B23">
        <v>211060894</v>
      </c>
      <c r="C23" s="7" t="s">
        <v>39</v>
      </c>
      <c r="D23">
        <v>2.14351</v>
      </c>
      <c r="E23" s="7">
        <f>worker_data[[#This Row],[employed]]-worker_data[[#This Row],[spent_amount]]</f>
        <v>0.85676700000000006</v>
      </c>
      <c r="F23">
        <v>0.11574</v>
      </c>
      <c r="G23">
        <v>0.143233</v>
      </c>
      <c r="H23">
        <v>1</v>
      </c>
      <c r="I23" s="7" t="s">
        <v>148</v>
      </c>
      <c r="J23">
        <v>0.143233</v>
      </c>
    </row>
    <row r="24" spans="1:10" x14ac:dyDescent="0.25">
      <c r="A24">
        <v>23</v>
      </c>
      <c r="B24">
        <v>770567819</v>
      </c>
      <c r="C24" s="7" t="s">
        <v>39</v>
      </c>
      <c r="D24">
        <v>2.9205899999999998</v>
      </c>
      <c r="E24" s="7">
        <f>worker_data[[#This Row],[employed]]-worker_data[[#This Row],[spent_amount]]</f>
        <v>0.777084</v>
      </c>
      <c r="F24">
        <v>0.151111</v>
      </c>
      <c r="G24">
        <v>0.222916</v>
      </c>
      <c r="H24">
        <v>1</v>
      </c>
      <c r="I24" s="7" t="s">
        <v>148</v>
      </c>
      <c r="J24">
        <v>0.222916</v>
      </c>
    </row>
    <row r="25" spans="1:10" x14ac:dyDescent="0.25">
      <c r="A25">
        <v>24</v>
      </c>
      <c r="B25">
        <v>501229029</v>
      </c>
      <c r="C25" s="7" t="s">
        <v>39</v>
      </c>
      <c r="D25">
        <v>3.6234500000000001</v>
      </c>
      <c r="E25" s="7">
        <f>worker_data[[#This Row],[employed]]-worker_data[[#This Row],[spent_amount]]</f>
        <v>0.70286000000000004</v>
      </c>
      <c r="F25">
        <v>0.18506600000000001</v>
      </c>
      <c r="G25">
        <v>0.29714000000000002</v>
      </c>
      <c r="H25">
        <v>1</v>
      </c>
      <c r="I25" s="7" t="s">
        <v>148</v>
      </c>
      <c r="J25">
        <v>0.29714000000000002</v>
      </c>
    </row>
    <row r="26" spans="1:10" x14ac:dyDescent="0.25">
      <c r="A26">
        <v>25</v>
      </c>
      <c r="B26">
        <v>276334154</v>
      </c>
      <c r="C26" s="7" t="s">
        <v>39</v>
      </c>
      <c r="D26">
        <v>4.2572099999999997</v>
      </c>
      <c r="E26" s="7">
        <f>worker_data[[#This Row],[employed]]-worker_data[[#This Row],[spent_amount]]</f>
        <v>0.63376100000000002</v>
      </c>
      <c r="F26">
        <v>0.217664</v>
      </c>
      <c r="G26">
        <v>0.36623899999999998</v>
      </c>
      <c r="H26">
        <v>1</v>
      </c>
      <c r="I26" s="7" t="s">
        <v>148</v>
      </c>
      <c r="J26">
        <v>0.36623899999999998</v>
      </c>
    </row>
    <row r="27" spans="1:10" x14ac:dyDescent="0.25">
      <c r="A27">
        <v>26</v>
      </c>
      <c r="B27">
        <v>502571959</v>
      </c>
      <c r="C27" s="7" t="s">
        <v>39</v>
      </c>
      <c r="D27">
        <v>4.8266900000000001</v>
      </c>
      <c r="E27" s="7">
        <f>worker_data[[#This Row],[employed]]-worker_data[[#This Row],[spent_amount]]</f>
        <v>0.56947599999999998</v>
      </c>
      <c r="F27">
        <v>0.24895700000000001</v>
      </c>
      <c r="G27">
        <v>0.43052400000000002</v>
      </c>
      <c r="H27">
        <v>1</v>
      </c>
      <c r="I27" s="7" t="s">
        <v>148</v>
      </c>
      <c r="J27">
        <v>0.43052400000000002</v>
      </c>
    </row>
    <row r="28" spans="1:10" x14ac:dyDescent="0.25">
      <c r="A28">
        <v>27</v>
      </c>
      <c r="B28">
        <v>131486380</v>
      </c>
      <c r="C28" s="7" t="s">
        <v>39</v>
      </c>
      <c r="D28">
        <v>5.3364000000000003</v>
      </c>
      <c r="E28" s="7">
        <f>worker_data[[#This Row],[employed]]-worker_data[[#This Row],[spent_amount]]</f>
        <v>0.50970899999999997</v>
      </c>
      <c r="F28">
        <v>0.278999</v>
      </c>
      <c r="G28">
        <v>0.49029099999999998</v>
      </c>
      <c r="H28">
        <v>1</v>
      </c>
      <c r="I28" s="7" t="s">
        <v>148</v>
      </c>
      <c r="J28">
        <v>0.49029099999999998</v>
      </c>
    </row>
    <row r="29" spans="1:10" x14ac:dyDescent="0.25">
      <c r="A29">
        <v>28</v>
      </c>
      <c r="B29">
        <v>811259257</v>
      </c>
      <c r="C29" s="7" t="s">
        <v>39</v>
      </c>
      <c r="D29">
        <v>5.7905800000000003</v>
      </c>
      <c r="E29" s="7">
        <f>worker_data[[#This Row],[employed]]-worker_data[[#This Row],[spent_amount]]</f>
        <v>0.45418099999999995</v>
      </c>
      <c r="F29">
        <v>0.30783899999999997</v>
      </c>
      <c r="G29">
        <v>0.54581900000000005</v>
      </c>
      <c r="H29">
        <v>1</v>
      </c>
      <c r="I29" s="7" t="s">
        <v>148</v>
      </c>
      <c r="J29">
        <v>0.54581900000000005</v>
      </c>
    </row>
    <row r="30" spans="1:10" x14ac:dyDescent="0.25">
      <c r="A30">
        <v>29</v>
      </c>
      <c r="B30">
        <v>802722953</v>
      </c>
      <c r="C30" s="7" t="s">
        <v>39</v>
      </c>
      <c r="D30">
        <v>6.1932099999999997</v>
      </c>
      <c r="E30" s="7">
        <f>worker_data[[#This Row],[employed]]-worker_data[[#This Row],[spent_amount]]</f>
        <v>0.40263199999999999</v>
      </c>
      <c r="F30">
        <v>0.33552500000000002</v>
      </c>
      <c r="G30">
        <v>0.59736800000000001</v>
      </c>
      <c r="H30">
        <v>1</v>
      </c>
      <c r="I30" s="7" t="s">
        <v>148</v>
      </c>
      <c r="J30">
        <v>0.59736800000000001</v>
      </c>
    </row>
    <row r="31" spans="1:10" x14ac:dyDescent="0.25">
      <c r="A31">
        <v>30</v>
      </c>
      <c r="B31">
        <v>61986554</v>
      </c>
      <c r="C31" s="7" t="s">
        <v>39</v>
      </c>
      <c r="D31">
        <v>6.5480200000000002</v>
      </c>
      <c r="E31" s="7">
        <f>worker_data[[#This Row],[employed]]-worker_data[[#This Row],[spent_amount]]</f>
        <v>0.35481399999999996</v>
      </c>
      <c r="F31">
        <v>0.36210399999999998</v>
      </c>
      <c r="G31">
        <v>0.64518600000000004</v>
      </c>
      <c r="H31">
        <v>1</v>
      </c>
      <c r="I31" s="7" t="s">
        <v>148</v>
      </c>
      <c r="J31">
        <v>0.64518600000000004</v>
      </c>
    </row>
    <row r="32" spans="1:10" x14ac:dyDescent="0.25">
      <c r="A32">
        <v>31</v>
      </c>
      <c r="B32">
        <v>238863426</v>
      </c>
      <c r="C32" s="7" t="s">
        <v>39</v>
      </c>
      <c r="D32">
        <v>6.8585200000000004</v>
      </c>
      <c r="E32" s="7">
        <f>worker_data[[#This Row],[employed]]-worker_data[[#This Row],[spent_amount]]</f>
        <v>0.31049400000000005</v>
      </c>
      <c r="F32">
        <v>0.38762000000000002</v>
      </c>
      <c r="G32">
        <v>0.68950599999999995</v>
      </c>
      <c r="H32">
        <v>1</v>
      </c>
      <c r="I32" s="7" t="s">
        <v>148</v>
      </c>
      <c r="J32">
        <v>0.68950599999999995</v>
      </c>
    </row>
    <row r="33" spans="1:10" x14ac:dyDescent="0.25">
      <c r="A33">
        <v>32</v>
      </c>
      <c r="B33">
        <v>56500805</v>
      </c>
      <c r="C33" s="7" t="s">
        <v>39</v>
      </c>
      <c r="D33">
        <v>7.1279700000000004</v>
      </c>
      <c r="E33" s="7">
        <f>worker_data[[#This Row],[employed]]-worker_data[[#This Row],[spent_amount]]</f>
        <v>0.26945399999999997</v>
      </c>
      <c r="F33">
        <v>0.41211500000000001</v>
      </c>
      <c r="G33">
        <v>0.73054600000000003</v>
      </c>
      <c r="H33">
        <v>1</v>
      </c>
      <c r="I33" s="7" t="s">
        <v>148</v>
      </c>
      <c r="J33">
        <v>0.73054600000000003</v>
      </c>
    </row>
    <row r="34" spans="1:10" x14ac:dyDescent="0.25">
      <c r="A34">
        <v>33</v>
      </c>
      <c r="B34">
        <v>578502809</v>
      </c>
      <c r="C34" s="7" t="s">
        <v>39</v>
      </c>
      <c r="D34">
        <v>8.1279699999999995</v>
      </c>
      <c r="E34" s="7">
        <f>worker_data[[#This Row],[employed]]-worker_data[[#This Row],[spent_amount]]</f>
        <v>1</v>
      </c>
      <c r="F34">
        <v>0.43563099999999999</v>
      </c>
      <c r="G34">
        <v>0</v>
      </c>
      <c r="H34">
        <v>1</v>
      </c>
      <c r="I34" s="7" t="s">
        <v>148</v>
      </c>
      <c r="J34">
        <v>0.76851400000000003</v>
      </c>
    </row>
    <row r="35" spans="1:10" x14ac:dyDescent="0.25">
      <c r="A35">
        <v>34</v>
      </c>
      <c r="B35">
        <v>798280695</v>
      </c>
      <c r="C35" s="7" t="s">
        <v>39</v>
      </c>
      <c r="D35">
        <v>8.2859400000000001</v>
      </c>
      <c r="E35" s="7">
        <f>worker_data[[#This Row],[employed]]-worker_data[[#This Row],[spent_amount]]</f>
        <v>0.15797099999999997</v>
      </c>
      <c r="F35">
        <v>0.45820499999999997</v>
      </c>
      <c r="G35">
        <v>0.84202900000000003</v>
      </c>
      <c r="H35">
        <v>1</v>
      </c>
      <c r="I35" s="7" t="s">
        <v>148</v>
      </c>
      <c r="J35">
        <v>0.84202900000000003</v>
      </c>
    </row>
    <row r="36" spans="1:10" x14ac:dyDescent="0.25">
      <c r="A36">
        <v>35</v>
      </c>
      <c r="B36">
        <v>963350314</v>
      </c>
      <c r="C36" s="7" t="s">
        <v>39</v>
      </c>
      <c r="D36">
        <v>8.4134399999999996</v>
      </c>
      <c r="E36" s="7">
        <f>worker_data[[#This Row],[employed]]-worker_data[[#This Row],[spent_amount]]</f>
        <v>0.12749699999999997</v>
      </c>
      <c r="F36">
        <v>0.479877</v>
      </c>
      <c r="G36">
        <v>0.87250300000000003</v>
      </c>
      <c r="H36">
        <v>1</v>
      </c>
      <c r="I36" s="7" t="s">
        <v>148</v>
      </c>
      <c r="J36">
        <v>0.87250300000000003</v>
      </c>
    </row>
    <row r="37" spans="1:10" x14ac:dyDescent="0.25">
      <c r="A37">
        <v>36</v>
      </c>
      <c r="B37">
        <v>519322908</v>
      </c>
      <c r="C37" s="7" t="s">
        <v>39</v>
      </c>
      <c r="D37">
        <v>7.5128899999999996</v>
      </c>
      <c r="E37" s="7">
        <f>worker_data[[#This Row],[employed]]-worker_data[[#This Row],[spent_amount]]</f>
        <v>-0.90054900000000004</v>
      </c>
      <c r="F37">
        <v>0.46068199999999998</v>
      </c>
      <c r="G37">
        <v>0.90054900000000004</v>
      </c>
      <c r="H37">
        <v>0</v>
      </c>
      <c r="I37" s="7" t="s">
        <v>40</v>
      </c>
      <c r="J37">
        <v>0.90054900000000004</v>
      </c>
    </row>
    <row r="38" spans="1:10" x14ac:dyDescent="0.25">
      <c r="A38">
        <v>37</v>
      </c>
      <c r="B38">
        <v>26405910</v>
      </c>
      <c r="C38" s="7" t="s">
        <v>39</v>
      </c>
      <c r="D38">
        <v>7.5128899999999996</v>
      </c>
      <c r="E38" s="7">
        <f>worker_data[[#This Row],[employed]]-worker_data[[#This Row],[spent_amount]]</f>
        <v>0</v>
      </c>
      <c r="F38">
        <v>0.44225500000000001</v>
      </c>
      <c r="G38">
        <v>0</v>
      </c>
      <c r="H38">
        <v>0</v>
      </c>
      <c r="I38" s="7" t="s">
        <v>40</v>
      </c>
      <c r="J38">
        <v>0.83632700000000004</v>
      </c>
    </row>
    <row r="39" spans="1:10" x14ac:dyDescent="0.25">
      <c r="A39">
        <v>38</v>
      </c>
      <c r="B39">
        <v>789979588</v>
      </c>
      <c r="C39" s="7" t="s">
        <v>39</v>
      </c>
      <c r="D39">
        <v>6.6949899999999998</v>
      </c>
      <c r="E39" s="7">
        <f>worker_data[[#This Row],[employed]]-worker_data[[#This Row],[spent_amount]]</f>
        <v>-0.81789900000000004</v>
      </c>
      <c r="F39">
        <v>0.42456500000000003</v>
      </c>
      <c r="G39">
        <v>0.81789900000000004</v>
      </c>
      <c r="H39">
        <v>0</v>
      </c>
      <c r="I39" s="7" t="s">
        <v>40</v>
      </c>
      <c r="J39">
        <v>0.81789900000000004</v>
      </c>
    </row>
    <row r="40" spans="1:10" x14ac:dyDescent="0.25">
      <c r="A40">
        <v>39</v>
      </c>
      <c r="B40">
        <v>258068337</v>
      </c>
      <c r="C40" s="7" t="s">
        <v>39</v>
      </c>
      <c r="D40">
        <v>5.9356799999999996</v>
      </c>
      <c r="E40" s="7">
        <f>worker_data[[#This Row],[employed]]-worker_data[[#This Row],[spent_amount]]</f>
        <v>-0.75931400000000004</v>
      </c>
      <c r="F40">
        <v>0.407582</v>
      </c>
      <c r="G40">
        <v>0.75931400000000004</v>
      </c>
      <c r="H40">
        <v>0</v>
      </c>
      <c r="I40" s="7" t="s">
        <v>40</v>
      </c>
      <c r="J40">
        <v>0.75931400000000004</v>
      </c>
    </row>
    <row r="41" spans="1:10" x14ac:dyDescent="0.25">
      <c r="A41">
        <v>40</v>
      </c>
      <c r="B41">
        <v>882293954</v>
      </c>
      <c r="C41" s="7" t="s">
        <v>39</v>
      </c>
      <c r="D41">
        <v>5.2313099999999997</v>
      </c>
      <c r="E41" s="7">
        <f>worker_data[[#This Row],[employed]]-worker_data[[#This Row],[spent_amount]]</f>
        <v>-0.70436600000000005</v>
      </c>
      <c r="F41">
        <v>0.39127899999999999</v>
      </c>
      <c r="G41">
        <v>0.70436600000000005</v>
      </c>
      <c r="H41">
        <v>0</v>
      </c>
      <c r="I41" s="7" t="s">
        <v>40</v>
      </c>
      <c r="J41">
        <v>0.70436600000000005</v>
      </c>
    </row>
    <row r="42" spans="1:10" x14ac:dyDescent="0.25">
      <c r="A42">
        <v>41</v>
      </c>
      <c r="B42">
        <v>696091386</v>
      </c>
      <c r="C42" s="7" t="s">
        <v>39</v>
      </c>
      <c r="D42">
        <v>4.5784700000000003</v>
      </c>
      <c r="E42" s="7">
        <f>worker_data[[#This Row],[employed]]-worker_data[[#This Row],[spent_amount]]</f>
        <v>-0.65284399999999998</v>
      </c>
      <c r="F42">
        <v>0.37562800000000002</v>
      </c>
      <c r="G42">
        <v>0.65284399999999998</v>
      </c>
      <c r="H42">
        <v>0</v>
      </c>
      <c r="I42" s="7" t="s">
        <v>40</v>
      </c>
      <c r="J42">
        <v>0.65284399999999998</v>
      </c>
    </row>
    <row r="43" spans="1:10" x14ac:dyDescent="0.25">
      <c r="A43">
        <v>42</v>
      </c>
      <c r="B43">
        <v>139397762</v>
      </c>
      <c r="C43" s="7" t="s">
        <v>39</v>
      </c>
      <c r="D43">
        <v>4.5784700000000003</v>
      </c>
      <c r="E43" s="7">
        <f>worker_data[[#This Row],[employed]]-worker_data[[#This Row],[spent_amount]]</f>
        <v>0</v>
      </c>
      <c r="F43">
        <v>0.36060300000000001</v>
      </c>
      <c r="G43">
        <v>0</v>
      </c>
      <c r="H43">
        <v>0</v>
      </c>
      <c r="I43" s="7" t="s">
        <v>40</v>
      </c>
      <c r="J43">
        <v>0.60455099999999995</v>
      </c>
    </row>
    <row r="44" spans="1:10" x14ac:dyDescent="0.25">
      <c r="A44">
        <v>43</v>
      </c>
      <c r="B44">
        <v>404803651</v>
      </c>
      <c r="C44" s="7" t="s">
        <v>39</v>
      </c>
      <c r="D44">
        <v>3.9889399999999999</v>
      </c>
      <c r="E44" s="7">
        <f>worker_data[[#This Row],[employed]]-worker_data[[#This Row],[spent_amount]]</f>
        <v>-0.58952599999999999</v>
      </c>
      <c r="F44">
        <v>0.34617799999999999</v>
      </c>
      <c r="G44">
        <v>0.58952599999999999</v>
      </c>
      <c r="H44">
        <v>0</v>
      </c>
      <c r="I44" s="7" t="s">
        <v>40</v>
      </c>
      <c r="J44">
        <v>0.58952599999999999</v>
      </c>
    </row>
    <row r="45" spans="1:10" x14ac:dyDescent="0.25">
      <c r="A45">
        <v>44</v>
      </c>
      <c r="B45">
        <v>711004912</v>
      </c>
      <c r="C45" s="7" t="s">
        <v>39</v>
      </c>
      <c r="D45">
        <v>3.9889399999999999</v>
      </c>
      <c r="E45" s="7">
        <f>worker_data[[#This Row],[employed]]-worker_data[[#This Row],[spent_amount]]</f>
        <v>0</v>
      </c>
      <c r="F45">
        <v>0.33233099999999999</v>
      </c>
      <c r="G45">
        <v>0</v>
      </c>
      <c r="H45">
        <v>0</v>
      </c>
      <c r="I45" s="7" t="s">
        <v>40</v>
      </c>
      <c r="J45">
        <v>0.54562600000000006</v>
      </c>
    </row>
    <row r="46" spans="1:10" x14ac:dyDescent="0.25">
      <c r="A46">
        <v>45</v>
      </c>
      <c r="B46">
        <v>213932851</v>
      </c>
      <c r="C46" s="7" t="s">
        <v>39</v>
      </c>
      <c r="D46">
        <v>3.45716</v>
      </c>
      <c r="E46" s="7">
        <f>worker_data[[#This Row],[employed]]-worker_data[[#This Row],[spent_amount]]</f>
        <v>-0.53177799999999997</v>
      </c>
      <c r="F46">
        <v>0.31903799999999999</v>
      </c>
      <c r="G46">
        <v>0.53177799999999997</v>
      </c>
      <c r="H46">
        <v>0</v>
      </c>
      <c r="I46" s="7" t="s">
        <v>40</v>
      </c>
      <c r="J46">
        <v>0.53177799999999997</v>
      </c>
    </row>
    <row r="47" spans="1:10" x14ac:dyDescent="0.25">
      <c r="A47">
        <v>46</v>
      </c>
      <c r="B47">
        <v>124159291</v>
      </c>
      <c r="C47" s="7" t="s">
        <v>39</v>
      </c>
      <c r="D47">
        <v>2.9652699999999999</v>
      </c>
      <c r="E47" s="7">
        <f>worker_data[[#This Row],[employed]]-worker_data[[#This Row],[spent_amount]]</f>
        <v>-0.491896</v>
      </c>
      <c r="F47">
        <v>0.30627700000000002</v>
      </c>
      <c r="G47">
        <v>0.491896</v>
      </c>
      <c r="H47">
        <v>0</v>
      </c>
      <c r="I47" s="7" t="s">
        <v>40</v>
      </c>
      <c r="J47">
        <v>0.491896</v>
      </c>
    </row>
    <row r="48" spans="1:10" x14ac:dyDescent="0.25">
      <c r="A48">
        <v>47</v>
      </c>
      <c r="B48">
        <v>579575343</v>
      </c>
      <c r="C48" s="7" t="s">
        <v>39</v>
      </c>
      <c r="D48">
        <v>2.5107300000000001</v>
      </c>
      <c r="E48" s="7">
        <f>worker_data[[#This Row],[employed]]-worker_data[[#This Row],[spent_amount]]</f>
        <v>-0.45454</v>
      </c>
      <c r="F48">
        <v>0.29402499999999998</v>
      </c>
      <c r="G48">
        <v>0.45454</v>
      </c>
      <c r="H48">
        <v>0</v>
      </c>
      <c r="I48" s="7" t="s">
        <v>40</v>
      </c>
      <c r="J48">
        <v>0.45454</v>
      </c>
    </row>
    <row r="49" spans="1:10" x14ac:dyDescent="0.25">
      <c r="A49">
        <v>48</v>
      </c>
      <c r="B49">
        <v>116845730</v>
      </c>
      <c r="C49" s="7" t="s">
        <v>39</v>
      </c>
      <c r="D49">
        <v>2.0911599999999999</v>
      </c>
      <c r="E49" s="7">
        <f>worker_data[[#This Row],[employed]]-worker_data[[#This Row],[spent_amount]]</f>
        <v>-0.41956199999999999</v>
      </c>
      <c r="F49">
        <v>0.28226400000000001</v>
      </c>
      <c r="G49">
        <v>0.41956199999999999</v>
      </c>
      <c r="H49">
        <v>0</v>
      </c>
      <c r="I49" s="7" t="s">
        <v>40</v>
      </c>
      <c r="J49">
        <v>0.41956199999999999</v>
      </c>
    </row>
    <row r="50" spans="1:10" x14ac:dyDescent="0.25">
      <c r="A50">
        <v>49</v>
      </c>
      <c r="B50">
        <v>524959716</v>
      </c>
      <c r="C50" s="7" t="s">
        <v>39</v>
      </c>
      <c r="D50">
        <v>1.70434</v>
      </c>
      <c r="E50" s="7">
        <f>worker_data[[#This Row],[employed]]-worker_data[[#This Row],[spent_amount]]</f>
        <v>-0.38682299999999997</v>
      </c>
      <c r="F50">
        <v>0.27097399999999999</v>
      </c>
      <c r="G50">
        <v>0.38682299999999997</v>
      </c>
      <c r="H50">
        <v>0</v>
      </c>
      <c r="I50" s="7" t="s">
        <v>40</v>
      </c>
      <c r="J50">
        <v>0.38682299999999997</v>
      </c>
    </row>
    <row r="51" spans="1:10" x14ac:dyDescent="0.25">
      <c r="A51">
        <v>50</v>
      </c>
      <c r="B51">
        <v>757509101</v>
      </c>
      <c r="C51" s="7" t="s">
        <v>39</v>
      </c>
      <c r="D51">
        <v>1.34815</v>
      </c>
      <c r="E51" s="7">
        <f>worker_data[[#This Row],[employed]]-worker_data[[#This Row],[spent_amount]]</f>
        <v>-0.35619099999999998</v>
      </c>
      <c r="F51">
        <v>0.26013500000000001</v>
      </c>
      <c r="G51">
        <v>0.35619099999999998</v>
      </c>
      <c r="H51">
        <v>0</v>
      </c>
      <c r="I51" s="7" t="s">
        <v>40</v>
      </c>
      <c r="J51">
        <v>0.35619099999999998</v>
      </c>
    </row>
    <row r="52" spans="1:10" x14ac:dyDescent="0.25">
      <c r="A52">
        <v>51</v>
      </c>
      <c r="B52">
        <v>752074527</v>
      </c>
      <c r="C52" s="7" t="s">
        <v>39</v>
      </c>
      <c r="D52">
        <v>1.02061</v>
      </c>
      <c r="E52" s="7">
        <f>worker_data[[#This Row],[employed]]-worker_data[[#This Row],[spent_amount]]</f>
        <v>-0.327542</v>
      </c>
      <c r="F52">
        <v>0.24973000000000001</v>
      </c>
      <c r="G52">
        <v>0.327542</v>
      </c>
      <c r="H52">
        <v>0</v>
      </c>
      <c r="I52" s="7" t="s">
        <v>40</v>
      </c>
      <c r="J52">
        <v>0.327542</v>
      </c>
    </row>
    <row r="53" spans="1:10" x14ac:dyDescent="0.25">
      <c r="A53">
        <v>52</v>
      </c>
      <c r="B53">
        <v>731272528</v>
      </c>
      <c r="C53" s="7" t="s">
        <v>39</v>
      </c>
      <c r="D53">
        <v>0.71984899999999996</v>
      </c>
      <c r="E53" s="7">
        <f>worker_data[[#This Row],[employed]]-worker_data[[#This Row],[spent_amount]]</f>
        <v>-0.30076000000000003</v>
      </c>
      <c r="F53">
        <v>0.23974000000000001</v>
      </c>
      <c r="G53">
        <v>0.30076000000000003</v>
      </c>
      <c r="H53">
        <v>0</v>
      </c>
      <c r="I53" s="7" t="s">
        <v>40</v>
      </c>
      <c r="J53">
        <v>0.30076000000000003</v>
      </c>
    </row>
    <row r="54" spans="1:10" x14ac:dyDescent="0.25">
      <c r="A54">
        <v>53</v>
      </c>
      <c r="B54">
        <v>936623480</v>
      </c>
      <c r="C54" s="7" t="s">
        <v>39</v>
      </c>
      <c r="D54">
        <v>0.44411600000000001</v>
      </c>
      <c r="E54" s="7">
        <f>worker_data[[#This Row],[employed]]-worker_data[[#This Row],[spent_amount]]</f>
        <v>-0.27573300000000001</v>
      </c>
      <c r="F54">
        <v>0.23015099999999999</v>
      </c>
      <c r="G54">
        <v>0.27573300000000001</v>
      </c>
      <c r="H54">
        <v>0</v>
      </c>
      <c r="I54" s="7" t="s">
        <v>40</v>
      </c>
      <c r="J54">
        <v>0.27573300000000001</v>
      </c>
    </row>
    <row r="55" spans="1:10" x14ac:dyDescent="0.25">
      <c r="A55">
        <v>54</v>
      </c>
      <c r="B55">
        <v>695622944</v>
      </c>
      <c r="C55" s="7" t="s">
        <v>39</v>
      </c>
      <c r="D55">
        <v>0.19175900000000001</v>
      </c>
      <c r="E55" s="7">
        <f>worker_data[[#This Row],[employed]]-worker_data[[#This Row],[spent_amount]]</f>
        <v>-0.252357</v>
      </c>
      <c r="F55">
        <v>0.220945</v>
      </c>
      <c r="G55">
        <v>0.252357</v>
      </c>
      <c r="H55">
        <v>0</v>
      </c>
      <c r="I55" s="7" t="s">
        <v>40</v>
      </c>
      <c r="J55">
        <v>0.252357</v>
      </c>
    </row>
    <row r="56" spans="1:10" x14ac:dyDescent="0.25">
      <c r="A56">
        <v>55</v>
      </c>
      <c r="B56">
        <v>820378914</v>
      </c>
      <c r="C56" s="7" t="s">
        <v>39</v>
      </c>
      <c r="D56">
        <v>0</v>
      </c>
      <c r="E56" s="7">
        <f>worker_data[[#This Row],[employed]]-worker_data[[#This Row],[spent_amount]]</f>
        <v>-0.19175900000000001</v>
      </c>
      <c r="F56">
        <v>0.21210699999999999</v>
      </c>
      <c r="G56">
        <v>0.19175900000000001</v>
      </c>
      <c r="H56">
        <v>0</v>
      </c>
      <c r="I56" s="7" t="s">
        <v>40</v>
      </c>
      <c r="J56">
        <v>0.19175900000000001</v>
      </c>
    </row>
    <row r="57" spans="1:10" x14ac:dyDescent="0.25">
      <c r="A57">
        <v>56</v>
      </c>
      <c r="B57">
        <v>49883617</v>
      </c>
      <c r="C57" s="7" t="s">
        <v>39</v>
      </c>
      <c r="D57">
        <v>0</v>
      </c>
      <c r="E57" s="7">
        <f>worker_data[[#This Row],[employed]]-worker_data[[#This Row],[spent_amount]]</f>
        <v>0</v>
      </c>
      <c r="F57">
        <v>0.203623</v>
      </c>
      <c r="G57">
        <v>0</v>
      </c>
      <c r="H57">
        <v>0</v>
      </c>
      <c r="I57" s="7" t="s">
        <v>40</v>
      </c>
      <c r="J57">
        <v>0</v>
      </c>
    </row>
    <row r="58" spans="1:10" x14ac:dyDescent="0.25">
      <c r="A58">
        <v>57</v>
      </c>
      <c r="B58">
        <v>327204046</v>
      </c>
      <c r="C58" s="7" t="s">
        <v>39</v>
      </c>
      <c r="D58">
        <v>0</v>
      </c>
      <c r="E58" s="7">
        <f>worker_data[[#This Row],[employed]]-worker_data[[#This Row],[spent_amount]]</f>
        <v>0</v>
      </c>
      <c r="F58">
        <v>0.19547800000000001</v>
      </c>
      <c r="G58">
        <v>0</v>
      </c>
      <c r="H58">
        <v>0</v>
      </c>
      <c r="I58" s="7" t="s">
        <v>40</v>
      </c>
      <c r="J58">
        <v>0</v>
      </c>
    </row>
    <row r="59" spans="1:10" x14ac:dyDescent="0.25">
      <c r="A59">
        <v>58</v>
      </c>
      <c r="B59">
        <v>737990378</v>
      </c>
      <c r="C59" s="7" t="s">
        <v>39</v>
      </c>
      <c r="D59">
        <v>0</v>
      </c>
      <c r="E59" s="7">
        <f>worker_data[[#This Row],[employed]]-worker_data[[#This Row],[spent_amount]]</f>
        <v>0</v>
      </c>
      <c r="F59">
        <v>0.18765899999999999</v>
      </c>
      <c r="G59">
        <v>0</v>
      </c>
      <c r="H59">
        <v>0</v>
      </c>
      <c r="I59" s="7" t="s">
        <v>40</v>
      </c>
      <c r="J59">
        <v>0</v>
      </c>
    </row>
    <row r="60" spans="1:10" x14ac:dyDescent="0.25">
      <c r="A60">
        <v>59</v>
      </c>
      <c r="B60">
        <v>605582596</v>
      </c>
      <c r="C60" s="7" t="s">
        <v>39</v>
      </c>
      <c r="D60">
        <v>0</v>
      </c>
      <c r="E60" s="7">
        <f>worker_data[[#This Row],[employed]]-worker_data[[#This Row],[spent_amount]]</f>
        <v>0</v>
      </c>
      <c r="F60">
        <v>0.18015200000000001</v>
      </c>
      <c r="G60">
        <v>0</v>
      </c>
      <c r="H60">
        <v>0</v>
      </c>
      <c r="I60" s="7" t="s">
        <v>40</v>
      </c>
      <c r="J60">
        <v>0</v>
      </c>
    </row>
    <row r="61" spans="1:10" x14ac:dyDescent="0.25">
      <c r="A61">
        <v>60</v>
      </c>
      <c r="B61">
        <v>577084075</v>
      </c>
      <c r="C61" s="7" t="s">
        <v>39</v>
      </c>
      <c r="D61">
        <v>0</v>
      </c>
      <c r="E61" s="7">
        <f>worker_data[[#This Row],[employed]]-worker_data[[#This Row],[spent_amount]]</f>
        <v>0</v>
      </c>
      <c r="F61">
        <v>0.17294599999999999</v>
      </c>
      <c r="G61">
        <v>0</v>
      </c>
      <c r="H61">
        <v>0</v>
      </c>
      <c r="I61" s="7" t="s">
        <v>40</v>
      </c>
      <c r="J61">
        <v>0</v>
      </c>
    </row>
    <row r="62" spans="1:10" x14ac:dyDescent="0.25">
      <c r="A62">
        <v>61</v>
      </c>
      <c r="B62">
        <v>578649092</v>
      </c>
      <c r="C62" s="7" t="s">
        <v>39</v>
      </c>
      <c r="D62">
        <v>0</v>
      </c>
      <c r="E62" s="7">
        <f>worker_data[[#This Row],[employed]]-worker_data[[#This Row],[spent_amount]]</f>
        <v>0</v>
      </c>
      <c r="F62">
        <v>0.16602800000000001</v>
      </c>
      <c r="G62">
        <v>0</v>
      </c>
      <c r="H62">
        <v>0</v>
      </c>
      <c r="I62" s="7" t="s">
        <v>40</v>
      </c>
      <c r="J62">
        <v>0</v>
      </c>
    </row>
    <row r="63" spans="1:10" x14ac:dyDescent="0.25">
      <c r="A63">
        <v>62</v>
      </c>
      <c r="B63">
        <v>454409803</v>
      </c>
      <c r="C63" s="7" t="s">
        <v>39</v>
      </c>
      <c r="D63">
        <v>0</v>
      </c>
      <c r="E63" s="7">
        <f>worker_data[[#This Row],[employed]]-worker_data[[#This Row],[spent_amount]]</f>
        <v>0</v>
      </c>
      <c r="F63">
        <v>0.159387</v>
      </c>
      <c r="G63">
        <v>0</v>
      </c>
      <c r="H63">
        <v>0</v>
      </c>
      <c r="I63" s="7" t="s">
        <v>40</v>
      </c>
      <c r="J63">
        <v>0</v>
      </c>
    </row>
    <row r="64" spans="1:10" x14ac:dyDescent="0.25">
      <c r="A64">
        <v>63</v>
      </c>
      <c r="B64">
        <v>9834243</v>
      </c>
      <c r="C64" s="7" t="s">
        <v>39</v>
      </c>
      <c r="D64">
        <v>0</v>
      </c>
      <c r="E64" s="7">
        <f>worker_data[[#This Row],[employed]]-worker_data[[#This Row],[spent_amount]]</f>
        <v>0</v>
      </c>
      <c r="F64">
        <v>0.15301200000000001</v>
      </c>
      <c r="G64">
        <v>0</v>
      </c>
      <c r="H64">
        <v>0</v>
      </c>
      <c r="I64" s="7" t="s">
        <v>40</v>
      </c>
      <c r="J64">
        <v>0</v>
      </c>
    </row>
    <row r="65" spans="1:10" x14ac:dyDescent="0.25">
      <c r="A65">
        <v>64</v>
      </c>
      <c r="B65">
        <v>481639408</v>
      </c>
      <c r="C65" s="7" t="s">
        <v>39</v>
      </c>
      <c r="D65">
        <v>0</v>
      </c>
      <c r="E65" s="7">
        <f>worker_data[[#This Row],[employed]]-worker_data[[#This Row],[spent_amount]]</f>
        <v>0</v>
      </c>
      <c r="F65">
        <v>0.14689099999999999</v>
      </c>
      <c r="G65">
        <v>0</v>
      </c>
      <c r="H65">
        <v>0</v>
      </c>
      <c r="I65" s="7" t="s">
        <v>40</v>
      </c>
      <c r="J65">
        <v>0</v>
      </c>
    </row>
    <row r="66" spans="1:10" x14ac:dyDescent="0.25">
      <c r="A66">
        <v>65</v>
      </c>
      <c r="B66">
        <v>64469925</v>
      </c>
      <c r="C66" s="7" t="s">
        <v>39</v>
      </c>
      <c r="D66">
        <v>0</v>
      </c>
      <c r="E66" s="7">
        <f>worker_data[[#This Row],[employed]]-worker_data[[#This Row],[spent_amount]]</f>
        <v>0</v>
      </c>
      <c r="F66">
        <v>0.141016</v>
      </c>
      <c r="G66">
        <v>0</v>
      </c>
      <c r="H66">
        <v>0</v>
      </c>
      <c r="I66" s="7" t="s">
        <v>40</v>
      </c>
      <c r="J66">
        <v>0</v>
      </c>
    </row>
    <row r="67" spans="1:10" x14ac:dyDescent="0.25">
      <c r="A67">
        <v>66</v>
      </c>
      <c r="B67">
        <v>576255941</v>
      </c>
      <c r="C67" s="7" t="s">
        <v>39</v>
      </c>
      <c r="D67">
        <v>0</v>
      </c>
      <c r="E67" s="7">
        <f>worker_data[[#This Row],[employed]]-worker_data[[#This Row],[spent_amount]]</f>
        <v>0</v>
      </c>
      <c r="F67">
        <v>0.135375</v>
      </c>
      <c r="G67">
        <v>0</v>
      </c>
      <c r="H67">
        <v>0</v>
      </c>
      <c r="I67" s="7" t="s">
        <v>40</v>
      </c>
      <c r="J67">
        <v>0</v>
      </c>
    </row>
    <row r="68" spans="1:10" x14ac:dyDescent="0.25">
      <c r="A68">
        <v>67</v>
      </c>
      <c r="B68">
        <v>97464052</v>
      </c>
      <c r="C68" s="7" t="s">
        <v>39</v>
      </c>
      <c r="D68">
        <v>0</v>
      </c>
      <c r="E68" s="7">
        <f>worker_data[[#This Row],[employed]]-worker_data[[#This Row],[spent_amount]]</f>
        <v>0</v>
      </c>
      <c r="F68">
        <v>0.12995999999999999</v>
      </c>
      <c r="G68">
        <v>0</v>
      </c>
      <c r="H68">
        <v>0</v>
      </c>
      <c r="I68" s="7" t="s">
        <v>40</v>
      </c>
      <c r="J68">
        <v>0</v>
      </c>
    </row>
    <row r="69" spans="1:10" x14ac:dyDescent="0.25">
      <c r="A69">
        <v>68</v>
      </c>
      <c r="B69">
        <v>838240484</v>
      </c>
      <c r="C69" s="7" t="s">
        <v>39</v>
      </c>
      <c r="D69">
        <v>0</v>
      </c>
      <c r="E69" s="7">
        <f>worker_data[[#This Row],[employed]]-worker_data[[#This Row],[spent_amount]]</f>
        <v>0</v>
      </c>
      <c r="F69">
        <v>0.124762</v>
      </c>
      <c r="G69">
        <v>0</v>
      </c>
      <c r="H69">
        <v>0</v>
      </c>
      <c r="I69" s="7" t="s">
        <v>40</v>
      </c>
      <c r="J69">
        <v>0</v>
      </c>
    </row>
    <row r="70" spans="1:10" x14ac:dyDescent="0.25">
      <c r="A70">
        <v>69</v>
      </c>
      <c r="B70">
        <v>802090407</v>
      </c>
      <c r="C70" s="7" t="s">
        <v>39</v>
      </c>
      <c r="D70">
        <v>0</v>
      </c>
      <c r="E70" s="7">
        <f>worker_data[[#This Row],[employed]]-worker_data[[#This Row],[spent_amount]]</f>
        <v>0</v>
      </c>
      <c r="F70">
        <v>0.119771</v>
      </c>
      <c r="G70">
        <v>0</v>
      </c>
      <c r="H70">
        <v>0</v>
      </c>
      <c r="I70" s="7" t="s">
        <v>40</v>
      </c>
      <c r="J70">
        <v>0</v>
      </c>
    </row>
    <row r="71" spans="1:10" x14ac:dyDescent="0.25">
      <c r="A71">
        <v>70</v>
      </c>
      <c r="B71">
        <v>432857668</v>
      </c>
      <c r="C71" s="7" t="s">
        <v>39</v>
      </c>
      <c r="D71">
        <v>0</v>
      </c>
      <c r="E71" s="7">
        <f>worker_data[[#This Row],[employed]]-worker_data[[#This Row],[spent_amount]]</f>
        <v>0</v>
      </c>
      <c r="F71">
        <v>0.11498</v>
      </c>
      <c r="G71">
        <v>0</v>
      </c>
      <c r="H71">
        <v>0</v>
      </c>
      <c r="I71" s="7" t="s">
        <v>40</v>
      </c>
      <c r="J71">
        <v>0</v>
      </c>
    </row>
    <row r="72" spans="1:10" x14ac:dyDescent="0.25">
      <c r="A72">
        <v>71</v>
      </c>
      <c r="B72">
        <v>862982991</v>
      </c>
      <c r="C72" s="7" t="s">
        <v>39</v>
      </c>
      <c r="D72">
        <v>0</v>
      </c>
      <c r="E72" s="7">
        <f>worker_data[[#This Row],[employed]]-worker_data[[#This Row],[spent_amount]]</f>
        <v>0</v>
      </c>
      <c r="F72">
        <v>0.11038100000000001</v>
      </c>
      <c r="G72">
        <v>0</v>
      </c>
      <c r="H72">
        <v>0</v>
      </c>
      <c r="I72" s="7" t="s">
        <v>40</v>
      </c>
      <c r="J72">
        <v>0</v>
      </c>
    </row>
    <row r="73" spans="1:10" x14ac:dyDescent="0.25">
      <c r="A73">
        <v>72</v>
      </c>
      <c r="B73">
        <v>506005329</v>
      </c>
      <c r="C73" s="7" t="s">
        <v>39</v>
      </c>
      <c r="D73">
        <v>0</v>
      </c>
      <c r="E73" s="7">
        <f>worker_data[[#This Row],[employed]]-worker_data[[#This Row],[spent_amount]]</f>
        <v>0</v>
      </c>
      <c r="F73">
        <v>0.105966</v>
      </c>
      <c r="G73">
        <v>0</v>
      </c>
      <c r="H73">
        <v>0</v>
      </c>
      <c r="I73" s="7" t="s">
        <v>40</v>
      </c>
      <c r="J73">
        <v>0</v>
      </c>
    </row>
    <row r="74" spans="1:10" x14ac:dyDescent="0.25">
      <c r="A74">
        <v>73</v>
      </c>
      <c r="B74">
        <v>506080158</v>
      </c>
      <c r="C74" s="7" t="s">
        <v>39</v>
      </c>
      <c r="D74">
        <v>0</v>
      </c>
      <c r="E74" s="7">
        <f>worker_data[[#This Row],[employed]]-worker_data[[#This Row],[spent_amount]]</f>
        <v>0</v>
      </c>
      <c r="F74">
        <v>0.101727</v>
      </c>
      <c r="G74">
        <v>0</v>
      </c>
      <c r="H74">
        <v>0</v>
      </c>
      <c r="I74" s="7" t="s">
        <v>40</v>
      </c>
      <c r="J74">
        <v>0</v>
      </c>
    </row>
    <row r="75" spans="1:10" x14ac:dyDescent="0.25">
      <c r="A75">
        <v>74</v>
      </c>
      <c r="B75">
        <v>837796974</v>
      </c>
      <c r="C75" s="7" t="s">
        <v>39</v>
      </c>
      <c r="D75">
        <v>0</v>
      </c>
      <c r="E75" s="7">
        <f>worker_data[[#This Row],[employed]]-worker_data[[#This Row],[spent_amount]]</f>
        <v>0</v>
      </c>
      <c r="F75">
        <v>9.7658099999999998E-2</v>
      </c>
      <c r="G75">
        <v>0</v>
      </c>
      <c r="H75">
        <v>0</v>
      </c>
      <c r="I75" s="7" t="s">
        <v>40</v>
      </c>
      <c r="J75">
        <v>0</v>
      </c>
    </row>
    <row r="76" spans="1:10" x14ac:dyDescent="0.25">
      <c r="A76">
        <v>75</v>
      </c>
      <c r="B76">
        <v>300223173</v>
      </c>
      <c r="C76" s="7" t="s">
        <v>39</v>
      </c>
      <c r="D76">
        <v>0</v>
      </c>
      <c r="E76" s="7">
        <f>worker_data[[#This Row],[employed]]-worker_data[[#This Row],[spent_amount]]</f>
        <v>0</v>
      </c>
      <c r="F76">
        <v>9.3751799999999996E-2</v>
      </c>
      <c r="G76">
        <v>0</v>
      </c>
      <c r="H76">
        <v>0</v>
      </c>
      <c r="I76" s="7" t="s">
        <v>40</v>
      </c>
      <c r="J76">
        <v>0</v>
      </c>
    </row>
    <row r="77" spans="1:10" x14ac:dyDescent="0.25">
      <c r="A77">
        <v>76</v>
      </c>
      <c r="B77">
        <v>766130737</v>
      </c>
      <c r="C77" s="7" t="s">
        <v>39</v>
      </c>
      <c r="D77">
        <v>0</v>
      </c>
      <c r="E77" s="7">
        <f>worker_data[[#This Row],[employed]]-worker_data[[#This Row],[spent_amount]]</f>
        <v>0</v>
      </c>
      <c r="F77">
        <v>9.0001700000000004E-2</v>
      </c>
      <c r="G77">
        <v>0</v>
      </c>
      <c r="H77">
        <v>0</v>
      </c>
      <c r="I77" s="7" t="s">
        <v>40</v>
      </c>
      <c r="J77">
        <v>0</v>
      </c>
    </row>
    <row r="78" spans="1:10" x14ac:dyDescent="0.25">
      <c r="A78">
        <v>77</v>
      </c>
      <c r="B78">
        <v>490787890</v>
      </c>
      <c r="C78" s="7" t="s">
        <v>39</v>
      </c>
      <c r="D78">
        <v>0</v>
      </c>
      <c r="E78" s="7">
        <f>worker_data[[#This Row],[employed]]-worker_data[[#This Row],[spent_amount]]</f>
        <v>0</v>
      </c>
      <c r="F78">
        <v>8.6401599999999995E-2</v>
      </c>
      <c r="G78">
        <v>0</v>
      </c>
      <c r="H78">
        <v>0</v>
      </c>
      <c r="I78" s="7" t="s">
        <v>40</v>
      </c>
      <c r="J78">
        <v>0</v>
      </c>
    </row>
    <row r="79" spans="1:10" x14ac:dyDescent="0.25">
      <c r="A79">
        <v>78</v>
      </c>
      <c r="B79">
        <v>186812278</v>
      </c>
      <c r="C79" s="7" t="s">
        <v>39</v>
      </c>
      <c r="D79">
        <v>0</v>
      </c>
      <c r="E79" s="7">
        <f>worker_data[[#This Row],[employed]]-worker_data[[#This Row],[spent_amount]]</f>
        <v>0</v>
      </c>
      <c r="F79">
        <v>8.2945599999999994E-2</v>
      </c>
      <c r="G79">
        <v>0</v>
      </c>
      <c r="H79">
        <v>0</v>
      </c>
      <c r="I79" s="7" t="s">
        <v>40</v>
      </c>
      <c r="J79">
        <v>0</v>
      </c>
    </row>
    <row r="80" spans="1:10" x14ac:dyDescent="0.25">
      <c r="A80">
        <v>79</v>
      </c>
      <c r="B80">
        <v>702691503</v>
      </c>
      <c r="C80" s="7" t="s">
        <v>39</v>
      </c>
      <c r="D80">
        <v>0</v>
      </c>
      <c r="E80" s="7">
        <f>worker_data[[#This Row],[employed]]-worker_data[[#This Row],[spent_amount]]</f>
        <v>0</v>
      </c>
      <c r="F80">
        <v>7.9627799999999999E-2</v>
      </c>
      <c r="G80">
        <v>0</v>
      </c>
      <c r="H80">
        <v>0</v>
      </c>
      <c r="I80" s="7" t="s">
        <v>40</v>
      </c>
      <c r="J80">
        <v>0</v>
      </c>
    </row>
    <row r="81" spans="1:10" x14ac:dyDescent="0.25">
      <c r="A81">
        <v>80</v>
      </c>
      <c r="B81">
        <v>302667780</v>
      </c>
      <c r="C81" s="7" t="s">
        <v>39</v>
      </c>
      <c r="D81">
        <v>0</v>
      </c>
      <c r="E81" s="7">
        <f>worker_data[[#This Row],[employed]]-worker_data[[#This Row],[spent_amount]]</f>
        <v>0</v>
      </c>
      <c r="F81">
        <v>7.6442599999999999E-2</v>
      </c>
      <c r="G81">
        <v>0</v>
      </c>
      <c r="H81">
        <v>0</v>
      </c>
      <c r="I81" s="7" t="s">
        <v>40</v>
      </c>
      <c r="J81">
        <v>0</v>
      </c>
    </row>
    <row r="82" spans="1:10" x14ac:dyDescent="0.25">
      <c r="A82">
        <v>81</v>
      </c>
      <c r="B82">
        <v>91319182</v>
      </c>
      <c r="C82" s="7" t="s">
        <v>39</v>
      </c>
      <c r="D82">
        <v>0</v>
      </c>
      <c r="E82" s="7">
        <f>worker_data[[#This Row],[employed]]-worker_data[[#This Row],[spent_amount]]</f>
        <v>0</v>
      </c>
      <c r="F82">
        <v>7.3384900000000003E-2</v>
      </c>
      <c r="G82">
        <v>0</v>
      </c>
      <c r="H82">
        <v>0</v>
      </c>
      <c r="I82" s="7" t="s">
        <v>40</v>
      </c>
      <c r="J82">
        <v>0</v>
      </c>
    </row>
    <row r="83" spans="1:10" x14ac:dyDescent="0.25">
      <c r="A83">
        <v>82</v>
      </c>
      <c r="B83">
        <v>402367222</v>
      </c>
      <c r="C83" s="7" t="s">
        <v>39</v>
      </c>
      <c r="D83">
        <v>0</v>
      </c>
      <c r="E83" s="7">
        <f>worker_data[[#This Row],[employed]]-worker_data[[#This Row],[spent_amount]]</f>
        <v>0</v>
      </c>
      <c r="F83">
        <v>7.0449499999999998E-2</v>
      </c>
      <c r="G83">
        <v>0</v>
      </c>
      <c r="H83">
        <v>0</v>
      </c>
      <c r="I83" s="7" t="s">
        <v>40</v>
      </c>
      <c r="J83">
        <v>0</v>
      </c>
    </row>
    <row r="84" spans="1:10" x14ac:dyDescent="0.25">
      <c r="A84">
        <v>83</v>
      </c>
      <c r="B84">
        <v>79197749</v>
      </c>
      <c r="C84" s="7" t="s">
        <v>39</v>
      </c>
      <c r="D84">
        <v>0</v>
      </c>
      <c r="E84" s="7">
        <f>worker_data[[#This Row],[employed]]-worker_data[[#This Row],[spent_amount]]</f>
        <v>0</v>
      </c>
      <c r="F84">
        <v>6.76316E-2</v>
      </c>
      <c r="G84">
        <v>0</v>
      </c>
      <c r="H84">
        <v>0</v>
      </c>
      <c r="I84" s="7" t="s">
        <v>40</v>
      </c>
      <c r="J84">
        <v>0</v>
      </c>
    </row>
    <row r="85" spans="1:10" x14ac:dyDescent="0.25">
      <c r="A85">
        <v>84</v>
      </c>
      <c r="B85">
        <v>704068245</v>
      </c>
      <c r="C85" s="7" t="s">
        <v>39</v>
      </c>
      <c r="D85">
        <v>0</v>
      </c>
      <c r="E85" s="7">
        <f>worker_data[[#This Row],[employed]]-worker_data[[#This Row],[spent_amount]]</f>
        <v>0</v>
      </c>
      <c r="F85">
        <v>6.4926300000000006E-2</v>
      </c>
      <c r="G85">
        <v>0</v>
      </c>
      <c r="H85">
        <v>0</v>
      </c>
      <c r="I85" s="7" t="s">
        <v>40</v>
      </c>
      <c r="J85">
        <v>0</v>
      </c>
    </row>
    <row r="86" spans="1:10" x14ac:dyDescent="0.25">
      <c r="A86">
        <v>85</v>
      </c>
      <c r="B86">
        <v>422263071</v>
      </c>
      <c r="C86" s="7" t="s">
        <v>39</v>
      </c>
      <c r="D86">
        <v>0</v>
      </c>
      <c r="E86" s="7">
        <f>worker_data[[#This Row],[employed]]-worker_data[[#This Row],[spent_amount]]</f>
        <v>0</v>
      </c>
      <c r="F86">
        <v>6.2329200000000001E-2</v>
      </c>
      <c r="G86">
        <v>0</v>
      </c>
      <c r="H86">
        <v>0</v>
      </c>
      <c r="I86" s="7" t="s">
        <v>40</v>
      </c>
      <c r="J86">
        <v>0</v>
      </c>
    </row>
    <row r="87" spans="1:10" x14ac:dyDescent="0.25">
      <c r="A87">
        <v>86</v>
      </c>
      <c r="B87">
        <v>459418317</v>
      </c>
      <c r="C87" s="7" t="s">
        <v>39</v>
      </c>
      <c r="D87">
        <v>0</v>
      </c>
      <c r="E87" s="7">
        <f>worker_data[[#This Row],[employed]]-worker_data[[#This Row],[spent_amount]]</f>
        <v>0</v>
      </c>
      <c r="F87">
        <v>5.9836100000000003E-2</v>
      </c>
      <c r="G87">
        <v>0</v>
      </c>
      <c r="H87">
        <v>0</v>
      </c>
      <c r="I87" s="7" t="s">
        <v>40</v>
      </c>
      <c r="J87">
        <v>0</v>
      </c>
    </row>
    <row r="88" spans="1:10" x14ac:dyDescent="0.25">
      <c r="A88">
        <v>87</v>
      </c>
      <c r="B88">
        <v>341241262</v>
      </c>
      <c r="C88" s="7" t="s">
        <v>39</v>
      </c>
      <c r="D88">
        <v>0</v>
      </c>
      <c r="E88" s="7">
        <f>worker_data[[#This Row],[employed]]-worker_data[[#This Row],[spent_amount]]</f>
        <v>0</v>
      </c>
      <c r="F88">
        <v>5.7442600000000003E-2</v>
      </c>
      <c r="G88">
        <v>0</v>
      </c>
      <c r="H88">
        <v>0</v>
      </c>
      <c r="I88" s="7" t="s">
        <v>40</v>
      </c>
      <c r="J88">
        <v>0</v>
      </c>
    </row>
    <row r="89" spans="1:10" x14ac:dyDescent="0.25">
      <c r="A89">
        <v>88</v>
      </c>
      <c r="B89">
        <v>962936925</v>
      </c>
      <c r="C89" s="7" t="s">
        <v>39</v>
      </c>
      <c r="D89">
        <v>0</v>
      </c>
      <c r="E89" s="7">
        <f>worker_data[[#This Row],[employed]]-worker_data[[#This Row],[spent_amount]]</f>
        <v>0</v>
      </c>
      <c r="F89">
        <v>5.5144899999999997E-2</v>
      </c>
      <c r="G89">
        <v>0</v>
      </c>
      <c r="H89">
        <v>0</v>
      </c>
      <c r="I89" s="7" t="s">
        <v>40</v>
      </c>
      <c r="J89">
        <v>0</v>
      </c>
    </row>
    <row r="90" spans="1:10" x14ac:dyDescent="0.25">
      <c r="A90">
        <v>89</v>
      </c>
      <c r="B90">
        <v>870353475</v>
      </c>
      <c r="C90" s="7" t="s">
        <v>39</v>
      </c>
      <c r="D90">
        <v>0</v>
      </c>
      <c r="E90" s="7">
        <f>worker_data[[#This Row],[employed]]-worker_data[[#This Row],[spent_amount]]</f>
        <v>0</v>
      </c>
      <c r="F90">
        <v>5.2939100000000003E-2</v>
      </c>
      <c r="G90">
        <v>0</v>
      </c>
      <c r="H90">
        <v>0</v>
      </c>
      <c r="I90" s="7" t="s">
        <v>40</v>
      </c>
      <c r="J90">
        <v>0</v>
      </c>
    </row>
    <row r="91" spans="1:10" x14ac:dyDescent="0.25">
      <c r="A91">
        <v>90</v>
      </c>
      <c r="B91">
        <v>445570690</v>
      </c>
      <c r="C91" s="7" t="s">
        <v>39</v>
      </c>
      <c r="D91">
        <v>0</v>
      </c>
      <c r="E91" s="7">
        <f>worker_data[[#This Row],[employed]]-worker_data[[#This Row],[spent_amount]]</f>
        <v>0</v>
      </c>
      <c r="F91">
        <v>5.0821600000000001E-2</v>
      </c>
      <c r="G91">
        <v>0</v>
      </c>
      <c r="H91">
        <v>0</v>
      </c>
      <c r="I91" s="7" t="s">
        <v>40</v>
      </c>
      <c r="J91">
        <v>0</v>
      </c>
    </row>
    <row r="92" spans="1:10" x14ac:dyDescent="0.25">
      <c r="A92">
        <v>91</v>
      </c>
      <c r="B92">
        <v>125574090</v>
      </c>
      <c r="C92" s="7" t="s">
        <v>39</v>
      </c>
      <c r="D92">
        <v>0</v>
      </c>
      <c r="E92" s="7">
        <f>worker_data[[#This Row],[employed]]-worker_data[[#This Row],[spent_amount]]</f>
        <v>0</v>
      </c>
      <c r="F92">
        <v>4.8788699999999997E-2</v>
      </c>
      <c r="G92">
        <v>0</v>
      </c>
      <c r="H92">
        <v>0</v>
      </c>
      <c r="I92" s="7" t="s">
        <v>40</v>
      </c>
      <c r="J92">
        <v>0</v>
      </c>
    </row>
    <row r="93" spans="1:10" x14ac:dyDescent="0.25">
      <c r="A93">
        <v>92</v>
      </c>
      <c r="B93">
        <v>62447300</v>
      </c>
      <c r="C93" s="7" t="s">
        <v>39</v>
      </c>
      <c r="D93">
        <v>0</v>
      </c>
      <c r="E93" s="7">
        <f>worker_data[[#This Row],[employed]]-worker_data[[#This Row],[spent_amount]]</f>
        <v>0</v>
      </c>
      <c r="F93">
        <v>4.6837200000000002E-2</v>
      </c>
      <c r="G93">
        <v>0</v>
      </c>
      <c r="H93">
        <v>0</v>
      </c>
      <c r="I93" s="7" t="s">
        <v>40</v>
      </c>
      <c r="J93">
        <v>0</v>
      </c>
    </row>
    <row r="94" spans="1:10" x14ac:dyDescent="0.25">
      <c r="A94">
        <v>93</v>
      </c>
      <c r="B94">
        <v>861976170</v>
      </c>
      <c r="C94" s="7" t="s">
        <v>39</v>
      </c>
      <c r="D94">
        <v>0</v>
      </c>
      <c r="E94" s="7">
        <f>worker_data[[#This Row],[employed]]-worker_data[[#This Row],[spent_amount]]</f>
        <v>0</v>
      </c>
      <c r="F94">
        <v>4.4963700000000002E-2</v>
      </c>
      <c r="G94">
        <v>0</v>
      </c>
      <c r="H94">
        <v>0</v>
      </c>
      <c r="I94" s="7" t="s">
        <v>40</v>
      </c>
      <c r="J94">
        <v>0</v>
      </c>
    </row>
    <row r="95" spans="1:10" x14ac:dyDescent="0.25">
      <c r="A95">
        <v>94</v>
      </c>
      <c r="B95">
        <v>130599393</v>
      </c>
      <c r="C95" s="7" t="s">
        <v>39</v>
      </c>
      <c r="D95">
        <v>0</v>
      </c>
      <c r="E95" s="7">
        <f>worker_data[[#This Row],[employed]]-worker_data[[#This Row],[spent_amount]]</f>
        <v>0</v>
      </c>
      <c r="F95">
        <v>4.3165099999999998E-2</v>
      </c>
      <c r="G95">
        <v>0</v>
      </c>
      <c r="H95">
        <v>0</v>
      </c>
      <c r="I95" s="7" t="s">
        <v>40</v>
      </c>
      <c r="J95">
        <v>0</v>
      </c>
    </row>
    <row r="96" spans="1:10" x14ac:dyDescent="0.25">
      <c r="A96">
        <v>95</v>
      </c>
      <c r="B96">
        <v>606449881</v>
      </c>
      <c r="C96" s="7" t="s">
        <v>39</v>
      </c>
      <c r="D96">
        <v>0</v>
      </c>
      <c r="E96" s="7">
        <f>worker_data[[#This Row],[employed]]-worker_data[[#This Row],[spent_amount]]</f>
        <v>0</v>
      </c>
      <c r="F96">
        <v>4.1438500000000003E-2</v>
      </c>
      <c r="G96">
        <v>0</v>
      </c>
      <c r="H96">
        <v>0</v>
      </c>
      <c r="I96" s="7" t="s">
        <v>40</v>
      </c>
      <c r="J96">
        <v>0</v>
      </c>
    </row>
    <row r="97" spans="1:10" x14ac:dyDescent="0.25">
      <c r="A97">
        <v>96</v>
      </c>
      <c r="B97">
        <v>933213130</v>
      </c>
      <c r="C97" s="7" t="s">
        <v>39</v>
      </c>
      <c r="D97">
        <v>0</v>
      </c>
      <c r="E97" s="7">
        <f>worker_data[[#This Row],[employed]]-worker_data[[#This Row],[spent_amount]]</f>
        <v>0</v>
      </c>
      <c r="F97">
        <v>3.9780999999999997E-2</v>
      </c>
      <c r="G97">
        <v>0</v>
      </c>
      <c r="H97">
        <v>0</v>
      </c>
      <c r="I97" s="7" t="s">
        <v>40</v>
      </c>
      <c r="J97">
        <v>0</v>
      </c>
    </row>
    <row r="98" spans="1:10" x14ac:dyDescent="0.25">
      <c r="A98">
        <v>97</v>
      </c>
      <c r="B98">
        <v>841486551</v>
      </c>
      <c r="C98" s="7" t="s">
        <v>39</v>
      </c>
      <c r="D98">
        <v>0</v>
      </c>
      <c r="E98" s="7">
        <f>worker_data[[#This Row],[employed]]-worker_data[[#This Row],[spent_amount]]</f>
        <v>0</v>
      </c>
      <c r="F98">
        <v>3.81897E-2</v>
      </c>
      <c r="G98">
        <v>0</v>
      </c>
      <c r="H98">
        <v>0</v>
      </c>
      <c r="I98" s="7" t="s">
        <v>40</v>
      </c>
      <c r="J98">
        <v>0</v>
      </c>
    </row>
    <row r="99" spans="1:10" x14ac:dyDescent="0.25">
      <c r="A99">
        <v>98</v>
      </c>
      <c r="B99">
        <v>15594369</v>
      </c>
      <c r="C99" s="7" t="s">
        <v>39</v>
      </c>
      <c r="D99">
        <v>0</v>
      </c>
      <c r="E99" s="7">
        <f>worker_data[[#This Row],[employed]]-worker_data[[#This Row],[spent_amount]]</f>
        <v>0</v>
      </c>
      <c r="F99">
        <v>3.6662100000000003E-2</v>
      </c>
      <c r="G99">
        <v>0</v>
      </c>
      <c r="H99">
        <v>0</v>
      </c>
      <c r="I99" s="7" t="s">
        <v>40</v>
      </c>
      <c r="J99">
        <v>0</v>
      </c>
    </row>
    <row r="100" spans="1:10" x14ac:dyDescent="0.25">
      <c r="A100">
        <v>99</v>
      </c>
      <c r="B100">
        <v>768189608</v>
      </c>
      <c r="C100" s="7" t="s">
        <v>39</v>
      </c>
      <c r="D100">
        <v>0</v>
      </c>
      <c r="E100" s="7">
        <f>worker_data[[#This Row],[employed]]-worker_data[[#This Row],[spent_amount]]</f>
        <v>0</v>
      </c>
      <c r="F100">
        <v>3.5195700000000003E-2</v>
      </c>
      <c r="G100">
        <v>0</v>
      </c>
      <c r="H100">
        <v>0</v>
      </c>
      <c r="I100" s="7" t="s">
        <v>40</v>
      </c>
      <c r="J100">
        <v>0</v>
      </c>
    </row>
    <row r="101" spans="1:10" x14ac:dyDescent="0.25">
      <c r="A101">
        <v>100</v>
      </c>
      <c r="B101">
        <v>911298003</v>
      </c>
      <c r="C101" s="7" t="s">
        <v>39</v>
      </c>
      <c r="D101">
        <v>0</v>
      </c>
      <c r="E101" s="7">
        <f>worker_data[[#This Row],[employed]]-worker_data[[#This Row],[spent_amount]]</f>
        <v>0</v>
      </c>
      <c r="F101">
        <v>3.37878E-2</v>
      </c>
      <c r="G101">
        <v>0</v>
      </c>
      <c r="H101">
        <v>0</v>
      </c>
      <c r="I101" s="7" t="s">
        <v>40</v>
      </c>
      <c r="J101">
        <v>0</v>
      </c>
    </row>
    <row r="102" spans="1:10" x14ac:dyDescent="0.25">
      <c r="A102">
        <v>101</v>
      </c>
      <c r="B102">
        <v>637640609</v>
      </c>
      <c r="C102" s="7" t="s">
        <v>39</v>
      </c>
      <c r="D102">
        <v>0</v>
      </c>
      <c r="E102" s="7">
        <f>worker_data[[#This Row],[employed]]-worker_data[[#This Row],[spent_amount]]</f>
        <v>0</v>
      </c>
      <c r="F102">
        <v>3.2436300000000001E-2</v>
      </c>
      <c r="G102">
        <v>0</v>
      </c>
      <c r="H102">
        <v>0</v>
      </c>
      <c r="I102" s="7" t="s">
        <v>40</v>
      </c>
      <c r="J102">
        <v>0</v>
      </c>
    </row>
    <row r="103" spans="1:10" x14ac:dyDescent="0.25">
      <c r="A103">
        <v>102</v>
      </c>
      <c r="B103">
        <v>742098497</v>
      </c>
      <c r="C103" s="7" t="s">
        <v>39</v>
      </c>
      <c r="D103">
        <v>0</v>
      </c>
      <c r="E103" s="7">
        <f>worker_data[[#This Row],[employed]]-worker_data[[#This Row],[spent_amount]]</f>
        <v>0</v>
      </c>
      <c r="F103">
        <v>3.1138900000000001E-2</v>
      </c>
      <c r="G103">
        <v>0</v>
      </c>
      <c r="H103">
        <v>0</v>
      </c>
      <c r="I103" s="7" t="s">
        <v>40</v>
      </c>
      <c r="J103">
        <v>0</v>
      </c>
    </row>
    <row r="104" spans="1:10" x14ac:dyDescent="0.25">
      <c r="A104">
        <v>103</v>
      </c>
      <c r="B104">
        <v>874457708</v>
      </c>
      <c r="C104" s="7" t="s">
        <v>39</v>
      </c>
      <c r="D104">
        <v>0</v>
      </c>
      <c r="E104" s="7">
        <f>worker_data[[#This Row],[employed]]-worker_data[[#This Row],[spent_amount]]</f>
        <v>0</v>
      </c>
      <c r="F104">
        <v>2.9893300000000001E-2</v>
      </c>
      <c r="G104">
        <v>0</v>
      </c>
      <c r="H104">
        <v>0</v>
      </c>
      <c r="I104" s="7" t="s">
        <v>40</v>
      </c>
      <c r="J104">
        <v>0</v>
      </c>
    </row>
    <row r="105" spans="1:10" x14ac:dyDescent="0.25">
      <c r="A105">
        <v>104</v>
      </c>
      <c r="B105">
        <v>80630140</v>
      </c>
      <c r="C105" s="7" t="s">
        <v>39</v>
      </c>
      <c r="D105">
        <v>0</v>
      </c>
      <c r="E105" s="7">
        <f>worker_data[[#This Row],[employed]]-worker_data[[#This Row],[spent_amount]]</f>
        <v>0</v>
      </c>
      <c r="F105">
        <v>2.86976E-2</v>
      </c>
      <c r="G105">
        <v>0</v>
      </c>
      <c r="H105">
        <v>0</v>
      </c>
      <c r="I105" s="7" t="s">
        <v>40</v>
      </c>
      <c r="J105">
        <v>0</v>
      </c>
    </row>
    <row r="106" spans="1:10" x14ac:dyDescent="0.25">
      <c r="A106">
        <v>105</v>
      </c>
      <c r="B106">
        <v>682691133</v>
      </c>
      <c r="C106" s="7" t="s">
        <v>39</v>
      </c>
      <c r="D106">
        <v>0</v>
      </c>
      <c r="E106" s="7">
        <f>worker_data[[#This Row],[employed]]-worker_data[[#This Row],[spent_amount]]</f>
        <v>0</v>
      </c>
      <c r="F106">
        <v>2.75497E-2</v>
      </c>
      <c r="G106">
        <v>0</v>
      </c>
      <c r="H106">
        <v>0</v>
      </c>
      <c r="I106" s="7" t="s">
        <v>40</v>
      </c>
      <c r="J106">
        <v>0</v>
      </c>
    </row>
    <row r="107" spans="1:10" x14ac:dyDescent="0.25">
      <c r="A107">
        <v>106</v>
      </c>
      <c r="B107">
        <v>427865688</v>
      </c>
      <c r="C107" s="7" t="s">
        <v>39</v>
      </c>
      <c r="D107">
        <v>0</v>
      </c>
      <c r="E107" s="7">
        <f>worker_data[[#This Row],[employed]]-worker_data[[#This Row],[spent_amount]]</f>
        <v>0</v>
      </c>
      <c r="F107">
        <v>2.6447700000000001E-2</v>
      </c>
      <c r="G107">
        <v>0</v>
      </c>
      <c r="H107">
        <v>0</v>
      </c>
      <c r="I107" s="7" t="s">
        <v>40</v>
      </c>
      <c r="J107">
        <v>0</v>
      </c>
    </row>
    <row r="108" spans="1:10" x14ac:dyDescent="0.25">
      <c r="A108">
        <v>107</v>
      </c>
      <c r="B108">
        <v>166444688</v>
      </c>
      <c r="C108" s="7" t="s">
        <v>39</v>
      </c>
      <c r="D108">
        <v>0</v>
      </c>
      <c r="E108" s="7">
        <f>worker_data[[#This Row],[employed]]-worker_data[[#This Row],[spent_amount]]</f>
        <v>0</v>
      </c>
      <c r="F108">
        <v>2.5389800000000001E-2</v>
      </c>
      <c r="G108">
        <v>0</v>
      </c>
      <c r="H108">
        <v>0</v>
      </c>
      <c r="I108" s="7" t="s">
        <v>40</v>
      </c>
      <c r="J108">
        <v>0</v>
      </c>
    </row>
    <row r="109" spans="1:10" x14ac:dyDescent="0.25">
      <c r="A109">
        <v>108</v>
      </c>
      <c r="B109">
        <v>153095289</v>
      </c>
      <c r="C109" s="7" t="s">
        <v>39</v>
      </c>
      <c r="D109">
        <v>0</v>
      </c>
      <c r="E109" s="7">
        <f>worker_data[[#This Row],[employed]]-worker_data[[#This Row],[spent_amount]]</f>
        <v>0</v>
      </c>
      <c r="F109">
        <v>2.4374199999999999E-2</v>
      </c>
      <c r="G109">
        <v>0</v>
      </c>
      <c r="H109">
        <v>0</v>
      </c>
      <c r="I109" s="7" t="s">
        <v>40</v>
      </c>
      <c r="J109">
        <v>0</v>
      </c>
    </row>
    <row r="110" spans="1:10" x14ac:dyDescent="0.25">
      <c r="A110">
        <v>109</v>
      </c>
      <c r="B110">
        <v>501975820</v>
      </c>
      <c r="C110" s="7" t="s">
        <v>39</v>
      </c>
      <c r="D110">
        <v>0</v>
      </c>
      <c r="E110" s="7">
        <f>worker_data[[#This Row],[employed]]-worker_data[[#This Row],[spent_amount]]</f>
        <v>0</v>
      </c>
      <c r="F110">
        <v>2.3399199999999998E-2</v>
      </c>
      <c r="G110">
        <v>0</v>
      </c>
      <c r="H110">
        <v>0</v>
      </c>
      <c r="I110" s="7" t="s">
        <v>40</v>
      </c>
      <c r="J110">
        <v>0</v>
      </c>
    </row>
    <row r="111" spans="1:10" x14ac:dyDescent="0.25">
      <c r="A111">
        <v>110</v>
      </c>
      <c r="B111">
        <v>17106968</v>
      </c>
      <c r="C111" s="7" t="s">
        <v>39</v>
      </c>
      <c r="D111">
        <v>0</v>
      </c>
      <c r="E111" s="7">
        <f>worker_data[[#This Row],[employed]]-worker_data[[#This Row],[spent_amount]]</f>
        <v>0</v>
      </c>
      <c r="F111">
        <v>2.2463299999999999E-2</v>
      </c>
      <c r="G111">
        <v>0</v>
      </c>
      <c r="H111">
        <v>0</v>
      </c>
      <c r="I111" s="7" t="s">
        <v>40</v>
      </c>
      <c r="J111">
        <v>0</v>
      </c>
    </row>
    <row r="112" spans="1:10" x14ac:dyDescent="0.25">
      <c r="A112">
        <v>111</v>
      </c>
      <c r="B112">
        <v>593269862</v>
      </c>
      <c r="C112" s="7" t="s">
        <v>39</v>
      </c>
      <c r="D112">
        <v>0</v>
      </c>
      <c r="E112" s="7">
        <f>worker_data[[#This Row],[employed]]-worker_data[[#This Row],[spent_amount]]</f>
        <v>0</v>
      </c>
      <c r="F112">
        <v>2.1564699999999999E-2</v>
      </c>
      <c r="G112">
        <v>0</v>
      </c>
      <c r="H112">
        <v>0</v>
      </c>
      <c r="I112" s="7" t="s">
        <v>40</v>
      </c>
      <c r="J112">
        <v>0</v>
      </c>
    </row>
    <row r="113" spans="1:10" x14ac:dyDescent="0.25">
      <c r="A113">
        <v>112</v>
      </c>
      <c r="B113">
        <v>992393856</v>
      </c>
      <c r="C113" s="7" t="s">
        <v>39</v>
      </c>
      <c r="D113">
        <v>0</v>
      </c>
      <c r="E113" s="7">
        <f>worker_data[[#This Row],[employed]]-worker_data[[#This Row],[spent_amount]]</f>
        <v>0</v>
      </c>
      <c r="F113">
        <v>2.0702100000000001E-2</v>
      </c>
      <c r="G113">
        <v>0</v>
      </c>
      <c r="H113">
        <v>0</v>
      </c>
      <c r="I113" s="7" t="s">
        <v>40</v>
      </c>
      <c r="J113">
        <v>0</v>
      </c>
    </row>
    <row r="114" spans="1:10" x14ac:dyDescent="0.25">
      <c r="A114">
        <v>113</v>
      </c>
      <c r="B114">
        <v>816240382</v>
      </c>
      <c r="C114" s="7" t="s">
        <v>39</v>
      </c>
      <c r="D114">
        <v>0</v>
      </c>
      <c r="E114" s="7">
        <f>worker_data[[#This Row],[employed]]-worker_data[[#This Row],[spent_amount]]</f>
        <v>0</v>
      </c>
      <c r="F114">
        <v>1.9873999999999999E-2</v>
      </c>
      <c r="G114">
        <v>0</v>
      </c>
      <c r="H114">
        <v>0</v>
      </c>
      <c r="I114" s="7" t="s">
        <v>40</v>
      </c>
      <c r="J114">
        <v>0</v>
      </c>
    </row>
    <row r="115" spans="1:10" x14ac:dyDescent="0.25">
      <c r="A115">
        <v>114</v>
      </c>
      <c r="B115">
        <v>91888968</v>
      </c>
      <c r="C115" s="7" t="s">
        <v>39</v>
      </c>
      <c r="D115">
        <v>0</v>
      </c>
      <c r="E115" s="7">
        <f>worker_data[[#This Row],[employed]]-worker_data[[#This Row],[spent_amount]]</f>
        <v>0</v>
      </c>
      <c r="F115">
        <v>1.9079100000000002E-2</v>
      </c>
      <c r="G115">
        <v>0</v>
      </c>
      <c r="H115">
        <v>0</v>
      </c>
      <c r="I115" s="7" t="s">
        <v>40</v>
      </c>
      <c r="J115">
        <v>0</v>
      </c>
    </row>
    <row r="116" spans="1:10" x14ac:dyDescent="0.25">
      <c r="A116">
        <v>115</v>
      </c>
      <c r="B116">
        <v>471092618</v>
      </c>
      <c r="C116" s="7" t="s">
        <v>39</v>
      </c>
      <c r="D116">
        <v>0</v>
      </c>
      <c r="E116" s="7">
        <f>worker_data[[#This Row],[employed]]-worker_data[[#This Row],[spent_amount]]</f>
        <v>0</v>
      </c>
      <c r="F116">
        <v>1.83159E-2</v>
      </c>
      <c r="G116">
        <v>0</v>
      </c>
      <c r="H116">
        <v>0</v>
      </c>
      <c r="I116" s="7" t="s">
        <v>40</v>
      </c>
      <c r="J116">
        <v>0</v>
      </c>
    </row>
    <row r="117" spans="1:10" x14ac:dyDescent="0.25">
      <c r="A117">
        <v>116</v>
      </c>
      <c r="B117">
        <v>317043351</v>
      </c>
      <c r="C117" s="7" t="s">
        <v>39</v>
      </c>
      <c r="D117">
        <v>0</v>
      </c>
      <c r="E117" s="7">
        <f>worker_data[[#This Row],[employed]]-worker_data[[#This Row],[spent_amount]]</f>
        <v>0</v>
      </c>
      <c r="F117">
        <v>1.75833E-2</v>
      </c>
      <c r="G117">
        <v>0</v>
      </c>
      <c r="H117">
        <v>0</v>
      </c>
      <c r="I117" s="7" t="s">
        <v>40</v>
      </c>
      <c r="J117">
        <v>0</v>
      </c>
    </row>
    <row r="118" spans="1:10" x14ac:dyDescent="0.25">
      <c r="A118">
        <v>117</v>
      </c>
      <c r="B118">
        <v>805962990</v>
      </c>
      <c r="C118" s="7" t="s">
        <v>39</v>
      </c>
      <c r="D118">
        <v>0</v>
      </c>
      <c r="E118" s="7">
        <f>worker_data[[#This Row],[employed]]-worker_data[[#This Row],[spent_amount]]</f>
        <v>0</v>
      </c>
      <c r="F118">
        <v>1.6879999999999999E-2</v>
      </c>
      <c r="G118">
        <v>0</v>
      </c>
      <c r="H118">
        <v>0</v>
      </c>
      <c r="I118" s="7" t="s">
        <v>40</v>
      </c>
      <c r="J118">
        <v>0</v>
      </c>
    </row>
    <row r="119" spans="1:10" x14ac:dyDescent="0.25">
      <c r="A119">
        <v>118</v>
      </c>
      <c r="B119">
        <v>920954217</v>
      </c>
      <c r="C119" s="7" t="s">
        <v>39</v>
      </c>
      <c r="D119">
        <v>0</v>
      </c>
      <c r="E119" s="7">
        <f>worker_data[[#This Row],[employed]]-worker_data[[#This Row],[spent_amount]]</f>
        <v>0</v>
      </c>
      <c r="F119">
        <v>1.6204799999999998E-2</v>
      </c>
      <c r="G119">
        <v>0</v>
      </c>
      <c r="H119">
        <v>0</v>
      </c>
      <c r="I119" s="7" t="s">
        <v>40</v>
      </c>
      <c r="J119">
        <v>0</v>
      </c>
    </row>
    <row r="120" spans="1:10" x14ac:dyDescent="0.25">
      <c r="A120">
        <v>119</v>
      </c>
      <c r="B120">
        <v>856769218</v>
      </c>
      <c r="C120" s="7" t="s">
        <v>39</v>
      </c>
      <c r="D120">
        <v>0</v>
      </c>
      <c r="E120" s="7">
        <f>worker_data[[#This Row],[employed]]-worker_data[[#This Row],[spent_amount]]</f>
        <v>0</v>
      </c>
      <c r="F120">
        <v>1.55566E-2</v>
      </c>
      <c r="G120">
        <v>0</v>
      </c>
      <c r="H120">
        <v>0</v>
      </c>
      <c r="I120" s="7" t="s">
        <v>40</v>
      </c>
      <c r="J120">
        <v>0</v>
      </c>
    </row>
    <row r="121" spans="1:10" x14ac:dyDescent="0.25">
      <c r="A121">
        <v>120</v>
      </c>
      <c r="B121">
        <v>796631172</v>
      </c>
      <c r="C121" s="7" t="s">
        <v>39</v>
      </c>
      <c r="D121">
        <v>0</v>
      </c>
      <c r="E121" s="7">
        <f>worker_data[[#This Row],[employed]]-worker_data[[#This Row],[spent_amount]]</f>
        <v>0</v>
      </c>
      <c r="F121">
        <v>1.4934299999999999E-2</v>
      </c>
      <c r="G121">
        <v>0</v>
      </c>
      <c r="H121">
        <v>0</v>
      </c>
      <c r="I121" s="7" t="s">
        <v>40</v>
      </c>
      <c r="J121">
        <v>0</v>
      </c>
    </row>
    <row r="122" spans="1:10" x14ac:dyDescent="0.25">
      <c r="A122">
        <v>121</v>
      </c>
      <c r="B122">
        <v>714076111</v>
      </c>
      <c r="C122" s="7" t="s">
        <v>39</v>
      </c>
      <c r="D122">
        <v>0</v>
      </c>
      <c r="E122" s="7">
        <f>worker_data[[#This Row],[employed]]-worker_data[[#This Row],[spent_amount]]</f>
        <v>0</v>
      </c>
      <c r="F122">
        <v>1.43369E-2</v>
      </c>
      <c r="G122">
        <v>0</v>
      </c>
      <c r="H122">
        <v>0</v>
      </c>
      <c r="I122" s="7" t="s">
        <v>40</v>
      </c>
      <c r="J122">
        <v>0</v>
      </c>
    </row>
    <row r="123" spans="1:10" x14ac:dyDescent="0.25">
      <c r="A123">
        <v>122</v>
      </c>
      <c r="B123">
        <v>97631309</v>
      </c>
      <c r="C123" s="7" t="s">
        <v>39</v>
      </c>
      <c r="D123">
        <v>0</v>
      </c>
      <c r="E123" s="7">
        <f>worker_data[[#This Row],[employed]]-worker_data[[#This Row],[spent_amount]]</f>
        <v>0</v>
      </c>
      <c r="F123">
        <v>1.37635E-2</v>
      </c>
      <c r="G123">
        <v>0</v>
      </c>
      <c r="H123">
        <v>0</v>
      </c>
      <c r="I123" s="7" t="s">
        <v>40</v>
      </c>
      <c r="J123">
        <v>0</v>
      </c>
    </row>
    <row r="124" spans="1:10" x14ac:dyDescent="0.25">
      <c r="A124">
        <v>123</v>
      </c>
      <c r="B124">
        <v>450675632</v>
      </c>
      <c r="C124" s="7" t="s">
        <v>39</v>
      </c>
      <c r="D124">
        <v>0</v>
      </c>
      <c r="E124" s="7">
        <f>worker_data[[#This Row],[employed]]-worker_data[[#This Row],[spent_amount]]</f>
        <v>0</v>
      </c>
      <c r="F124">
        <v>1.32129E-2</v>
      </c>
      <c r="G124">
        <v>0</v>
      </c>
      <c r="H124">
        <v>0</v>
      </c>
      <c r="I124" s="7" t="s">
        <v>40</v>
      </c>
      <c r="J124">
        <v>0</v>
      </c>
    </row>
    <row r="125" spans="1:10" x14ac:dyDescent="0.25">
      <c r="A125">
        <v>124</v>
      </c>
      <c r="B125">
        <v>200322327</v>
      </c>
      <c r="C125" s="7" t="s">
        <v>39</v>
      </c>
      <c r="D125">
        <v>0</v>
      </c>
      <c r="E125" s="7">
        <f>worker_data[[#This Row],[employed]]-worker_data[[#This Row],[spent_amount]]</f>
        <v>0</v>
      </c>
      <c r="F125">
        <v>1.26844E-2</v>
      </c>
      <c r="G125">
        <v>0</v>
      </c>
      <c r="H125">
        <v>0</v>
      </c>
      <c r="I125" s="7" t="s">
        <v>40</v>
      </c>
      <c r="J125">
        <v>0</v>
      </c>
    </row>
    <row r="126" spans="1:10" x14ac:dyDescent="0.25">
      <c r="A126">
        <v>125</v>
      </c>
      <c r="B126">
        <v>139257017</v>
      </c>
      <c r="C126" s="7" t="s">
        <v>39</v>
      </c>
      <c r="D126">
        <v>0</v>
      </c>
      <c r="E126" s="7">
        <f>worker_data[[#This Row],[employed]]-worker_data[[#This Row],[spent_amount]]</f>
        <v>0</v>
      </c>
      <c r="F126">
        <v>1.2177E-2</v>
      </c>
      <c r="G126">
        <v>0</v>
      </c>
      <c r="H126">
        <v>0</v>
      </c>
      <c r="I126" s="7" t="s">
        <v>40</v>
      </c>
      <c r="J126">
        <v>0</v>
      </c>
    </row>
    <row r="127" spans="1:10" x14ac:dyDescent="0.25">
      <c r="A127">
        <v>126</v>
      </c>
      <c r="B127">
        <v>707597789</v>
      </c>
      <c r="C127" s="7" t="s">
        <v>39</v>
      </c>
      <c r="D127">
        <v>0</v>
      </c>
      <c r="E127" s="7">
        <f>worker_data[[#This Row],[employed]]-worker_data[[#This Row],[spent_amount]]</f>
        <v>0</v>
      </c>
      <c r="F127">
        <v>1.16899E-2</v>
      </c>
      <c r="G127">
        <v>0</v>
      </c>
      <c r="H127">
        <v>0</v>
      </c>
      <c r="I127" s="7" t="s">
        <v>40</v>
      </c>
      <c r="J127">
        <v>0</v>
      </c>
    </row>
    <row r="128" spans="1:10" x14ac:dyDescent="0.25">
      <c r="A128">
        <v>127</v>
      </c>
      <c r="B128">
        <v>698675811</v>
      </c>
      <c r="C128" s="7" t="s">
        <v>39</v>
      </c>
      <c r="D128">
        <v>0</v>
      </c>
      <c r="E128" s="7">
        <f>worker_data[[#This Row],[employed]]-worker_data[[#This Row],[spent_amount]]</f>
        <v>0</v>
      </c>
      <c r="F128">
        <v>1.1222299999999999E-2</v>
      </c>
      <c r="G128">
        <v>0</v>
      </c>
      <c r="H128">
        <v>0</v>
      </c>
      <c r="I128" s="7" t="s">
        <v>40</v>
      </c>
      <c r="J128">
        <v>0</v>
      </c>
    </row>
    <row r="129" spans="1:10" x14ac:dyDescent="0.25">
      <c r="A129">
        <v>128</v>
      </c>
      <c r="B129">
        <v>889808781</v>
      </c>
      <c r="C129" s="7" t="s">
        <v>39</v>
      </c>
      <c r="D129">
        <v>0</v>
      </c>
      <c r="E129" s="7">
        <f>worker_data[[#This Row],[employed]]-worker_data[[#This Row],[spent_amount]]</f>
        <v>0</v>
      </c>
      <c r="F129">
        <v>1.07735E-2</v>
      </c>
      <c r="G129">
        <v>0</v>
      </c>
      <c r="H129">
        <v>0</v>
      </c>
      <c r="I129" s="7" t="s">
        <v>40</v>
      </c>
      <c r="J129">
        <v>0</v>
      </c>
    </row>
    <row r="130" spans="1:10" x14ac:dyDescent="0.25">
      <c r="A130">
        <v>129</v>
      </c>
      <c r="B130">
        <v>166225787</v>
      </c>
      <c r="C130" s="7" t="s">
        <v>39</v>
      </c>
      <c r="D130">
        <v>0</v>
      </c>
      <c r="E130" s="7">
        <f>worker_data[[#This Row],[employed]]-worker_data[[#This Row],[spent_amount]]</f>
        <v>0</v>
      </c>
      <c r="F130">
        <v>1.0342499999999999E-2</v>
      </c>
      <c r="G130">
        <v>0</v>
      </c>
      <c r="H130">
        <v>0</v>
      </c>
      <c r="I130" s="7" t="s">
        <v>40</v>
      </c>
      <c r="J130">
        <v>0</v>
      </c>
    </row>
    <row r="131" spans="1:10" x14ac:dyDescent="0.25">
      <c r="A131">
        <v>130</v>
      </c>
      <c r="B131">
        <v>79692009</v>
      </c>
      <c r="C131" s="7" t="s">
        <v>39</v>
      </c>
      <c r="D131">
        <v>0</v>
      </c>
      <c r="E131" s="7">
        <f>worker_data[[#This Row],[employed]]-worker_data[[#This Row],[spent_amount]]</f>
        <v>0</v>
      </c>
      <c r="F131">
        <v>9.9288099999999997E-3</v>
      </c>
      <c r="G131">
        <v>0</v>
      </c>
      <c r="H131">
        <v>0</v>
      </c>
      <c r="I131" s="7" t="s">
        <v>40</v>
      </c>
      <c r="J131">
        <v>0</v>
      </c>
    </row>
    <row r="132" spans="1:10" x14ac:dyDescent="0.25">
      <c r="A132">
        <v>131</v>
      </c>
      <c r="B132">
        <v>700289104</v>
      </c>
      <c r="C132" s="7" t="s">
        <v>39</v>
      </c>
      <c r="D132">
        <v>0</v>
      </c>
      <c r="E132" s="7">
        <f>worker_data[[#This Row],[employed]]-worker_data[[#This Row],[spent_amount]]</f>
        <v>0</v>
      </c>
      <c r="F132">
        <v>9.5316600000000008E-3</v>
      </c>
      <c r="G132">
        <v>0</v>
      </c>
      <c r="H132">
        <v>0</v>
      </c>
      <c r="I132" s="7" t="s">
        <v>40</v>
      </c>
      <c r="J132">
        <v>0</v>
      </c>
    </row>
    <row r="133" spans="1:10" x14ac:dyDescent="0.25">
      <c r="A133">
        <v>132</v>
      </c>
      <c r="B133">
        <v>786519094</v>
      </c>
      <c r="C133" s="7" t="s">
        <v>39</v>
      </c>
      <c r="D133">
        <v>0</v>
      </c>
      <c r="E133" s="7">
        <f>worker_data[[#This Row],[employed]]-worker_data[[#This Row],[spent_amount]]</f>
        <v>0</v>
      </c>
      <c r="F133">
        <v>9.1503899999999996E-3</v>
      </c>
      <c r="G133">
        <v>0</v>
      </c>
      <c r="H133">
        <v>0</v>
      </c>
      <c r="I133" s="7" t="s">
        <v>40</v>
      </c>
      <c r="J133">
        <v>0</v>
      </c>
    </row>
    <row r="134" spans="1:10" x14ac:dyDescent="0.25">
      <c r="A134">
        <v>133</v>
      </c>
      <c r="B134">
        <v>817579004</v>
      </c>
      <c r="C134" s="7" t="s">
        <v>39</v>
      </c>
      <c r="D134">
        <v>0</v>
      </c>
      <c r="E134" s="7">
        <f>worker_data[[#This Row],[employed]]-worker_data[[#This Row],[spent_amount]]</f>
        <v>0</v>
      </c>
      <c r="F134">
        <v>8.7843799999999996E-3</v>
      </c>
      <c r="G134">
        <v>0</v>
      </c>
      <c r="H134">
        <v>0</v>
      </c>
      <c r="I134" s="7" t="s">
        <v>40</v>
      </c>
      <c r="J134">
        <v>0</v>
      </c>
    </row>
    <row r="135" spans="1:10" x14ac:dyDescent="0.25">
      <c r="A135">
        <v>134</v>
      </c>
      <c r="B135">
        <v>862707412</v>
      </c>
      <c r="C135" s="7" t="s">
        <v>39</v>
      </c>
      <c r="D135">
        <v>0</v>
      </c>
      <c r="E135" s="7">
        <f>worker_data[[#This Row],[employed]]-worker_data[[#This Row],[spent_amount]]</f>
        <v>0</v>
      </c>
      <c r="F135">
        <v>8.4329999999999995E-3</v>
      </c>
      <c r="G135">
        <v>0</v>
      </c>
      <c r="H135">
        <v>0</v>
      </c>
      <c r="I135" s="7" t="s">
        <v>40</v>
      </c>
      <c r="J135">
        <v>0</v>
      </c>
    </row>
    <row r="136" spans="1:10" x14ac:dyDescent="0.25">
      <c r="A136">
        <v>135</v>
      </c>
      <c r="B136">
        <v>608022599</v>
      </c>
      <c r="C136" s="7" t="s">
        <v>39</v>
      </c>
      <c r="D136">
        <v>0</v>
      </c>
      <c r="E136" s="7">
        <f>worker_data[[#This Row],[employed]]-worker_data[[#This Row],[spent_amount]]</f>
        <v>0</v>
      </c>
      <c r="F136">
        <v>8.0956799999999992E-3</v>
      </c>
      <c r="G136">
        <v>0</v>
      </c>
      <c r="H136">
        <v>0</v>
      </c>
      <c r="I136" s="7" t="s">
        <v>40</v>
      </c>
      <c r="J136">
        <v>0</v>
      </c>
    </row>
    <row r="137" spans="1:10" x14ac:dyDescent="0.25">
      <c r="A137">
        <v>136</v>
      </c>
      <c r="B137">
        <v>183592588</v>
      </c>
      <c r="C137" s="7" t="s">
        <v>39</v>
      </c>
      <c r="D137">
        <v>0</v>
      </c>
      <c r="E137" s="7">
        <f>worker_data[[#This Row],[employed]]-worker_data[[#This Row],[spent_amount]]</f>
        <v>0</v>
      </c>
      <c r="F137">
        <v>7.7718600000000002E-3</v>
      </c>
      <c r="G137">
        <v>0</v>
      </c>
      <c r="H137">
        <v>0</v>
      </c>
      <c r="I137" s="7" t="s">
        <v>40</v>
      </c>
      <c r="J137">
        <v>0</v>
      </c>
    </row>
    <row r="138" spans="1:10" x14ac:dyDescent="0.25">
      <c r="A138">
        <v>137</v>
      </c>
      <c r="B138">
        <v>624743927</v>
      </c>
      <c r="C138" s="7" t="s">
        <v>39</v>
      </c>
      <c r="D138">
        <v>0</v>
      </c>
      <c r="E138" s="7">
        <f>worker_data[[#This Row],[employed]]-worker_data[[#This Row],[spent_amount]]</f>
        <v>0</v>
      </c>
      <c r="F138">
        <v>7.4609799999999999E-3</v>
      </c>
      <c r="G138">
        <v>0</v>
      </c>
      <c r="H138">
        <v>0</v>
      </c>
      <c r="I138" s="7" t="s">
        <v>40</v>
      </c>
      <c r="J138">
        <v>0</v>
      </c>
    </row>
    <row r="139" spans="1:10" x14ac:dyDescent="0.25">
      <c r="A139">
        <v>138</v>
      </c>
      <c r="B139">
        <v>290088913</v>
      </c>
      <c r="C139" s="7" t="s">
        <v>39</v>
      </c>
      <c r="D139">
        <v>0</v>
      </c>
      <c r="E139" s="7">
        <f>worker_data[[#This Row],[employed]]-worker_data[[#This Row],[spent_amount]]</f>
        <v>0</v>
      </c>
      <c r="F139">
        <v>7.1625400000000002E-3</v>
      </c>
      <c r="G139">
        <v>0</v>
      </c>
      <c r="H139">
        <v>0</v>
      </c>
      <c r="I139" s="7" t="s">
        <v>40</v>
      </c>
      <c r="J139">
        <v>0</v>
      </c>
    </row>
    <row r="140" spans="1:10" x14ac:dyDescent="0.25">
      <c r="A140">
        <v>139</v>
      </c>
      <c r="B140">
        <v>130908304</v>
      </c>
      <c r="C140" s="7" t="s">
        <v>39</v>
      </c>
      <c r="D140">
        <v>0</v>
      </c>
      <c r="E140" s="7">
        <f>worker_data[[#This Row],[employed]]-worker_data[[#This Row],[spent_amount]]</f>
        <v>0</v>
      </c>
      <c r="F140">
        <v>6.8760399999999999E-3</v>
      </c>
      <c r="G140">
        <v>0</v>
      </c>
      <c r="H140">
        <v>0</v>
      </c>
      <c r="I140" s="7" t="s">
        <v>40</v>
      </c>
      <c r="J140">
        <v>0</v>
      </c>
    </row>
    <row r="141" spans="1:10" x14ac:dyDescent="0.25">
      <c r="A141">
        <v>140</v>
      </c>
      <c r="B141">
        <v>196763317</v>
      </c>
      <c r="C141" s="7" t="s">
        <v>39</v>
      </c>
      <c r="D141">
        <v>0</v>
      </c>
      <c r="E141" s="7">
        <f>worker_data[[#This Row],[employed]]-worker_data[[#This Row],[spent_amount]]</f>
        <v>0</v>
      </c>
      <c r="F141">
        <v>6.6010000000000001E-3</v>
      </c>
      <c r="G141">
        <v>0</v>
      </c>
      <c r="H141">
        <v>0</v>
      </c>
      <c r="I141" s="7" t="s">
        <v>40</v>
      </c>
      <c r="J141">
        <v>0</v>
      </c>
    </row>
    <row r="142" spans="1:10" x14ac:dyDescent="0.25">
      <c r="A142">
        <v>141</v>
      </c>
      <c r="B142">
        <v>384506102</v>
      </c>
      <c r="C142" s="7" t="s">
        <v>39</v>
      </c>
      <c r="D142">
        <v>0</v>
      </c>
      <c r="E142" s="7">
        <f>worker_data[[#This Row],[employed]]-worker_data[[#This Row],[spent_amount]]</f>
        <v>0</v>
      </c>
      <c r="F142">
        <v>6.33696E-3</v>
      </c>
      <c r="G142">
        <v>0</v>
      </c>
      <c r="H142">
        <v>0</v>
      </c>
      <c r="I142" s="7" t="s">
        <v>40</v>
      </c>
      <c r="J142">
        <v>0</v>
      </c>
    </row>
    <row r="143" spans="1:10" x14ac:dyDescent="0.25">
      <c r="A143">
        <v>142</v>
      </c>
      <c r="B143">
        <v>249204111</v>
      </c>
      <c r="C143" s="7" t="s">
        <v>39</v>
      </c>
      <c r="D143">
        <v>0</v>
      </c>
      <c r="E143" s="7">
        <f>worker_data[[#This Row],[employed]]-worker_data[[#This Row],[spent_amount]]</f>
        <v>0</v>
      </c>
      <c r="F143">
        <v>6.0834799999999996E-3</v>
      </c>
      <c r="G143">
        <v>0</v>
      </c>
      <c r="H143">
        <v>0</v>
      </c>
      <c r="I143" s="7" t="s">
        <v>40</v>
      </c>
      <c r="J143">
        <v>0</v>
      </c>
    </row>
    <row r="144" spans="1:10" x14ac:dyDescent="0.25">
      <c r="A144">
        <v>143</v>
      </c>
      <c r="B144">
        <v>382602851</v>
      </c>
      <c r="C144" s="7" t="s">
        <v>39</v>
      </c>
      <c r="D144">
        <v>0</v>
      </c>
      <c r="E144" s="7">
        <f>worker_data[[#This Row],[employed]]-worker_data[[#This Row],[spent_amount]]</f>
        <v>0</v>
      </c>
      <c r="F144">
        <v>5.8401399999999997E-3</v>
      </c>
      <c r="G144">
        <v>0</v>
      </c>
      <c r="H144">
        <v>0</v>
      </c>
      <c r="I144" s="7" t="s">
        <v>40</v>
      </c>
      <c r="J144">
        <v>0</v>
      </c>
    </row>
    <row r="145" spans="1:10" x14ac:dyDescent="0.25">
      <c r="A145">
        <v>144</v>
      </c>
      <c r="B145">
        <v>216083730</v>
      </c>
      <c r="C145" s="7" t="s">
        <v>39</v>
      </c>
      <c r="D145">
        <v>0</v>
      </c>
      <c r="E145" s="7">
        <f>worker_data[[#This Row],[employed]]-worker_data[[#This Row],[spent_amount]]</f>
        <v>0</v>
      </c>
      <c r="F145">
        <v>5.6065400000000001E-3</v>
      </c>
      <c r="G145">
        <v>0</v>
      </c>
      <c r="H145">
        <v>0</v>
      </c>
      <c r="I145" s="7" t="s">
        <v>40</v>
      </c>
      <c r="J145">
        <v>0</v>
      </c>
    </row>
    <row r="146" spans="1:10" x14ac:dyDescent="0.25">
      <c r="A146">
        <v>145</v>
      </c>
      <c r="B146">
        <v>968375681</v>
      </c>
      <c r="C146" s="7" t="s">
        <v>39</v>
      </c>
      <c r="D146">
        <v>0</v>
      </c>
      <c r="E146" s="7">
        <f>worker_data[[#This Row],[employed]]-worker_data[[#This Row],[spent_amount]]</f>
        <v>0</v>
      </c>
      <c r="F146">
        <v>5.3822699999999998E-3</v>
      </c>
      <c r="G146">
        <v>0</v>
      </c>
      <c r="H146">
        <v>0</v>
      </c>
      <c r="I146" s="7" t="s">
        <v>40</v>
      </c>
      <c r="J146">
        <v>0</v>
      </c>
    </row>
    <row r="147" spans="1:10" x14ac:dyDescent="0.25">
      <c r="A147">
        <v>146</v>
      </c>
      <c r="B147">
        <v>459662802</v>
      </c>
      <c r="C147" s="7" t="s">
        <v>39</v>
      </c>
      <c r="D147">
        <v>0</v>
      </c>
      <c r="E147" s="7">
        <f>worker_data[[#This Row],[employed]]-worker_data[[#This Row],[spent_amount]]</f>
        <v>0</v>
      </c>
      <c r="F147">
        <v>5.1669799999999998E-3</v>
      </c>
      <c r="G147">
        <v>0</v>
      </c>
      <c r="H147">
        <v>0</v>
      </c>
      <c r="I147" s="7" t="s">
        <v>40</v>
      </c>
      <c r="J147">
        <v>0</v>
      </c>
    </row>
    <row r="148" spans="1:10" x14ac:dyDescent="0.25">
      <c r="A148">
        <v>147</v>
      </c>
      <c r="B148">
        <v>223676795</v>
      </c>
      <c r="C148" s="7" t="s">
        <v>39</v>
      </c>
      <c r="D148">
        <v>0</v>
      </c>
      <c r="E148" s="7">
        <f>worker_data[[#This Row],[employed]]-worker_data[[#This Row],[spent_amount]]</f>
        <v>0</v>
      </c>
      <c r="F148">
        <v>4.9603E-3</v>
      </c>
      <c r="G148">
        <v>0</v>
      </c>
      <c r="H148">
        <v>0</v>
      </c>
      <c r="I148" s="7" t="s">
        <v>40</v>
      </c>
      <c r="J148">
        <v>0</v>
      </c>
    </row>
    <row r="149" spans="1:10" x14ac:dyDescent="0.25">
      <c r="A149">
        <v>148</v>
      </c>
      <c r="B149">
        <v>460567039</v>
      </c>
      <c r="C149" s="7" t="s">
        <v>39</v>
      </c>
      <c r="D149">
        <v>0</v>
      </c>
      <c r="E149" s="7">
        <f>worker_data[[#This Row],[employed]]-worker_data[[#This Row],[spent_amount]]</f>
        <v>0</v>
      </c>
      <c r="F149">
        <v>4.7618900000000004E-3</v>
      </c>
      <c r="G149">
        <v>0</v>
      </c>
      <c r="H149">
        <v>0</v>
      </c>
      <c r="I149" s="7" t="s">
        <v>40</v>
      </c>
      <c r="J149">
        <v>0</v>
      </c>
    </row>
    <row r="150" spans="1:10" x14ac:dyDescent="0.25">
      <c r="A150">
        <v>149</v>
      </c>
      <c r="B150">
        <v>536723214</v>
      </c>
      <c r="C150" s="7" t="s">
        <v>39</v>
      </c>
      <c r="D150">
        <v>0</v>
      </c>
      <c r="E150" s="7">
        <f>worker_data[[#This Row],[employed]]-worker_data[[#This Row],[spent_amount]]</f>
        <v>0</v>
      </c>
      <c r="F150">
        <v>4.5714199999999997E-3</v>
      </c>
      <c r="G150">
        <v>0</v>
      </c>
      <c r="H150">
        <v>0</v>
      </c>
      <c r="I150" s="7" t="s">
        <v>40</v>
      </c>
      <c r="J150">
        <v>0</v>
      </c>
    </row>
    <row r="151" spans="1:10" x14ac:dyDescent="0.25">
      <c r="A151">
        <v>150</v>
      </c>
      <c r="B151">
        <v>175172006</v>
      </c>
      <c r="C151" s="7" t="s">
        <v>39</v>
      </c>
      <c r="D151">
        <v>0</v>
      </c>
      <c r="E151" s="7">
        <f>worker_data[[#This Row],[employed]]-worker_data[[#This Row],[spent_amount]]</f>
        <v>0</v>
      </c>
      <c r="F151">
        <v>4.3885599999999997E-3</v>
      </c>
      <c r="G151">
        <v>0</v>
      </c>
      <c r="H151">
        <v>0</v>
      </c>
      <c r="I151" s="7" t="s">
        <v>40</v>
      </c>
      <c r="J151">
        <v>0</v>
      </c>
    </row>
    <row r="152" spans="1:10" x14ac:dyDescent="0.25">
      <c r="A152">
        <v>151</v>
      </c>
      <c r="B152">
        <v>562379494</v>
      </c>
      <c r="C152" s="7" t="s">
        <v>39</v>
      </c>
      <c r="D152">
        <v>0</v>
      </c>
      <c r="E152" s="7">
        <f>worker_data[[#This Row],[employed]]-worker_data[[#This Row],[spent_amount]]</f>
        <v>0</v>
      </c>
      <c r="F152">
        <v>4.2130199999999996E-3</v>
      </c>
      <c r="G152">
        <v>0</v>
      </c>
      <c r="H152">
        <v>0</v>
      </c>
      <c r="I152" s="7" t="s">
        <v>40</v>
      </c>
      <c r="J152">
        <v>0</v>
      </c>
    </row>
    <row r="153" spans="1:10" x14ac:dyDescent="0.25">
      <c r="A153">
        <v>152</v>
      </c>
      <c r="B153">
        <v>614657114</v>
      </c>
      <c r="C153" s="7" t="s">
        <v>39</v>
      </c>
      <c r="D153">
        <v>0</v>
      </c>
      <c r="E153" s="7">
        <f>worker_data[[#This Row],[employed]]-worker_data[[#This Row],[spent_amount]]</f>
        <v>0</v>
      </c>
      <c r="F153">
        <v>4.0445000000000004E-3</v>
      </c>
      <c r="G153">
        <v>0</v>
      </c>
      <c r="H153">
        <v>0</v>
      </c>
      <c r="I153" s="7" t="s">
        <v>40</v>
      </c>
      <c r="J153">
        <v>0</v>
      </c>
    </row>
    <row r="154" spans="1:10" x14ac:dyDescent="0.25">
      <c r="A154">
        <v>153</v>
      </c>
      <c r="B154">
        <v>500777399</v>
      </c>
      <c r="C154" s="7" t="s">
        <v>39</v>
      </c>
      <c r="D154">
        <v>0</v>
      </c>
      <c r="E154" s="7">
        <f>worker_data[[#This Row],[employed]]-worker_data[[#This Row],[spent_amount]]</f>
        <v>0</v>
      </c>
      <c r="F154">
        <v>3.8827200000000001E-3</v>
      </c>
      <c r="G154">
        <v>0</v>
      </c>
      <c r="H154">
        <v>0</v>
      </c>
      <c r="I154" s="7" t="s">
        <v>40</v>
      </c>
      <c r="J154">
        <v>0</v>
      </c>
    </row>
    <row r="155" spans="1:10" x14ac:dyDescent="0.25">
      <c r="A155">
        <v>154</v>
      </c>
      <c r="B155">
        <v>918325665</v>
      </c>
      <c r="C155" s="7" t="s">
        <v>39</v>
      </c>
      <c r="D155">
        <v>0</v>
      </c>
      <c r="E155" s="7">
        <f>worker_data[[#This Row],[employed]]-worker_data[[#This Row],[spent_amount]]</f>
        <v>0</v>
      </c>
      <c r="F155">
        <v>3.72741E-3</v>
      </c>
      <c r="G155">
        <v>0</v>
      </c>
      <c r="H155">
        <v>0</v>
      </c>
      <c r="I155" s="7" t="s">
        <v>40</v>
      </c>
      <c r="J155">
        <v>0</v>
      </c>
    </row>
    <row r="156" spans="1:10" x14ac:dyDescent="0.25">
      <c r="A156">
        <v>155</v>
      </c>
      <c r="B156">
        <v>976454076</v>
      </c>
      <c r="C156" s="7" t="s">
        <v>39</v>
      </c>
      <c r="D156">
        <v>0</v>
      </c>
      <c r="E156" s="7">
        <f>worker_data[[#This Row],[employed]]-worker_data[[#This Row],[spent_amount]]</f>
        <v>0</v>
      </c>
      <c r="F156">
        <v>3.5783099999999999E-3</v>
      </c>
      <c r="G156">
        <v>0</v>
      </c>
      <c r="H156">
        <v>0</v>
      </c>
      <c r="I156" s="7" t="s">
        <v>40</v>
      </c>
      <c r="J156">
        <v>0</v>
      </c>
    </row>
    <row r="157" spans="1:10" x14ac:dyDescent="0.25">
      <c r="A157">
        <v>156</v>
      </c>
      <c r="B157">
        <v>339606783</v>
      </c>
      <c r="C157" s="7" t="s">
        <v>39</v>
      </c>
      <c r="D157">
        <v>0</v>
      </c>
      <c r="E157" s="7">
        <f>worker_data[[#This Row],[employed]]-worker_data[[#This Row],[spent_amount]]</f>
        <v>0</v>
      </c>
      <c r="F157">
        <v>3.4351799999999999E-3</v>
      </c>
      <c r="G157">
        <v>0</v>
      </c>
      <c r="H157">
        <v>0</v>
      </c>
      <c r="I157" s="7" t="s">
        <v>40</v>
      </c>
      <c r="J157">
        <v>0</v>
      </c>
    </row>
    <row r="158" spans="1:10" x14ac:dyDescent="0.25">
      <c r="A158">
        <v>157</v>
      </c>
      <c r="B158">
        <v>623132091</v>
      </c>
      <c r="C158" s="7" t="s">
        <v>39</v>
      </c>
      <c r="D158">
        <v>0</v>
      </c>
      <c r="E158" s="7">
        <f>worker_data[[#This Row],[employed]]-worker_data[[#This Row],[spent_amount]]</f>
        <v>0</v>
      </c>
      <c r="F158">
        <v>3.2977700000000002E-3</v>
      </c>
      <c r="G158">
        <v>0</v>
      </c>
      <c r="H158">
        <v>0</v>
      </c>
      <c r="I158" s="7" t="s">
        <v>40</v>
      </c>
      <c r="J158">
        <v>0</v>
      </c>
    </row>
    <row r="159" spans="1:10" x14ac:dyDescent="0.25">
      <c r="A159">
        <v>158</v>
      </c>
      <c r="B159">
        <v>698350577</v>
      </c>
      <c r="C159" s="7" t="s">
        <v>39</v>
      </c>
      <c r="D159">
        <v>0</v>
      </c>
      <c r="E159" s="7">
        <f>worker_data[[#This Row],[employed]]-worker_data[[#This Row],[spent_amount]]</f>
        <v>0</v>
      </c>
      <c r="F159">
        <v>3.1658599999999999E-3</v>
      </c>
      <c r="G159">
        <v>0</v>
      </c>
      <c r="H159">
        <v>0</v>
      </c>
      <c r="I159" s="7" t="s">
        <v>40</v>
      </c>
      <c r="J159">
        <v>0</v>
      </c>
    </row>
    <row r="160" spans="1:10" x14ac:dyDescent="0.25">
      <c r="A160">
        <v>159</v>
      </c>
      <c r="B160">
        <v>716478456</v>
      </c>
      <c r="C160" s="7" t="s">
        <v>39</v>
      </c>
      <c r="D160">
        <v>0</v>
      </c>
      <c r="E160" s="7">
        <f>worker_data[[#This Row],[employed]]-worker_data[[#This Row],[spent_amount]]</f>
        <v>0</v>
      </c>
      <c r="F160">
        <v>3.03923E-3</v>
      </c>
      <c r="G160">
        <v>0</v>
      </c>
      <c r="H160">
        <v>0</v>
      </c>
      <c r="I160" s="7" t="s">
        <v>40</v>
      </c>
      <c r="J160">
        <v>0</v>
      </c>
    </row>
    <row r="161" spans="1:10" x14ac:dyDescent="0.25">
      <c r="A161">
        <v>160</v>
      </c>
      <c r="B161">
        <v>448812350</v>
      </c>
      <c r="C161" s="7" t="s">
        <v>39</v>
      </c>
      <c r="D161">
        <v>0</v>
      </c>
      <c r="E161" s="7">
        <f>worker_data[[#This Row],[employed]]-worker_data[[#This Row],[spent_amount]]</f>
        <v>0</v>
      </c>
      <c r="F161">
        <v>2.9176599999999999E-3</v>
      </c>
      <c r="G161">
        <v>0</v>
      </c>
      <c r="H161">
        <v>0</v>
      </c>
      <c r="I161" s="7" t="s">
        <v>40</v>
      </c>
      <c r="J161">
        <v>0</v>
      </c>
    </row>
    <row r="162" spans="1:10" x14ac:dyDescent="0.25">
      <c r="A162">
        <v>161</v>
      </c>
      <c r="B162">
        <v>738870838</v>
      </c>
      <c r="C162" s="7" t="s">
        <v>39</v>
      </c>
      <c r="D162">
        <v>0</v>
      </c>
      <c r="E162" s="7">
        <f>worker_data[[#This Row],[employed]]-worker_data[[#This Row],[spent_amount]]</f>
        <v>0</v>
      </c>
      <c r="F162">
        <v>2.80095E-3</v>
      </c>
      <c r="G162">
        <v>0</v>
      </c>
      <c r="H162">
        <v>0</v>
      </c>
      <c r="I162" s="7" t="s">
        <v>40</v>
      </c>
      <c r="J162">
        <v>0</v>
      </c>
    </row>
    <row r="163" spans="1:10" x14ac:dyDescent="0.25">
      <c r="A163">
        <v>162</v>
      </c>
      <c r="B163">
        <v>265364271</v>
      </c>
      <c r="C163" s="7" t="s">
        <v>39</v>
      </c>
      <c r="D163">
        <v>0</v>
      </c>
      <c r="E163" s="7">
        <f>worker_data[[#This Row],[employed]]-worker_data[[#This Row],[spent_amount]]</f>
        <v>0</v>
      </c>
      <c r="F163">
        <v>2.6889100000000001E-3</v>
      </c>
      <c r="G163">
        <v>0</v>
      </c>
      <c r="H163">
        <v>0</v>
      </c>
      <c r="I163" s="7" t="s">
        <v>40</v>
      </c>
      <c r="J163">
        <v>0</v>
      </c>
    </row>
    <row r="164" spans="1:10" x14ac:dyDescent="0.25">
      <c r="A164">
        <v>163</v>
      </c>
      <c r="B164">
        <v>21022628</v>
      </c>
      <c r="C164" s="7" t="s">
        <v>39</v>
      </c>
      <c r="D164">
        <v>0</v>
      </c>
      <c r="E164" s="7">
        <f>worker_data[[#This Row],[employed]]-worker_data[[#This Row],[spent_amount]]</f>
        <v>0</v>
      </c>
      <c r="F164">
        <v>2.58136E-3</v>
      </c>
      <c r="G164">
        <v>0</v>
      </c>
      <c r="H164">
        <v>0</v>
      </c>
      <c r="I164" s="7" t="s">
        <v>40</v>
      </c>
      <c r="J164">
        <v>0</v>
      </c>
    </row>
    <row r="165" spans="1:10" x14ac:dyDescent="0.25">
      <c r="A165">
        <v>164</v>
      </c>
      <c r="B165">
        <v>526565930</v>
      </c>
      <c r="C165" s="7" t="s">
        <v>39</v>
      </c>
      <c r="D165">
        <v>0</v>
      </c>
      <c r="E165" s="7">
        <f>worker_data[[#This Row],[employed]]-worker_data[[#This Row],[spent_amount]]</f>
        <v>0</v>
      </c>
      <c r="F165">
        <v>2.4781E-3</v>
      </c>
      <c r="G165">
        <v>0</v>
      </c>
      <c r="H165">
        <v>0</v>
      </c>
      <c r="I165" s="7" t="s">
        <v>40</v>
      </c>
      <c r="J165">
        <v>0</v>
      </c>
    </row>
    <row r="166" spans="1:10" x14ac:dyDescent="0.25">
      <c r="A166">
        <v>165</v>
      </c>
      <c r="B166">
        <v>446557523</v>
      </c>
      <c r="C166" s="7" t="s">
        <v>39</v>
      </c>
      <c r="D166">
        <v>0</v>
      </c>
      <c r="E166" s="7">
        <f>worker_data[[#This Row],[employed]]-worker_data[[#This Row],[spent_amount]]</f>
        <v>0</v>
      </c>
      <c r="F166">
        <v>2.3789800000000002E-3</v>
      </c>
      <c r="G166">
        <v>0</v>
      </c>
      <c r="H166">
        <v>0</v>
      </c>
      <c r="I166" s="7" t="s">
        <v>40</v>
      </c>
      <c r="J166">
        <v>0</v>
      </c>
    </row>
    <row r="167" spans="1:10" x14ac:dyDescent="0.25">
      <c r="A167">
        <v>166</v>
      </c>
      <c r="B167">
        <v>296096629</v>
      </c>
      <c r="C167" s="7" t="s">
        <v>39</v>
      </c>
      <c r="D167">
        <v>0</v>
      </c>
      <c r="E167" s="7">
        <f>worker_data[[#This Row],[employed]]-worker_data[[#This Row],[spent_amount]]</f>
        <v>0</v>
      </c>
      <c r="F167">
        <v>2.2838200000000002E-3</v>
      </c>
      <c r="G167">
        <v>0</v>
      </c>
      <c r="H167">
        <v>0</v>
      </c>
      <c r="I167" s="7" t="s">
        <v>40</v>
      </c>
      <c r="J167">
        <v>0</v>
      </c>
    </row>
    <row r="168" spans="1:10" x14ac:dyDescent="0.25">
      <c r="A168">
        <v>167</v>
      </c>
      <c r="B168">
        <v>908430668</v>
      </c>
      <c r="C168" s="7" t="s">
        <v>39</v>
      </c>
      <c r="D168">
        <v>0</v>
      </c>
      <c r="E168" s="7">
        <f>worker_data[[#This Row],[employed]]-worker_data[[#This Row],[spent_amount]]</f>
        <v>0</v>
      </c>
      <c r="F168">
        <v>2.1924700000000002E-3</v>
      </c>
      <c r="G168">
        <v>0</v>
      </c>
      <c r="H168">
        <v>0</v>
      </c>
      <c r="I168" s="7" t="s">
        <v>40</v>
      </c>
      <c r="J168">
        <v>0</v>
      </c>
    </row>
    <row r="169" spans="1:10" x14ac:dyDescent="0.25">
      <c r="A169">
        <v>168</v>
      </c>
      <c r="B169">
        <v>14912060</v>
      </c>
      <c r="C169" s="7" t="s">
        <v>39</v>
      </c>
      <c r="D169">
        <v>0</v>
      </c>
      <c r="E169" s="7">
        <f>worker_data[[#This Row],[employed]]-worker_data[[#This Row],[spent_amount]]</f>
        <v>0</v>
      </c>
      <c r="F169">
        <v>2.1047700000000002E-3</v>
      </c>
      <c r="G169">
        <v>0</v>
      </c>
      <c r="H169">
        <v>0</v>
      </c>
      <c r="I169" s="7" t="s">
        <v>40</v>
      </c>
      <c r="J169">
        <v>0</v>
      </c>
    </row>
    <row r="170" spans="1:10" x14ac:dyDescent="0.25">
      <c r="A170">
        <v>169</v>
      </c>
      <c r="B170">
        <v>54699858</v>
      </c>
      <c r="C170" s="7" t="s">
        <v>39</v>
      </c>
      <c r="D170">
        <v>0</v>
      </c>
      <c r="E170" s="7">
        <f>worker_data[[#This Row],[employed]]-worker_data[[#This Row],[spent_amount]]</f>
        <v>0</v>
      </c>
      <c r="F170">
        <v>2.0205800000000001E-3</v>
      </c>
      <c r="G170">
        <v>0</v>
      </c>
      <c r="H170">
        <v>0</v>
      </c>
      <c r="I170" s="7" t="s">
        <v>40</v>
      </c>
      <c r="J170">
        <v>0</v>
      </c>
    </row>
    <row r="171" spans="1:10" x14ac:dyDescent="0.25">
      <c r="A171">
        <v>170</v>
      </c>
      <c r="B171">
        <v>525725169</v>
      </c>
      <c r="C171" s="7" t="s">
        <v>39</v>
      </c>
      <c r="D171">
        <v>0</v>
      </c>
      <c r="E171" s="7">
        <f>worker_data[[#This Row],[employed]]-worker_data[[#This Row],[spent_amount]]</f>
        <v>0</v>
      </c>
      <c r="F171">
        <v>1.9397500000000001E-3</v>
      </c>
      <c r="G171">
        <v>0</v>
      </c>
      <c r="H171">
        <v>0</v>
      </c>
      <c r="I171" s="7" t="s">
        <v>40</v>
      </c>
      <c r="J171">
        <v>0</v>
      </c>
    </row>
    <row r="172" spans="1:10" x14ac:dyDescent="0.25">
      <c r="A172">
        <v>171</v>
      </c>
      <c r="B172">
        <v>683881335</v>
      </c>
      <c r="C172" s="7" t="s">
        <v>39</v>
      </c>
      <c r="D172">
        <v>0</v>
      </c>
      <c r="E172" s="7">
        <f>worker_data[[#This Row],[employed]]-worker_data[[#This Row],[spent_amount]]</f>
        <v>0</v>
      </c>
      <c r="F172">
        <v>1.8621600000000001E-3</v>
      </c>
      <c r="G172">
        <v>0</v>
      </c>
      <c r="H172">
        <v>0</v>
      </c>
      <c r="I172" s="7" t="s">
        <v>40</v>
      </c>
      <c r="J172">
        <v>0</v>
      </c>
    </row>
    <row r="173" spans="1:10" x14ac:dyDescent="0.25">
      <c r="A173">
        <v>172</v>
      </c>
      <c r="B173">
        <v>639354202</v>
      </c>
      <c r="C173" s="7" t="s">
        <v>39</v>
      </c>
      <c r="D173">
        <v>0</v>
      </c>
      <c r="E173" s="7">
        <f>worker_data[[#This Row],[employed]]-worker_data[[#This Row],[spent_amount]]</f>
        <v>0</v>
      </c>
      <c r="F173">
        <v>1.78768E-3</v>
      </c>
      <c r="G173">
        <v>0</v>
      </c>
      <c r="H173">
        <v>0</v>
      </c>
      <c r="I173" s="7" t="s">
        <v>40</v>
      </c>
      <c r="J173">
        <v>0</v>
      </c>
    </row>
    <row r="174" spans="1:10" x14ac:dyDescent="0.25">
      <c r="A174">
        <v>173</v>
      </c>
      <c r="B174">
        <v>993476526</v>
      </c>
      <c r="C174" s="7" t="s">
        <v>39</v>
      </c>
      <c r="D174">
        <v>0</v>
      </c>
      <c r="E174" s="7">
        <f>worker_data[[#This Row],[employed]]-worker_data[[#This Row],[spent_amount]]</f>
        <v>0</v>
      </c>
      <c r="F174">
        <v>1.7161699999999999E-3</v>
      </c>
      <c r="G174">
        <v>0</v>
      </c>
      <c r="H174">
        <v>0</v>
      </c>
      <c r="I174" s="7" t="s">
        <v>40</v>
      </c>
      <c r="J174">
        <v>0</v>
      </c>
    </row>
    <row r="175" spans="1:10" x14ac:dyDescent="0.25">
      <c r="A175">
        <v>174</v>
      </c>
      <c r="B175">
        <v>904089024</v>
      </c>
      <c r="C175" s="7" t="s">
        <v>39</v>
      </c>
      <c r="D175">
        <v>0</v>
      </c>
      <c r="E175" s="7">
        <f>worker_data[[#This Row],[employed]]-worker_data[[#This Row],[spent_amount]]</f>
        <v>0</v>
      </c>
      <c r="F175">
        <v>1.64752E-3</v>
      </c>
      <c r="G175">
        <v>0</v>
      </c>
      <c r="H175">
        <v>0</v>
      </c>
      <c r="I175" s="7" t="s">
        <v>40</v>
      </c>
      <c r="J175">
        <v>0</v>
      </c>
    </row>
    <row r="176" spans="1:10" x14ac:dyDescent="0.25">
      <c r="A176">
        <v>175</v>
      </c>
      <c r="B176">
        <v>867878819</v>
      </c>
      <c r="C176" s="7" t="s">
        <v>39</v>
      </c>
      <c r="D176">
        <v>0</v>
      </c>
      <c r="E176" s="7">
        <f>worker_data[[#This Row],[employed]]-worker_data[[#This Row],[spent_amount]]</f>
        <v>0</v>
      </c>
      <c r="F176">
        <v>1.5816199999999999E-3</v>
      </c>
      <c r="G176">
        <v>0</v>
      </c>
      <c r="H176">
        <v>0</v>
      </c>
      <c r="I176" s="7" t="s">
        <v>40</v>
      </c>
      <c r="J176">
        <v>0</v>
      </c>
    </row>
    <row r="177" spans="1:10" x14ac:dyDescent="0.25">
      <c r="A177">
        <v>176</v>
      </c>
      <c r="B177">
        <v>372226432</v>
      </c>
      <c r="C177" s="7" t="s">
        <v>39</v>
      </c>
      <c r="D177">
        <v>0</v>
      </c>
      <c r="E177" s="7">
        <f>worker_data[[#This Row],[employed]]-worker_data[[#This Row],[spent_amount]]</f>
        <v>0</v>
      </c>
      <c r="F177">
        <v>1.5183600000000001E-3</v>
      </c>
      <c r="G177">
        <v>0</v>
      </c>
      <c r="H177">
        <v>0</v>
      </c>
      <c r="I177" s="7" t="s">
        <v>40</v>
      </c>
      <c r="J177">
        <v>0</v>
      </c>
    </row>
    <row r="178" spans="1:10" x14ac:dyDescent="0.25">
      <c r="A178">
        <v>177</v>
      </c>
      <c r="B178">
        <v>302752054</v>
      </c>
      <c r="C178" s="7" t="s">
        <v>39</v>
      </c>
      <c r="D178">
        <v>0</v>
      </c>
      <c r="E178" s="7">
        <f>worker_data[[#This Row],[employed]]-worker_data[[#This Row],[spent_amount]]</f>
        <v>0</v>
      </c>
      <c r="F178">
        <v>1.45762E-3</v>
      </c>
      <c r="G178">
        <v>0</v>
      </c>
      <c r="H178">
        <v>0</v>
      </c>
      <c r="I178" s="7" t="s">
        <v>40</v>
      </c>
      <c r="J178">
        <v>0</v>
      </c>
    </row>
    <row r="179" spans="1:10" x14ac:dyDescent="0.25">
      <c r="A179">
        <v>178</v>
      </c>
      <c r="B179">
        <v>896792023</v>
      </c>
      <c r="C179" s="7" t="s">
        <v>39</v>
      </c>
      <c r="D179">
        <v>0</v>
      </c>
      <c r="E179" s="7">
        <f>worker_data[[#This Row],[employed]]-worker_data[[#This Row],[spent_amount]]</f>
        <v>0</v>
      </c>
      <c r="F179">
        <v>1.3993199999999999E-3</v>
      </c>
      <c r="G179">
        <v>0</v>
      </c>
      <c r="H179">
        <v>0</v>
      </c>
      <c r="I179" s="7" t="s">
        <v>40</v>
      </c>
      <c r="J179">
        <v>0</v>
      </c>
    </row>
    <row r="180" spans="1:10" x14ac:dyDescent="0.25">
      <c r="A180">
        <v>179</v>
      </c>
      <c r="B180">
        <v>370659053</v>
      </c>
      <c r="C180" s="7" t="s">
        <v>39</v>
      </c>
      <c r="D180">
        <v>0</v>
      </c>
      <c r="E180" s="7">
        <f>worker_data[[#This Row],[employed]]-worker_data[[#This Row],[spent_amount]]</f>
        <v>0</v>
      </c>
      <c r="F180">
        <v>1.3433500000000001E-3</v>
      </c>
      <c r="G180">
        <v>0</v>
      </c>
      <c r="H180">
        <v>0</v>
      </c>
      <c r="I180" s="7" t="s">
        <v>40</v>
      </c>
      <c r="J180">
        <v>0</v>
      </c>
    </row>
    <row r="181" spans="1:10" x14ac:dyDescent="0.25">
      <c r="A181">
        <v>180</v>
      </c>
      <c r="B181">
        <v>639266381</v>
      </c>
      <c r="C181" s="7" t="s">
        <v>39</v>
      </c>
      <c r="D181">
        <v>0</v>
      </c>
      <c r="E181" s="7">
        <f>worker_data[[#This Row],[employed]]-worker_data[[#This Row],[spent_amount]]</f>
        <v>0</v>
      </c>
      <c r="F181">
        <v>1.2896100000000001E-3</v>
      </c>
      <c r="G181">
        <v>0</v>
      </c>
      <c r="H181">
        <v>0</v>
      </c>
      <c r="I181" s="7" t="s">
        <v>40</v>
      </c>
      <c r="J181">
        <v>0</v>
      </c>
    </row>
    <row r="182" spans="1:10" x14ac:dyDescent="0.25">
      <c r="A182">
        <v>181</v>
      </c>
      <c r="B182">
        <v>236331067</v>
      </c>
      <c r="C182" s="7" t="s">
        <v>39</v>
      </c>
      <c r="D182">
        <v>0</v>
      </c>
      <c r="E182" s="7">
        <f>worker_data[[#This Row],[employed]]-worker_data[[#This Row],[spent_amount]]</f>
        <v>0</v>
      </c>
      <c r="F182">
        <v>1.23803E-3</v>
      </c>
      <c r="G182">
        <v>0</v>
      </c>
      <c r="H182">
        <v>0</v>
      </c>
      <c r="I182" s="7" t="s">
        <v>40</v>
      </c>
      <c r="J182">
        <v>0</v>
      </c>
    </row>
    <row r="183" spans="1:10" x14ac:dyDescent="0.25">
      <c r="A183">
        <v>182</v>
      </c>
      <c r="B183">
        <v>305170747</v>
      </c>
      <c r="C183" s="7" t="s">
        <v>39</v>
      </c>
      <c r="D183">
        <v>0</v>
      </c>
      <c r="E183" s="7">
        <f>worker_data[[#This Row],[employed]]-worker_data[[#This Row],[spent_amount]]</f>
        <v>0</v>
      </c>
      <c r="F183">
        <v>1.18851E-3</v>
      </c>
      <c r="G183">
        <v>0</v>
      </c>
      <c r="H183">
        <v>0</v>
      </c>
      <c r="I183" s="7" t="s">
        <v>40</v>
      </c>
      <c r="J183">
        <v>0</v>
      </c>
    </row>
    <row r="184" spans="1:10" x14ac:dyDescent="0.25">
      <c r="A184">
        <v>183</v>
      </c>
      <c r="B184">
        <v>866824477</v>
      </c>
      <c r="C184" s="7" t="s">
        <v>39</v>
      </c>
      <c r="D184">
        <v>0</v>
      </c>
      <c r="E184" s="7">
        <f>worker_data[[#This Row],[employed]]-worker_data[[#This Row],[spent_amount]]</f>
        <v>0</v>
      </c>
      <c r="F184">
        <v>1.14097E-3</v>
      </c>
      <c r="G184">
        <v>0</v>
      </c>
      <c r="H184">
        <v>0</v>
      </c>
      <c r="I184" s="7" t="s">
        <v>40</v>
      </c>
      <c r="J184">
        <v>0</v>
      </c>
    </row>
    <row r="185" spans="1:10" x14ac:dyDescent="0.25">
      <c r="A185">
        <v>184</v>
      </c>
      <c r="B185">
        <v>108062707</v>
      </c>
      <c r="C185" s="7" t="s">
        <v>39</v>
      </c>
      <c r="D185">
        <v>0</v>
      </c>
      <c r="E185" s="7">
        <f>worker_data[[#This Row],[employed]]-worker_data[[#This Row],[spent_amount]]</f>
        <v>0</v>
      </c>
      <c r="F185">
        <v>1.09533E-3</v>
      </c>
      <c r="G185">
        <v>0</v>
      </c>
      <c r="H185">
        <v>0</v>
      </c>
      <c r="I185" s="7" t="s">
        <v>40</v>
      </c>
      <c r="J185">
        <v>0</v>
      </c>
    </row>
    <row r="186" spans="1:10" x14ac:dyDescent="0.25">
      <c r="A186">
        <v>185</v>
      </c>
      <c r="B186">
        <v>453852245</v>
      </c>
      <c r="C186" s="7" t="s">
        <v>39</v>
      </c>
      <c r="D186">
        <v>0</v>
      </c>
      <c r="E186" s="7">
        <f>worker_data[[#This Row],[employed]]-worker_data[[#This Row],[spent_amount]]</f>
        <v>0</v>
      </c>
      <c r="F186">
        <v>1.0515100000000001E-3</v>
      </c>
      <c r="G186">
        <v>0</v>
      </c>
      <c r="H186">
        <v>0</v>
      </c>
      <c r="I186" s="7" t="s">
        <v>40</v>
      </c>
      <c r="J186">
        <v>0</v>
      </c>
    </row>
    <row r="187" spans="1:10" x14ac:dyDescent="0.25">
      <c r="A187">
        <v>186</v>
      </c>
      <c r="B187">
        <v>141432107</v>
      </c>
      <c r="C187" s="7" t="s">
        <v>39</v>
      </c>
      <c r="D187">
        <v>0</v>
      </c>
      <c r="E187" s="7">
        <f>worker_data[[#This Row],[employed]]-worker_data[[#This Row],[spent_amount]]</f>
        <v>0</v>
      </c>
      <c r="F187">
        <v>1.0094500000000001E-3</v>
      </c>
      <c r="G187">
        <v>0</v>
      </c>
      <c r="H187">
        <v>0</v>
      </c>
      <c r="I187" s="7" t="s">
        <v>40</v>
      </c>
      <c r="J187">
        <v>0</v>
      </c>
    </row>
    <row r="188" spans="1:10" x14ac:dyDescent="0.25">
      <c r="A188">
        <v>187</v>
      </c>
      <c r="B188">
        <v>239885474</v>
      </c>
      <c r="C188" s="7" t="s">
        <v>39</v>
      </c>
      <c r="D188">
        <v>0</v>
      </c>
      <c r="E188" s="7">
        <f>worker_data[[#This Row],[employed]]-worker_data[[#This Row],[spent_amount]]</f>
        <v>0</v>
      </c>
      <c r="F188">
        <v>9.6907500000000001E-4</v>
      </c>
      <c r="G188">
        <v>0</v>
      </c>
      <c r="H188">
        <v>0</v>
      </c>
      <c r="I188" s="7" t="s">
        <v>40</v>
      </c>
      <c r="J188">
        <v>0</v>
      </c>
    </row>
    <row r="189" spans="1:10" x14ac:dyDescent="0.25">
      <c r="A189">
        <v>188</v>
      </c>
      <c r="B189">
        <v>219093766</v>
      </c>
      <c r="C189" s="7" t="s">
        <v>39</v>
      </c>
      <c r="D189">
        <v>0</v>
      </c>
      <c r="E189" s="7">
        <f>worker_data[[#This Row],[employed]]-worker_data[[#This Row],[spent_amount]]</f>
        <v>0</v>
      </c>
      <c r="F189">
        <v>9.3031199999999998E-4</v>
      </c>
      <c r="G189">
        <v>0</v>
      </c>
      <c r="H189">
        <v>0</v>
      </c>
      <c r="I189" s="7" t="s">
        <v>40</v>
      </c>
      <c r="J189">
        <v>0</v>
      </c>
    </row>
    <row r="190" spans="1:10" x14ac:dyDescent="0.25">
      <c r="A190">
        <v>189</v>
      </c>
      <c r="B190">
        <v>22148652</v>
      </c>
      <c r="C190" s="7" t="s">
        <v>39</v>
      </c>
      <c r="D190">
        <v>0</v>
      </c>
      <c r="E190" s="7">
        <f>worker_data[[#This Row],[employed]]-worker_data[[#This Row],[spent_amount]]</f>
        <v>0</v>
      </c>
      <c r="F190">
        <v>8.9309999999999997E-4</v>
      </c>
      <c r="G190">
        <v>0</v>
      </c>
      <c r="H190">
        <v>0</v>
      </c>
      <c r="I190" s="7" t="s">
        <v>40</v>
      </c>
      <c r="J190">
        <v>0</v>
      </c>
    </row>
    <row r="191" spans="1:10" x14ac:dyDescent="0.25">
      <c r="A191">
        <v>190</v>
      </c>
      <c r="B191">
        <v>668580760</v>
      </c>
      <c r="C191" s="7" t="s">
        <v>39</v>
      </c>
      <c r="D191">
        <v>0</v>
      </c>
      <c r="E191" s="7">
        <f>worker_data[[#This Row],[employed]]-worker_data[[#This Row],[spent_amount]]</f>
        <v>0</v>
      </c>
      <c r="F191">
        <v>8.5737599999999997E-4</v>
      </c>
      <c r="G191">
        <v>0</v>
      </c>
      <c r="H191">
        <v>0</v>
      </c>
      <c r="I191" s="7" t="s">
        <v>40</v>
      </c>
      <c r="J191">
        <v>0</v>
      </c>
    </row>
    <row r="192" spans="1:10" x14ac:dyDescent="0.25">
      <c r="A192">
        <v>191</v>
      </c>
      <c r="B192">
        <v>484498776</v>
      </c>
      <c r="C192" s="7" t="s">
        <v>39</v>
      </c>
      <c r="D192">
        <v>0</v>
      </c>
      <c r="E192" s="7">
        <f>worker_data[[#This Row],[employed]]-worker_data[[#This Row],[spent_amount]]</f>
        <v>0</v>
      </c>
      <c r="F192">
        <v>8.2308100000000003E-4</v>
      </c>
      <c r="G192">
        <v>0</v>
      </c>
      <c r="H192">
        <v>0</v>
      </c>
      <c r="I192" s="7" t="s">
        <v>40</v>
      </c>
      <c r="J192">
        <v>0</v>
      </c>
    </row>
    <row r="193" spans="1:10" x14ac:dyDescent="0.25">
      <c r="A193">
        <v>192</v>
      </c>
      <c r="B193">
        <v>106186031</v>
      </c>
      <c r="C193" s="7" t="s">
        <v>39</v>
      </c>
      <c r="D193">
        <v>0</v>
      </c>
      <c r="E193" s="7">
        <f>worker_data[[#This Row],[employed]]-worker_data[[#This Row],[spent_amount]]</f>
        <v>0</v>
      </c>
      <c r="F193">
        <v>7.9015800000000001E-4</v>
      </c>
      <c r="G193">
        <v>0</v>
      </c>
      <c r="H193">
        <v>0</v>
      </c>
      <c r="I193" s="7" t="s">
        <v>40</v>
      </c>
      <c r="J193">
        <v>0</v>
      </c>
    </row>
    <row r="194" spans="1:10" x14ac:dyDescent="0.25">
      <c r="A194">
        <v>193</v>
      </c>
      <c r="B194">
        <v>121380578</v>
      </c>
      <c r="C194" s="7" t="s">
        <v>39</v>
      </c>
      <c r="D194">
        <v>0</v>
      </c>
      <c r="E194" s="7">
        <f>worker_data[[#This Row],[employed]]-worker_data[[#This Row],[spent_amount]]</f>
        <v>0</v>
      </c>
      <c r="F194">
        <v>7.58551E-4</v>
      </c>
      <c r="G194">
        <v>0</v>
      </c>
      <c r="H194">
        <v>0</v>
      </c>
      <c r="I194" s="7" t="s">
        <v>40</v>
      </c>
      <c r="J194">
        <v>0</v>
      </c>
    </row>
    <row r="195" spans="1:10" x14ac:dyDescent="0.25">
      <c r="A195">
        <v>194</v>
      </c>
      <c r="B195">
        <v>109606916</v>
      </c>
      <c r="C195" s="7" t="s">
        <v>39</v>
      </c>
      <c r="D195">
        <v>0</v>
      </c>
      <c r="E195" s="7">
        <f>worker_data[[#This Row],[employed]]-worker_data[[#This Row],[spent_amount]]</f>
        <v>0</v>
      </c>
      <c r="F195">
        <v>7.2820899999999995E-4</v>
      </c>
      <c r="G195">
        <v>0</v>
      </c>
      <c r="H195">
        <v>0</v>
      </c>
      <c r="I195" s="7" t="s">
        <v>40</v>
      </c>
      <c r="J195">
        <v>0</v>
      </c>
    </row>
    <row r="196" spans="1:10" x14ac:dyDescent="0.25">
      <c r="A196">
        <v>195</v>
      </c>
      <c r="B196">
        <v>499275632</v>
      </c>
      <c r="C196" s="7" t="s">
        <v>39</v>
      </c>
      <c r="D196">
        <v>0</v>
      </c>
      <c r="E196" s="7">
        <f>worker_data[[#This Row],[employed]]-worker_data[[#This Row],[spent_amount]]</f>
        <v>0</v>
      </c>
      <c r="F196">
        <v>6.9908100000000005E-4</v>
      </c>
      <c r="G196">
        <v>0</v>
      </c>
      <c r="H196">
        <v>0</v>
      </c>
      <c r="I196" s="7" t="s">
        <v>40</v>
      </c>
      <c r="J196">
        <v>0</v>
      </c>
    </row>
    <row r="197" spans="1:10" x14ac:dyDescent="0.25">
      <c r="A197">
        <v>196</v>
      </c>
      <c r="B197">
        <v>867913190</v>
      </c>
      <c r="C197" s="7" t="s">
        <v>39</v>
      </c>
      <c r="D197">
        <v>0</v>
      </c>
      <c r="E197" s="7">
        <f>worker_data[[#This Row],[employed]]-worker_data[[#This Row],[spent_amount]]</f>
        <v>0</v>
      </c>
      <c r="F197">
        <v>6.7111799999999995E-4</v>
      </c>
      <c r="G197">
        <v>0</v>
      </c>
      <c r="H197">
        <v>0</v>
      </c>
      <c r="I197" s="7" t="s">
        <v>40</v>
      </c>
      <c r="J197">
        <v>0</v>
      </c>
    </row>
    <row r="198" spans="1:10" x14ac:dyDescent="0.25">
      <c r="A198">
        <v>197</v>
      </c>
      <c r="B198">
        <v>389082205</v>
      </c>
      <c r="C198" s="7" t="s">
        <v>39</v>
      </c>
      <c r="D198">
        <v>0</v>
      </c>
      <c r="E198" s="7">
        <f>worker_data[[#This Row],[employed]]-worker_data[[#This Row],[spent_amount]]</f>
        <v>0</v>
      </c>
      <c r="F198">
        <v>6.44273E-4</v>
      </c>
      <c r="G198">
        <v>0</v>
      </c>
      <c r="H198">
        <v>0</v>
      </c>
      <c r="I198" s="7" t="s">
        <v>40</v>
      </c>
      <c r="J198">
        <v>0</v>
      </c>
    </row>
    <row r="199" spans="1:10" x14ac:dyDescent="0.25">
      <c r="A199">
        <v>198</v>
      </c>
      <c r="B199">
        <v>700879034</v>
      </c>
      <c r="C199" s="7" t="s">
        <v>39</v>
      </c>
      <c r="D199">
        <v>0</v>
      </c>
      <c r="E199" s="7">
        <f>worker_data[[#This Row],[employed]]-worker_data[[#This Row],[spent_amount]]</f>
        <v>0</v>
      </c>
      <c r="F199">
        <v>6.1850200000000005E-4</v>
      </c>
      <c r="G199">
        <v>0</v>
      </c>
      <c r="H199">
        <v>0</v>
      </c>
      <c r="I199" s="7" t="s">
        <v>40</v>
      </c>
      <c r="J199">
        <v>0</v>
      </c>
    </row>
    <row r="200" spans="1:10" x14ac:dyDescent="0.25">
      <c r="A200">
        <v>199</v>
      </c>
      <c r="B200">
        <v>10669007</v>
      </c>
      <c r="C200" s="7" t="s">
        <v>39</v>
      </c>
      <c r="D200">
        <v>0</v>
      </c>
      <c r="E200" s="7">
        <f>worker_data[[#This Row],[employed]]-worker_data[[#This Row],[spent_amount]]</f>
        <v>0</v>
      </c>
      <c r="F200">
        <v>5.9376199999999996E-4</v>
      </c>
      <c r="G200">
        <v>0</v>
      </c>
      <c r="H200">
        <v>0</v>
      </c>
      <c r="I200" s="7" t="s">
        <v>40</v>
      </c>
      <c r="J200">
        <v>0</v>
      </c>
    </row>
    <row r="201" spans="1:10" x14ac:dyDescent="0.25">
      <c r="A201">
        <v>200</v>
      </c>
      <c r="B201">
        <v>283859287</v>
      </c>
      <c r="C201" s="7" t="s">
        <v>39</v>
      </c>
      <c r="D201">
        <v>0</v>
      </c>
      <c r="E201" s="7">
        <f>worker_data[[#This Row],[employed]]-worker_data[[#This Row],[spent_amount]]</f>
        <v>0</v>
      </c>
      <c r="F201">
        <v>5.7001100000000004E-4</v>
      </c>
      <c r="G201">
        <v>0</v>
      </c>
      <c r="H201">
        <v>0</v>
      </c>
      <c r="I201" s="7" t="s">
        <v>40</v>
      </c>
      <c r="J201">
        <v>0</v>
      </c>
    </row>
    <row r="202" spans="1:10" x14ac:dyDescent="0.25">
      <c r="A202">
        <v>201</v>
      </c>
      <c r="B202">
        <v>602695052</v>
      </c>
      <c r="C202" s="7" t="s">
        <v>39</v>
      </c>
      <c r="D202">
        <v>0</v>
      </c>
      <c r="E202" s="7">
        <f>worker_data[[#This Row],[employed]]-worker_data[[#This Row],[spent_amount]]</f>
        <v>0</v>
      </c>
      <c r="F202">
        <v>5.4721100000000003E-4</v>
      </c>
      <c r="G202">
        <v>0</v>
      </c>
      <c r="H202">
        <v>0</v>
      </c>
      <c r="I202" s="7" t="s">
        <v>40</v>
      </c>
      <c r="J202">
        <v>0</v>
      </c>
    </row>
    <row r="203" spans="1:10" x14ac:dyDescent="0.25">
      <c r="A203">
        <v>202</v>
      </c>
      <c r="B203">
        <v>705804787</v>
      </c>
      <c r="C203" s="7" t="s">
        <v>39</v>
      </c>
      <c r="D203">
        <v>0</v>
      </c>
      <c r="E203" s="7">
        <f>worker_data[[#This Row],[employed]]-worker_data[[#This Row],[spent_amount]]</f>
        <v>0</v>
      </c>
      <c r="F203">
        <v>5.2532299999999996E-4</v>
      </c>
      <c r="G203">
        <v>0</v>
      </c>
      <c r="H203">
        <v>0</v>
      </c>
      <c r="I203" s="7" t="s">
        <v>40</v>
      </c>
      <c r="J203">
        <v>0</v>
      </c>
    </row>
    <row r="204" spans="1:10" x14ac:dyDescent="0.25">
      <c r="A204">
        <v>203</v>
      </c>
      <c r="B204">
        <v>166894322</v>
      </c>
      <c r="C204" s="7" t="s">
        <v>39</v>
      </c>
      <c r="D204">
        <v>0</v>
      </c>
      <c r="E204" s="7">
        <f>worker_data[[#This Row],[employed]]-worker_data[[#This Row],[spent_amount]]</f>
        <v>0</v>
      </c>
      <c r="F204">
        <v>5.0431E-4</v>
      </c>
      <c r="G204">
        <v>0</v>
      </c>
      <c r="H204">
        <v>0</v>
      </c>
      <c r="I204" s="7" t="s">
        <v>40</v>
      </c>
      <c r="J204">
        <v>0</v>
      </c>
    </row>
    <row r="205" spans="1:10" x14ac:dyDescent="0.25">
      <c r="A205">
        <v>204</v>
      </c>
      <c r="B205">
        <v>202862963</v>
      </c>
      <c r="C205" s="7" t="s">
        <v>39</v>
      </c>
      <c r="D205">
        <v>0</v>
      </c>
      <c r="E205" s="7">
        <f>worker_data[[#This Row],[employed]]-worker_data[[#This Row],[spent_amount]]</f>
        <v>0</v>
      </c>
      <c r="F205">
        <v>4.8413699999999999E-4</v>
      </c>
      <c r="G205">
        <v>0</v>
      </c>
      <c r="H205">
        <v>0</v>
      </c>
      <c r="I205" s="7" t="s">
        <v>40</v>
      </c>
      <c r="J205">
        <v>0</v>
      </c>
    </row>
    <row r="206" spans="1:10" x14ac:dyDescent="0.25">
      <c r="A206">
        <v>205</v>
      </c>
      <c r="B206">
        <v>233947586</v>
      </c>
      <c r="C206" s="7" t="s">
        <v>39</v>
      </c>
      <c r="D206">
        <v>0</v>
      </c>
      <c r="E206" s="7">
        <f>worker_data[[#This Row],[employed]]-worker_data[[#This Row],[spent_amount]]</f>
        <v>0</v>
      </c>
      <c r="F206">
        <v>4.6477200000000001E-4</v>
      </c>
      <c r="G206">
        <v>0</v>
      </c>
      <c r="H206">
        <v>0</v>
      </c>
      <c r="I206" s="7" t="s">
        <v>40</v>
      </c>
      <c r="J206">
        <v>0</v>
      </c>
    </row>
    <row r="207" spans="1:10" x14ac:dyDescent="0.25">
      <c r="A207">
        <v>206</v>
      </c>
      <c r="B207">
        <v>188059232</v>
      </c>
      <c r="C207" s="7" t="s">
        <v>39</v>
      </c>
      <c r="D207">
        <v>0</v>
      </c>
      <c r="E207" s="7">
        <f>worker_data[[#This Row],[employed]]-worker_data[[#This Row],[spent_amount]]</f>
        <v>0</v>
      </c>
      <c r="F207">
        <v>4.4618099999999998E-4</v>
      </c>
      <c r="G207">
        <v>0</v>
      </c>
      <c r="H207">
        <v>0</v>
      </c>
      <c r="I207" s="7" t="s">
        <v>40</v>
      </c>
      <c r="J207">
        <v>0</v>
      </c>
    </row>
    <row r="208" spans="1:10" x14ac:dyDescent="0.25">
      <c r="A208">
        <v>207</v>
      </c>
      <c r="B208">
        <v>300876871</v>
      </c>
      <c r="C208" s="7" t="s">
        <v>39</v>
      </c>
      <c r="D208">
        <v>0</v>
      </c>
      <c r="E208" s="7">
        <f>worker_data[[#This Row],[employed]]-worker_data[[#This Row],[spent_amount]]</f>
        <v>0</v>
      </c>
      <c r="F208">
        <v>4.28334E-4</v>
      </c>
      <c r="G208">
        <v>0</v>
      </c>
      <c r="H208">
        <v>0</v>
      </c>
      <c r="I208" s="7" t="s">
        <v>40</v>
      </c>
      <c r="J208">
        <v>0</v>
      </c>
    </row>
    <row r="209" spans="1:10" x14ac:dyDescent="0.25">
      <c r="A209">
        <v>208</v>
      </c>
      <c r="B209">
        <v>2658098</v>
      </c>
      <c r="C209" s="7" t="s">
        <v>39</v>
      </c>
      <c r="D209">
        <v>0</v>
      </c>
      <c r="E209" s="7">
        <f>worker_data[[#This Row],[employed]]-worker_data[[#This Row],[spent_amount]]</f>
        <v>0</v>
      </c>
      <c r="F209">
        <v>4.1120000000000002E-4</v>
      </c>
      <c r="G209">
        <v>0</v>
      </c>
      <c r="H209">
        <v>0</v>
      </c>
      <c r="I209" s="7" t="s">
        <v>40</v>
      </c>
      <c r="J209">
        <v>0</v>
      </c>
    </row>
    <row r="210" spans="1:10" x14ac:dyDescent="0.25">
      <c r="A210">
        <v>209</v>
      </c>
      <c r="B210">
        <v>298387604</v>
      </c>
      <c r="C210" s="7" t="s">
        <v>39</v>
      </c>
      <c r="D210">
        <v>0</v>
      </c>
      <c r="E210" s="7">
        <f>worker_data[[#This Row],[employed]]-worker_data[[#This Row],[spent_amount]]</f>
        <v>0</v>
      </c>
      <c r="F210">
        <v>3.94752E-4</v>
      </c>
      <c r="G210">
        <v>0</v>
      </c>
      <c r="H210">
        <v>0</v>
      </c>
      <c r="I210" s="7" t="s">
        <v>40</v>
      </c>
      <c r="J210">
        <v>0</v>
      </c>
    </row>
    <row r="211" spans="1:10" x14ac:dyDescent="0.25">
      <c r="A211">
        <v>210</v>
      </c>
      <c r="B211">
        <v>607947311</v>
      </c>
      <c r="C211" s="7" t="s">
        <v>39</v>
      </c>
      <c r="D211">
        <v>0</v>
      </c>
      <c r="E211" s="7">
        <f>worker_data[[#This Row],[employed]]-worker_data[[#This Row],[spent_amount]]</f>
        <v>0</v>
      </c>
      <c r="F211">
        <v>3.7896199999999999E-4</v>
      </c>
      <c r="G211">
        <v>0</v>
      </c>
      <c r="H211">
        <v>0</v>
      </c>
      <c r="I211" s="7" t="s">
        <v>40</v>
      </c>
      <c r="J211">
        <v>0</v>
      </c>
    </row>
    <row r="212" spans="1:10" x14ac:dyDescent="0.25">
      <c r="A212">
        <v>211</v>
      </c>
      <c r="B212">
        <v>889364532</v>
      </c>
      <c r="C212" s="7" t="s">
        <v>39</v>
      </c>
      <c r="D212">
        <v>0</v>
      </c>
      <c r="E212" s="7">
        <f>worker_data[[#This Row],[employed]]-worker_data[[#This Row],[spent_amount]]</f>
        <v>0</v>
      </c>
      <c r="F212">
        <v>3.6380400000000002E-4</v>
      </c>
      <c r="G212">
        <v>0</v>
      </c>
      <c r="H212">
        <v>0</v>
      </c>
      <c r="I212" s="7" t="s">
        <v>40</v>
      </c>
      <c r="J212">
        <v>0</v>
      </c>
    </row>
    <row r="213" spans="1:10" x14ac:dyDescent="0.25">
      <c r="A213">
        <v>212</v>
      </c>
      <c r="B213">
        <v>875774962</v>
      </c>
      <c r="C213" s="7" t="s">
        <v>39</v>
      </c>
      <c r="D213">
        <v>0</v>
      </c>
      <c r="E213" s="7">
        <f>worker_data[[#This Row],[employed]]-worker_data[[#This Row],[spent_amount]]</f>
        <v>0</v>
      </c>
      <c r="F213">
        <v>3.4925199999999998E-4</v>
      </c>
      <c r="G213">
        <v>0</v>
      </c>
      <c r="H213">
        <v>0</v>
      </c>
      <c r="I213" s="7" t="s">
        <v>40</v>
      </c>
      <c r="J213">
        <v>0</v>
      </c>
    </row>
    <row r="214" spans="1:10" x14ac:dyDescent="0.25">
      <c r="A214">
        <v>213</v>
      </c>
      <c r="B214">
        <v>990735240</v>
      </c>
      <c r="C214" s="7" t="s">
        <v>39</v>
      </c>
      <c r="D214">
        <v>0</v>
      </c>
      <c r="E214" s="7">
        <f>worker_data[[#This Row],[employed]]-worker_data[[#This Row],[spent_amount]]</f>
        <v>0</v>
      </c>
      <c r="F214">
        <v>3.3528200000000001E-4</v>
      </c>
      <c r="G214">
        <v>0</v>
      </c>
      <c r="H214">
        <v>0</v>
      </c>
      <c r="I214" s="7" t="s">
        <v>40</v>
      </c>
      <c r="J214">
        <v>0</v>
      </c>
    </row>
    <row r="215" spans="1:10" x14ac:dyDescent="0.25">
      <c r="A215">
        <v>214</v>
      </c>
      <c r="B215">
        <v>607216559</v>
      </c>
      <c r="C215" s="7" t="s">
        <v>39</v>
      </c>
      <c r="D215">
        <v>0</v>
      </c>
      <c r="E215" s="7">
        <f>worker_data[[#This Row],[employed]]-worker_data[[#This Row],[spent_amount]]</f>
        <v>0</v>
      </c>
      <c r="F215">
        <v>3.2186999999999998E-4</v>
      </c>
      <c r="G215">
        <v>0</v>
      </c>
      <c r="H215">
        <v>0</v>
      </c>
      <c r="I215" s="7" t="s">
        <v>40</v>
      </c>
      <c r="J215">
        <v>0</v>
      </c>
    </row>
    <row r="216" spans="1:10" x14ac:dyDescent="0.25">
      <c r="A216">
        <v>215</v>
      </c>
      <c r="B216">
        <v>551247484</v>
      </c>
      <c r="C216" s="7" t="s">
        <v>39</v>
      </c>
      <c r="D216">
        <v>0</v>
      </c>
      <c r="E216" s="7">
        <f>worker_data[[#This Row],[employed]]-worker_data[[#This Row],[spent_amount]]</f>
        <v>0</v>
      </c>
      <c r="F216">
        <v>3.0899500000000001E-4</v>
      </c>
      <c r="G216">
        <v>0</v>
      </c>
      <c r="H216">
        <v>0</v>
      </c>
      <c r="I216" s="7" t="s">
        <v>40</v>
      </c>
      <c r="J216">
        <v>0</v>
      </c>
    </row>
    <row r="217" spans="1:10" x14ac:dyDescent="0.25">
      <c r="A217">
        <v>216</v>
      </c>
      <c r="B217">
        <v>217501998</v>
      </c>
      <c r="C217" s="7" t="s">
        <v>39</v>
      </c>
      <c r="D217">
        <v>0</v>
      </c>
      <c r="E217" s="7">
        <f>worker_data[[#This Row],[employed]]-worker_data[[#This Row],[spent_amount]]</f>
        <v>0</v>
      </c>
      <c r="F217">
        <v>2.9663600000000002E-4</v>
      </c>
      <c r="G217">
        <v>0</v>
      </c>
      <c r="H217">
        <v>0</v>
      </c>
      <c r="I217" s="7" t="s">
        <v>40</v>
      </c>
      <c r="J217">
        <v>0</v>
      </c>
    </row>
    <row r="218" spans="1:10" x14ac:dyDescent="0.25">
      <c r="A218">
        <v>217</v>
      </c>
      <c r="B218">
        <v>741572992</v>
      </c>
      <c r="C218" s="7" t="s">
        <v>39</v>
      </c>
      <c r="D218">
        <v>0</v>
      </c>
      <c r="E218" s="7">
        <f>worker_data[[#This Row],[employed]]-worker_data[[#This Row],[spent_amount]]</f>
        <v>0</v>
      </c>
      <c r="F218">
        <v>2.8477E-4</v>
      </c>
      <c r="G218">
        <v>0</v>
      </c>
      <c r="H218">
        <v>0</v>
      </c>
      <c r="I218" s="7" t="s">
        <v>40</v>
      </c>
      <c r="J218">
        <v>0</v>
      </c>
    </row>
    <row r="219" spans="1:10" x14ac:dyDescent="0.25">
      <c r="A219">
        <v>218</v>
      </c>
      <c r="B219">
        <v>206514133</v>
      </c>
      <c r="C219" s="7" t="s">
        <v>39</v>
      </c>
      <c r="D219">
        <v>0</v>
      </c>
      <c r="E219" s="7">
        <f>worker_data[[#This Row],[employed]]-worker_data[[#This Row],[spent_amount]]</f>
        <v>0</v>
      </c>
      <c r="F219">
        <v>2.7337900000000003E-4</v>
      </c>
      <c r="G219">
        <v>0</v>
      </c>
      <c r="H219">
        <v>0</v>
      </c>
      <c r="I219" s="7" t="s">
        <v>40</v>
      </c>
      <c r="J219">
        <v>0</v>
      </c>
    </row>
    <row r="220" spans="1:10" x14ac:dyDescent="0.25">
      <c r="A220">
        <v>219</v>
      </c>
      <c r="B220">
        <v>15178248</v>
      </c>
      <c r="C220" s="7" t="s">
        <v>39</v>
      </c>
      <c r="D220">
        <v>0</v>
      </c>
      <c r="E220" s="7">
        <f>worker_data[[#This Row],[employed]]-worker_data[[#This Row],[spent_amount]]</f>
        <v>0</v>
      </c>
      <c r="F220">
        <v>2.6244400000000002E-4</v>
      </c>
      <c r="G220">
        <v>0</v>
      </c>
      <c r="H220">
        <v>0</v>
      </c>
      <c r="I220" s="7" t="s">
        <v>40</v>
      </c>
      <c r="J220">
        <v>0</v>
      </c>
    </row>
    <row r="221" spans="1:10" x14ac:dyDescent="0.25">
      <c r="A221">
        <v>220</v>
      </c>
      <c r="B221">
        <v>153054463</v>
      </c>
      <c r="C221" s="7" t="s">
        <v>39</v>
      </c>
      <c r="D221">
        <v>0</v>
      </c>
      <c r="E221" s="7">
        <f>worker_data[[#This Row],[employed]]-worker_data[[#This Row],[spent_amount]]</f>
        <v>0</v>
      </c>
      <c r="F221">
        <v>2.5194600000000002E-4</v>
      </c>
      <c r="G221">
        <v>0</v>
      </c>
      <c r="H221">
        <v>0</v>
      </c>
      <c r="I221" s="7" t="s">
        <v>40</v>
      </c>
      <c r="J221">
        <v>0</v>
      </c>
    </row>
    <row r="222" spans="1:10" x14ac:dyDescent="0.25">
      <c r="A222">
        <v>221</v>
      </c>
      <c r="B222">
        <v>467297306</v>
      </c>
      <c r="C222" s="7" t="s">
        <v>39</v>
      </c>
      <c r="D222">
        <v>0</v>
      </c>
      <c r="E222" s="7">
        <f>worker_data[[#This Row],[employed]]-worker_data[[#This Row],[spent_amount]]</f>
        <v>0</v>
      </c>
      <c r="F222">
        <v>2.41869E-4</v>
      </c>
      <c r="G222">
        <v>0</v>
      </c>
      <c r="H222">
        <v>0</v>
      </c>
      <c r="I222" s="7" t="s">
        <v>40</v>
      </c>
      <c r="J222">
        <v>0</v>
      </c>
    </row>
    <row r="223" spans="1:10" x14ac:dyDescent="0.25">
      <c r="A223">
        <v>222</v>
      </c>
      <c r="B223">
        <v>341480049</v>
      </c>
      <c r="C223" s="7" t="s">
        <v>39</v>
      </c>
      <c r="D223">
        <v>0</v>
      </c>
      <c r="E223" s="7">
        <f>worker_data[[#This Row],[employed]]-worker_data[[#This Row],[spent_amount]]</f>
        <v>0</v>
      </c>
      <c r="F223">
        <v>2.3219399999999999E-4</v>
      </c>
      <c r="G223">
        <v>0</v>
      </c>
      <c r="H223">
        <v>0</v>
      </c>
      <c r="I223" s="7" t="s">
        <v>40</v>
      </c>
      <c r="J223">
        <v>0</v>
      </c>
    </row>
    <row r="224" spans="1:10" x14ac:dyDescent="0.25">
      <c r="A224">
        <v>223</v>
      </c>
      <c r="B224">
        <v>354217056</v>
      </c>
      <c r="C224" s="7" t="s">
        <v>39</v>
      </c>
      <c r="D224">
        <v>0</v>
      </c>
      <c r="E224" s="7">
        <f>worker_data[[#This Row],[employed]]-worker_data[[#This Row],[spent_amount]]</f>
        <v>0</v>
      </c>
      <c r="F224">
        <v>2.2290600000000001E-4</v>
      </c>
      <c r="G224">
        <v>0</v>
      </c>
      <c r="H224">
        <v>0</v>
      </c>
      <c r="I224" s="7" t="s">
        <v>40</v>
      </c>
      <c r="J224">
        <v>0</v>
      </c>
    </row>
    <row r="225" spans="1:10" x14ac:dyDescent="0.25">
      <c r="A225">
        <v>224</v>
      </c>
      <c r="B225">
        <v>617861270</v>
      </c>
      <c r="C225" s="7" t="s">
        <v>39</v>
      </c>
      <c r="D225">
        <v>0</v>
      </c>
      <c r="E225" s="7">
        <f>worker_data[[#This Row],[employed]]-worker_data[[#This Row],[spent_amount]]</f>
        <v>0</v>
      </c>
      <c r="F225">
        <v>2.1399E-4</v>
      </c>
      <c r="G225">
        <v>0</v>
      </c>
      <c r="H225">
        <v>0</v>
      </c>
      <c r="I225" s="7" t="s">
        <v>40</v>
      </c>
      <c r="J225">
        <v>0</v>
      </c>
    </row>
    <row r="226" spans="1:10" x14ac:dyDescent="0.25">
      <c r="A226">
        <v>225</v>
      </c>
      <c r="B226">
        <v>984952402</v>
      </c>
      <c r="C226" s="7" t="s">
        <v>39</v>
      </c>
      <c r="D226">
        <v>0</v>
      </c>
      <c r="E226" s="7">
        <f>worker_data[[#This Row],[employed]]-worker_data[[#This Row],[spent_amount]]</f>
        <v>0</v>
      </c>
      <c r="F226">
        <v>2.0542999999999999E-4</v>
      </c>
      <c r="G226">
        <v>0</v>
      </c>
      <c r="H226">
        <v>0</v>
      </c>
      <c r="I226" s="7" t="s">
        <v>40</v>
      </c>
      <c r="J226">
        <v>0</v>
      </c>
    </row>
    <row r="227" spans="1:10" x14ac:dyDescent="0.25">
      <c r="A227">
        <v>226</v>
      </c>
      <c r="B227">
        <v>997035739</v>
      </c>
      <c r="C227" s="7" t="s">
        <v>39</v>
      </c>
      <c r="D227">
        <v>0</v>
      </c>
      <c r="E227" s="7">
        <f>worker_data[[#This Row],[employed]]-worker_data[[#This Row],[spent_amount]]</f>
        <v>0</v>
      </c>
      <c r="F227">
        <v>1.9721300000000001E-4</v>
      </c>
      <c r="G227">
        <v>0</v>
      </c>
      <c r="H227">
        <v>0</v>
      </c>
      <c r="I227" s="7" t="s">
        <v>40</v>
      </c>
      <c r="J227">
        <v>0</v>
      </c>
    </row>
    <row r="228" spans="1:10" x14ac:dyDescent="0.25">
      <c r="A228">
        <v>227</v>
      </c>
      <c r="B228">
        <v>545603301</v>
      </c>
      <c r="C228" s="7" t="s">
        <v>39</v>
      </c>
      <c r="D228">
        <v>0</v>
      </c>
      <c r="E228" s="7">
        <f>worker_data[[#This Row],[employed]]-worker_data[[#This Row],[spent_amount]]</f>
        <v>0</v>
      </c>
      <c r="F228">
        <v>1.8932500000000001E-4</v>
      </c>
      <c r="G228">
        <v>0</v>
      </c>
      <c r="H228">
        <v>0</v>
      </c>
      <c r="I228" s="7" t="s">
        <v>40</v>
      </c>
      <c r="J228">
        <v>0</v>
      </c>
    </row>
    <row r="229" spans="1:10" x14ac:dyDescent="0.25">
      <c r="A229">
        <v>228</v>
      </c>
      <c r="B229">
        <v>690221441</v>
      </c>
      <c r="C229" s="7" t="s">
        <v>39</v>
      </c>
      <c r="D229">
        <v>0</v>
      </c>
      <c r="E229" s="7">
        <f>worker_data[[#This Row],[employed]]-worker_data[[#This Row],[spent_amount]]</f>
        <v>0</v>
      </c>
      <c r="F229">
        <v>1.81752E-4</v>
      </c>
      <c r="G229">
        <v>0</v>
      </c>
      <c r="H229">
        <v>0</v>
      </c>
      <c r="I229" s="7" t="s">
        <v>40</v>
      </c>
      <c r="J229">
        <v>0</v>
      </c>
    </row>
    <row r="230" spans="1:10" x14ac:dyDescent="0.25">
      <c r="A230">
        <v>229</v>
      </c>
      <c r="B230">
        <v>379039057</v>
      </c>
      <c r="C230" s="7" t="s">
        <v>39</v>
      </c>
      <c r="D230">
        <v>0</v>
      </c>
      <c r="E230" s="7">
        <f>worker_data[[#This Row],[employed]]-worker_data[[#This Row],[spent_amount]]</f>
        <v>0</v>
      </c>
      <c r="F230">
        <v>1.74482E-4</v>
      </c>
      <c r="G230">
        <v>0</v>
      </c>
      <c r="H230">
        <v>0</v>
      </c>
      <c r="I230" s="7" t="s">
        <v>40</v>
      </c>
      <c r="J230">
        <v>0</v>
      </c>
    </row>
    <row r="231" spans="1:10" x14ac:dyDescent="0.25">
      <c r="A231">
        <v>230</v>
      </c>
      <c r="B231">
        <v>600195480</v>
      </c>
      <c r="C231" s="7" t="s">
        <v>39</v>
      </c>
      <c r="D231">
        <v>0</v>
      </c>
      <c r="E231" s="7">
        <f>worker_data[[#This Row],[employed]]-worker_data[[#This Row],[spent_amount]]</f>
        <v>0</v>
      </c>
      <c r="F231">
        <v>1.6750200000000001E-4</v>
      </c>
      <c r="G231">
        <v>0</v>
      </c>
      <c r="H231">
        <v>0</v>
      </c>
      <c r="I231" s="7" t="s">
        <v>40</v>
      </c>
      <c r="J231">
        <v>0</v>
      </c>
    </row>
    <row r="232" spans="1:10" x14ac:dyDescent="0.25">
      <c r="A232">
        <v>231</v>
      </c>
      <c r="B232">
        <v>85379391</v>
      </c>
      <c r="C232" s="7" t="s">
        <v>39</v>
      </c>
      <c r="D232">
        <v>0</v>
      </c>
      <c r="E232" s="7">
        <f>worker_data[[#This Row],[employed]]-worker_data[[#This Row],[spent_amount]]</f>
        <v>0</v>
      </c>
      <c r="F232">
        <v>1.6080200000000001E-4</v>
      </c>
      <c r="G232">
        <v>0</v>
      </c>
      <c r="H232">
        <v>0</v>
      </c>
      <c r="I232" s="7" t="s">
        <v>40</v>
      </c>
      <c r="J232">
        <v>0</v>
      </c>
    </row>
    <row r="233" spans="1:10" x14ac:dyDescent="0.25">
      <c r="A233">
        <v>232</v>
      </c>
      <c r="B233">
        <v>668715559</v>
      </c>
      <c r="C233" s="7" t="s">
        <v>39</v>
      </c>
      <c r="D233">
        <v>0</v>
      </c>
      <c r="E233" s="7">
        <f>worker_data[[#This Row],[employed]]-worker_data[[#This Row],[spent_amount]]</f>
        <v>0</v>
      </c>
      <c r="F233">
        <v>1.5437E-4</v>
      </c>
      <c r="G233">
        <v>0</v>
      </c>
      <c r="H233">
        <v>0</v>
      </c>
      <c r="I233" s="7" t="s">
        <v>40</v>
      </c>
      <c r="J233">
        <v>0</v>
      </c>
    </row>
    <row r="234" spans="1:10" x14ac:dyDescent="0.25">
      <c r="A234">
        <v>233</v>
      </c>
      <c r="B234">
        <v>101699668</v>
      </c>
      <c r="C234" s="7" t="s">
        <v>39</v>
      </c>
      <c r="D234">
        <v>0</v>
      </c>
      <c r="E234" s="7">
        <f>worker_data[[#This Row],[employed]]-worker_data[[#This Row],[spent_amount]]</f>
        <v>0</v>
      </c>
      <c r="F234">
        <v>1.48195E-4</v>
      </c>
      <c r="G234">
        <v>0</v>
      </c>
      <c r="H234">
        <v>0</v>
      </c>
      <c r="I234" s="7" t="s">
        <v>40</v>
      </c>
      <c r="J234">
        <v>0</v>
      </c>
    </row>
    <row r="235" spans="1:10" x14ac:dyDescent="0.25">
      <c r="A235">
        <v>234</v>
      </c>
      <c r="B235">
        <v>564160796</v>
      </c>
      <c r="C235" s="7" t="s">
        <v>39</v>
      </c>
      <c r="D235">
        <v>0</v>
      </c>
      <c r="E235" s="7">
        <f>worker_data[[#This Row],[employed]]-worker_data[[#This Row],[spent_amount]]</f>
        <v>0</v>
      </c>
      <c r="F235">
        <v>1.4226700000000001E-4</v>
      </c>
      <c r="G235">
        <v>0</v>
      </c>
      <c r="H235">
        <v>0</v>
      </c>
      <c r="I235" s="7" t="s">
        <v>40</v>
      </c>
      <c r="J235">
        <v>0</v>
      </c>
    </row>
    <row r="236" spans="1:10" x14ac:dyDescent="0.25">
      <c r="A236">
        <v>235</v>
      </c>
      <c r="B236">
        <v>543781884</v>
      </c>
      <c r="C236" s="7" t="s">
        <v>39</v>
      </c>
      <c r="D236">
        <v>0</v>
      </c>
      <c r="E236" s="7">
        <f>worker_data[[#This Row],[employed]]-worker_data[[#This Row],[spent_amount]]</f>
        <v>0</v>
      </c>
      <c r="F236">
        <v>1.36577E-4</v>
      </c>
      <c r="G236">
        <v>0</v>
      </c>
      <c r="H236">
        <v>0</v>
      </c>
      <c r="I236" s="7" t="s">
        <v>40</v>
      </c>
      <c r="J236">
        <v>0</v>
      </c>
    </row>
    <row r="237" spans="1:10" x14ac:dyDescent="0.25">
      <c r="A237">
        <v>236</v>
      </c>
      <c r="B237">
        <v>366471115</v>
      </c>
      <c r="C237" s="7" t="s">
        <v>39</v>
      </c>
      <c r="D237">
        <v>0</v>
      </c>
      <c r="E237" s="7">
        <f>worker_data[[#This Row],[employed]]-worker_data[[#This Row],[spent_amount]]</f>
        <v>0</v>
      </c>
      <c r="F237">
        <v>1.3111399999999999E-4</v>
      </c>
      <c r="G237">
        <v>0</v>
      </c>
      <c r="H237">
        <v>0</v>
      </c>
      <c r="I237" s="7" t="s">
        <v>40</v>
      </c>
      <c r="J237">
        <v>0</v>
      </c>
    </row>
    <row r="238" spans="1:10" x14ac:dyDescent="0.25">
      <c r="A238">
        <v>237</v>
      </c>
      <c r="B238">
        <v>500825286</v>
      </c>
      <c r="C238" s="7" t="s">
        <v>39</v>
      </c>
      <c r="D238">
        <v>0</v>
      </c>
      <c r="E238" s="7">
        <f>worker_data[[#This Row],[employed]]-worker_data[[#This Row],[spent_amount]]</f>
        <v>0</v>
      </c>
      <c r="F238">
        <v>1.25869E-4</v>
      </c>
      <c r="G238">
        <v>0</v>
      </c>
      <c r="H238">
        <v>0</v>
      </c>
      <c r="I238" s="7" t="s">
        <v>40</v>
      </c>
      <c r="J238">
        <v>0</v>
      </c>
    </row>
    <row r="239" spans="1:10" x14ac:dyDescent="0.25">
      <c r="A239">
        <v>238</v>
      </c>
      <c r="B239">
        <v>840295589</v>
      </c>
      <c r="C239" s="7" t="s">
        <v>39</v>
      </c>
      <c r="D239">
        <v>0</v>
      </c>
      <c r="E239" s="7">
        <f>worker_data[[#This Row],[employed]]-worker_data[[#This Row],[spent_amount]]</f>
        <v>0</v>
      </c>
      <c r="F239">
        <v>1.20834E-4</v>
      </c>
      <c r="G239">
        <v>0</v>
      </c>
      <c r="H239">
        <v>0</v>
      </c>
      <c r="I239" s="7" t="s">
        <v>40</v>
      </c>
      <c r="J239">
        <v>0</v>
      </c>
    </row>
    <row r="240" spans="1:10" x14ac:dyDescent="0.25">
      <c r="A240">
        <v>239</v>
      </c>
      <c r="B240">
        <v>446191670</v>
      </c>
      <c r="C240" s="7" t="s">
        <v>39</v>
      </c>
      <c r="D240">
        <v>0</v>
      </c>
      <c r="E240" s="7">
        <f>worker_data[[#This Row],[employed]]-worker_data[[#This Row],[spent_amount]]</f>
        <v>0</v>
      </c>
      <c r="F240">
        <v>1.16001E-4</v>
      </c>
      <c r="G240">
        <v>0</v>
      </c>
      <c r="H240">
        <v>0</v>
      </c>
      <c r="I240" s="7" t="s">
        <v>40</v>
      </c>
      <c r="J240">
        <v>0</v>
      </c>
    </row>
    <row r="241" spans="1:10" x14ac:dyDescent="0.25">
      <c r="A241">
        <v>240</v>
      </c>
      <c r="B241">
        <v>240511312</v>
      </c>
      <c r="C241" s="7" t="s">
        <v>39</v>
      </c>
      <c r="D241">
        <v>0</v>
      </c>
      <c r="E241" s="7">
        <f>worker_data[[#This Row],[employed]]-worker_data[[#This Row],[spent_amount]]</f>
        <v>0</v>
      </c>
      <c r="F241">
        <v>1.1136100000000001E-4</v>
      </c>
      <c r="G241">
        <v>0</v>
      </c>
      <c r="H241">
        <v>0</v>
      </c>
      <c r="I241" s="7" t="s">
        <v>40</v>
      </c>
      <c r="J241">
        <v>0</v>
      </c>
    </row>
    <row r="242" spans="1:10" x14ac:dyDescent="0.25">
      <c r="A242">
        <v>241</v>
      </c>
      <c r="B242">
        <v>773880751</v>
      </c>
      <c r="C242" s="7" t="s">
        <v>39</v>
      </c>
      <c r="D242">
        <v>0</v>
      </c>
      <c r="E242" s="7">
        <f>worker_data[[#This Row],[employed]]-worker_data[[#This Row],[spent_amount]]</f>
        <v>0</v>
      </c>
      <c r="F242">
        <v>1.06907E-4</v>
      </c>
      <c r="G242">
        <v>0</v>
      </c>
      <c r="H242">
        <v>0</v>
      </c>
      <c r="I242" s="7" t="s">
        <v>40</v>
      </c>
      <c r="J242">
        <v>0</v>
      </c>
    </row>
    <row r="243" spans="1:10" x14ac:dyDescent="0.25">
      <c r="A243">
        <v>242</v>
      </c>
      <c r="B243">
        <v>968142369</v>
      </c>
      <c r="C243" s="7" t="s">
        <v>39</v>
      </c>
      <c r="D243">
        <v>0</v>
      </c>
      <c r="E243" s="7">
        <f>worker_data[[#This Row],[employed]]-worker_data[[#This Row],[spent_amount]]</f>
        <v>0</v>
      </c>
      <c r="F243">
        <v>1.0263E-4</v>
      </c>
      <c r="G243">
        <v>0</v>
      </c>
      <c r="H243">
        <v>0</v>
      </c>
      <c r="I243" s="7" t="s">
        <v>40</v>
      </c>
      <c r="J243">
        <v>0</v>
      </c>
    </row>
    <row r="244" spans="1:10" x14ac:dyDescent="0.25">
      <c r="A244">
        <v>243</v>
      </c>
      <c r="B244">
        <v>207368622</v>
      </c>
      <c r="C244" s="7" t="s">
        <v>39</v>
      </c>
      <c r="D244">
        <v>0</v>
      </c>
      <c r="E244" s="7">
        <f>worker_data[[#This Row],[employed]]-worker_data[[#This Row],[spent_amount]]</f>
        <v>0</v>
      </c>
      <c r="F244">
        <v>9.8525100000000003E-5</v>
      </c>
      <c r="G244">
        <v>0</v>
      </c>
      <c r="H244">
        <v>0</v>
      </c>
      <c r="I244" s="7" t="s">
        <v>40</v>
      </c>
      <c r="J244">
        <v>0</v>
      </c>
    </row>
    <row r="245" spans="1:10" x14ac:dyDescent="0.25">
      <c r="A245">
        <v>244</v>
      </c>
      <c r="B245">
        <v>412283738</v>
      </c>
      <c r="C245" s="7" t="s">
        <v>39</v>
      </c>
      <c r="D245">
        <v>0</v>
      </c>
      <c r="E245" s="7">
        <f>worker_data[[#This Row],[employed]]-worker_data[[#This Row],[spent_amount]]</f>
        <v>0</v>
      </c>
      <c r="F245">
        <v>9.4584000000000001E-5</v>
      </c>
      <c r="G245">
        <v>0</v>
      </c>
      <c r="H245">
        <v>0</v>
      </c>
      <c r="I245" s="7" t="s">
        <v>40</v>
      </c>
      <c r="J245">
        <v>0</v>
      </c>
    </row>
    <row r="246" spans="1:10" x14ac:dyDescent="0.25">
      <c r="A246">
        <v>245</v>
      </c>
      <c r="B246">
        <v>956168485</v>
      </c>
      <c r="C246" s="7" t="s">
        <v>39</v>
      </c>
      <c r="D246">
        <v>0</v>
      </c>
      <c r="E246" s="7">
        <f>worker_data[[#This Row],[employed]]-worker_data[[#This Row],[spent_amount]]</f>
        <v>0</v>
      </c>
      <c r="F246">
        <v>9.0800700000000006E-5</v>
      </c>
      <c r="G246">
        <v>0</v>
      </c>
      <c r="H246">
        <v>0</v>
      </c>
      <c r="I246" s="7" t="s">
        <v>40</v>
      </c>
      <c r="J246">
        <v>0</v>
      </c>
    </row>
    <row r="247" spans="1:10" x14ac:dyDescent="0.25">
      <c r="A247">
        <v>246</v>
      </c>
      <c r="B247">
        <v>686698496</v>
      </c>
      <c r="C247" s="7" t="s">
        <v>39</v>
      </c>
      <c r="D247">
        <v>0</v>
      </c>
      <c r="E247" s="7">
        <f>worker_data[[#This Row],[employed]]-worker_data[[#This Row],[spent_amount]]</f>
        <v>0</v>
      </c>
      <c r="F247">
        <v>8.7168699999999998E-5</v>
      </c>
      <c r="G247">
        <v>0</v>
      </c>
      <c r="H247">
        <v>0</v>
      </c>
      <c r="I247" s="7" t="s">
        <v>40</v>
      </c>
      <c r="J247">
        <v>0</v>
      </c>
    </row>
    <row r="248" spans="1:10" x14ac:dyDescent="0.25">
      <c r="A248">
        <v>247</v>
      </c>
      <c r="B248">
        <v>254337552</v>
      </c>
      <c r="C248" s="7" t="s">
        <v>39</v>
      </c>
      <c r="D248">
        <v>0</v>
      </c>
      <c r="E248" s="7">
        <f>worker_data[[#This Row],[employed]]-worker_data[[#This Row],[spent_amount]]</f>
        <v>0</v>
      </c>
      <c r="F248">
        <v>8.3681899999999996E-5</v>
      </c>
      <c r="G248">
        <v>0</v>
      </c>
      <c r="H248">
        <v>0</v>
      </c>
      <c r="I248" s="7" t="s">
        <v>40</v>
      </c>
      <c r="J248">
        <v>0</v>
      </c>
    </row>
    <row r="249" spans="1:10" x14ac:dyDescent="0.25">
      <c r="A249">
        <v>248</v>
      </c>
      <c r="B249">
        <v>723789435</v>
      </c>
      <c r="C249" s="7" t="s">
        <v>39</v>
      </c>
      <c r="D249">
        <v>0</v>
      </c>
      <c r="E249" s="7">
        <f>worker_data[[#This Row],[employed]]-worker_data[[#This Row],[spent_amount]]</f>
        <v>0</v>
      </c>
      <c r="F249">
        <v>8.0334599999999995E-5</v>
      </c>
      <c r="G249">
        <v>0</v>
      </c>
      <c r="H249">
        <v>0</v>
      </c>
      <c r="I249" s="7" t="s">
        <v>40</v>
      </c>
      <c r="J249">
        <v>0</v>
      </c>
    </row>
    <row r="250" spans="1:10" x14ac:dyDescent="0.25">
      <c r="A250">
        <v>249</v>
      </c>
      <c r="B250">
        <v>257004539</v>
      </c>
      <c r="C250" s="7" t="s">
        <v>39</v>
      </c>
      <c r="D250">
        <v>0</v>
      </c>
      <c r="E250" s="7">
        <f>worker_data[[#This Row],[employed]]-worker_data[[#This Row],[spent_amount]]</f>
        <v>0</v>
      </c>
      <c r="F250">
        <v>7.7121300000000003E-5</v>
      </c>
      <c r="G250">
        <v>0</v>
      </c>
      <c r="H250">
        <v>0</v>
      </c>
      <c r="I250" s="7" t="s">
        <v>40</v>
      </c>
      <c r="J250">
        <v>0</v>
      </c>
    </row>
    <row r="251" spans="1:10" x14ac:dyDescent="0.25">
      <c r="A251">
        <v>250</v>
      </c>
      <c r="B251">
        <v>22019533</v>
      </c>
      <c r="C251" s="7" t="s">
        <v>39</v>
      </c>
      <c r="D251">
        <v>0</v>
      </c>
      <c r="E251" s="7">
        <f>worker_data[[#This Row],[employed]]-worker_data[[#This Row],[spent_amount]]</f>
        <v>0</v>
      </c>
      <c r="F251">
        <v>7.4036399999999995E-5</v>
      </c>
      <c r="G251">
        <v>0</v>
      </c>
      <c r="H251">
        <v>0</v>
      </c>
      <c r="I251" s="7" t="s">
        <v>40</v>
      </c>
      <c r="J251">
        <v>0</v>
      </c>
    </row>
    <row r="252" spans="1:10" x14ac:dyDescent="0.25">
      <c r="A252">
        <v>251</v>
      </c>
      <c r="B252">
        <v>55727148</v>
      </c>
      <c r="C252" s="7" t="s">
        <v>39</v>
      </c>
      <c r="D252">
        <v>0</v>
      </c>
      <c r="E252" s="7">
        <f>worker_data[[#This Row],[employed]]-worker_data[[#This Row],[spent_amount]]</f>
        <v>0</v>
      </c>
      <c r="F252">
        <v>7.1074899999999999E-5</v>
      </c>
      <c r="G252">
        <v>0</v>
      </c>
      <c r="H252">
        <v>0</v>
      </c>
      <c r="I252" s="7" t="s">
        <v>40</v>
      </c>
      <c r="J252">
        <v>0</v>
      </c>
    </row>
    <row r="253" spans="1:10" x14ac:dyDescent="0.25">
      <c r="A253">
        <v>252</v>
      </c>
      <c r="B253">
        <v>460029646</v>
      </c>
      <c r="C253" s="7" t="s">
        <v>39</v>
      </c>
      <c r="D253">
        <v>0</v>
      </c>
      <c r="E253" s="7">
        <f>worker_data[[#This Row],[employed]]-worker_data[[#This Row],[spent_amount]]</f>
        <v>0</v>
      </c>
      <c r="F253">
        <v>6.82319E-5</v>
      </c>
      <c r="G253">
        <v>0</v>
      </c>
      <c r="H253">
        <v>0</v>
      </c>
      <c r="I253" s="7" t="s">
        <v>40</v>
      </c>
      <c r="J253">
        <v>0</v>
      </c>
    </row>
    <row r="254" spans="1:10" x14ac:dyDescent="0.25">
      <c r="A254">
        <v>253</v>
      </c>
      <c r="B254">
        <v>859940727</v>
      </c>
      <c r="C254" s="7" t="s">
        <v>39</v>
      </c>
      <c r="D254">
        <v>0</v>
      </c>
      <c r="E254" s="7">
        <f>worker_data[[#This Row],[employed]]-worker_data[[#This Row],[spent_amount]]</f>
        <v>0</v>
      </c>
      <c r="F254">
        <v>6.5502700000000006E-5</v>
      </c>
      <c r="G254">
        <v>0</v>
      </c>
      <c r="H254">
        <v>0</v>
      </c>
      <c r="I254" s="7" t="s">
        <v>40</v>
      </c>
      <c r="J254">
        <v>0</v>
      </c>
    </row>
    <row r="255" spans="1:10" x14ac:dyDescent="0.25">
      <c r="A255">
        <v>254</v>
      </c>
      <c r="B255">
        <v>327915947</v>
      </c>
      <c r="C255" s="7" t="s">
        <v>39</v>
      </c>
      <c r="D255">
        <v>0</v>
      </c>
      <c r="E255" s="7">
        <f>worker_data[[#This Row],[employed]]-worker_data[[#This Row],[spent_amount]]</f>
        <v>0</v>
      </c>
      <c r="F255">
        <v>6.28826E-5</v>
      </c>
      <c r="G255">
        <v>0</v>
      </c>
      <c r="H255">
        <v>0</v>
      </c>
      <c r="I255" s="7" t="s">
        <v>40</v>
      </c>
      <c r="J255">
        <v>0</v>
      </c>
    </row>
    <row r="256" spans="1:10" x14ac:dyDescent="0.25">
      <c r="A256">
        <v>255</v>
      </c>
      <c r="B256">
        <v>802867316</v>
      </c>
      <c r="C256" s="7" t="s">
        <v>39</v>
      </c>
      <c r="D256">
        <v>0</v>
      </c>
      <c r="E256" s="7">
        <f>worker_data[[#This Row],[employed]]-worker_data[[#This Row],[spent_amount]]</f>
        <v>0</v>
      </c>
      <c r="F256">
        <v>6.0367300000000001E-5</v>
      </c>
      <c r="G256">
        <v>0</v>
      </c>
      <c r="H256">
        <v>0</v>
      </c>
      <c r="I256" s="7" t="s">
        <v>40</v>
      </c>
      <c r="J256">
        <v>0</v>
      </c>
    </row>
    <row r="257" spans="1:10" x14ac:dyDescent="0.25">
      <c r="A257">
        <v>256</v>
      </c>
      <c r="B257">
        <v>40665707</v>
      </c>
      <c r="C257" s="7" t="s">
        <v>39</v>
      </c>
      <c r="D257">
        <v>0</v>
      </c>
      <c r="E257" s="7">
        <f>worker_data[[#This Row],[employed]]-worker_data[[#This Row],[spent_amount]]</f>
        <v>0</v>
      </c>
      <c r="F257">
        <v>5.7952599999999998E-5</v>
      </c>
      <c r="G257">
        <v>0</v>
      </c>
      <c r="H257">
        <v>0</v>
      </c>
      <c r="I257" s="7" t="s">
        <v>40</v>
      </c>
      <c r="J257">
        <v>0</v>
      </c>
    </row>
    <row r="258" spans="1:10" x14ac:dyDescent="0.25">
      <c r="A258">
        <v>257</v>
      </c>
      <c r="B258">
        <v>692806374</v>
      </c>
      <c r="C258" s="7" t="s">
        <v>39</v>
      </c>
      <c r="D258">
        <v>0</v>
      </c>
      <c r="E258" s="7">
        <f>worker_data[[#This Row],[employed]]-worker_data[[#This Row],[spent_amount]]</f>
        <v>0</v>
      </c>
      <c r="F258">
        <v>5.5634499999999997E-5</v>
      </c>
      <c r="G258">
        <v>0</v>
      </c>
      <c r="H258">
        <v>0</v>
      </c>
      <c r="I258" s="7" t="s">
        <v>40</v>
      </c>
      <c r="J258">
        <v>0</v>
      </c>
    </row>
    <row r="259" spans="1:10" x14ac:dyDescent="0.25">
      <c r="A259">
        <v>258</v>
      </c>
      <c r="B259">
        <v>122247502</v>
      </c>
      <c r="C259" s="7" t="s">
        <v>39</v>
      </c>
      <c r="D259">
        <v>0</v>
      </c>
      <c r="E259" s="7">
        <f>worker_data[[#This Row],[employed]]-worker_data[[#This Row],[spent_amount]]</f>
        <v>0</v>
      </c>
      <c r="F259">
        <v>5.3409100000000003E-5</v>
      </c>
      <c r="G259">
        <v>0</v>
      </c>
      <c r="H259">
        <v>0</v>
      </c>
      <c r="I259" s="7" t="s">
        <v>40</v>
      </c>
      <c r="J259">
        <v>0</v>
      </c>
    </row>
    <row r="260" spans="1:10" x14ac:dyDescent="0.25">
      <c r="A260">
        <v>259</v>
      </c>
      <c r="B260">
        <v>478167346</v>
      </c>
      <c r="C260" s="7" t="s">
        <v>39</v>
      </c>
      <c r="D260">
        <v>0</v>
      </c>
      <c r="E260" s="7">
        <f>worker_data[[#This Row],[employed]]-worker_data[[#This Row],[spent_amount]]</f>
        <v>0</v>
      </c>
      <c r="F260">
        <v>5.1272700000000001E-5</v>
      </c>
      <c r="G260">
        <v>0</v>
      </c>
      <c r="H260">
        <v>0</v>
      </c>
      <c r="I260" s="7" t="s">
        <v>40</v>
      </c>
      <c r="J260">
        <v>0</v>
      </c>
    </row>
    <row r="261" spans="1:10" x14ac:dyDescent="0.25">
      <c r="A261">
        <v>260</v>
      </c>
      <c r="B261">
        <v>134576833</v>
      </c>
      <c r="C261" s="7" t="s">
        <v>39</v>
      </c>
      <c r="D261">
        <v>0</v>
      </c>
      <c r="E261" s="7">
        <f>worker_data[[#This Row],[employed]]-worker_data[[#This Row],[spent_amount]]</f>
        <v>0</v>
      </c>
      <c r="F261">
        <v>4.9221799999999997E-5</v>
      </c>
      <c r="G261">
        <v>0</v>
      </c>
      <c r="H261">
        <v>0</v>
      </c>
      <c r="I261" s="7" t="s">
        <v>40</v>
      </c>
      <c r="J261">
        <v>0</v>
      </c>
    </row>
    <row r="262" spans="1:10" x14ac:dyDescent="0.25">
      <c r="A262">
        <v>261</v>
      </c>
      <c r="B262">
        <v>60807888</v>
      </c>
      <c r="C262" s="7" t="s">
        <v>39</v>
      </c>
      <c r="D262">
        <v>0</v>
      </c>
      <c r="E262" s="7">
        <f>worker_data[[#This Row],[employed]]-worker_data[[#This Row],[spent_amount]]</f>
        <v>0</v>
      </c>
      <c r="F262">
        <v>4.7252900000000003E-5</v>
      </c>
      <c r="G262">
        <v>0</v>
      </c>
      <c r="H262">
        <v>0</v>
      </c>
      <c r="I262" s="7" t="s">
        <v>40</v>
      </c>
      <c r="J262">
        <v>0</v>
      </c>
    </row>
    <row r="263" spans="1:10" x14ac:dyDescent="0.25">
      <c r="A263">
        <v>262</v>
      </c>
      <c r="B263">
        <v>898859456</v>
      </c>
      <c r="C263" s="7" t="s">
        <v>39</v>
      </c>
      <c r="D263">
        <v>0</v>
      </c>
      <c r="E263" s="7">
        <f>worker_data[[#This Row],[employed]]-worker_data[[#This Row],[spent_amount]]</f>
        <v>0</v>
      </c>
      <c r="F263">
        <v>4.5362799999999999E-5</v>
      </c>
      <c r="G263">
        <v>0</v>
      </c>
      <c r="H263">
        <v>0</v>
      </c>
      <c r="I263" s="7" t="s">
        <v>40</v>
      </c>
      <c r="J263">
        <v>0</v>
      </c>
    </row>
    <row r="264" spans="1:10" x14ac:dyDescent="0.25">
      <c r="A264">
        <v>263</v>
      </c>
      <c r="B264">
        <v>819354129</v>
      </c>
      <c r="C264" s="7" t="s">
        <v>39</v>
      </c>
      <c r="D264">
        <v>0</v>
      </c>
      <c r="E264" s="7">
        <f>worker_data[[#This Row],[employed]]-worker_data[[#This Row],[spent_amount]]</f>
        <v>0</v>
      </c>
      <c r="F264">
        <v>4.3548299999999998E-5</v>
      </c>
      <c r="G264">
        <v>0</v>
      </c>
      <c r="H264">
        <v>0</v>
      </c>
      <c r="I264" s="7" t="s">
        <v>40</v>
      </c>
      <c r="J264">
        <v>0</v>
      </c>
    </row>
    <row r="265" spans="1:10" x14ac:dyDescent="0.25">
      <c r="A265">
        <v>264</v>
      </c>
      <c r="B265">
        <v>68213335</v>
      </c>
      <c r="C265" s="7" t="s">
        <v>39</v>
      </c>
      <c r="D265">
        <v>0</v>
      </c>
      <c r="E265" s="7">
        <f>worker_data[[#This Row],[employed]]-worker_data[[#This Row],[spent_amount]]</f>
        <v>0</v>
      </c>
      <c r="F265">
        <v>4.18064E-5</v>
      </c>
      <c r="G265">
        <v>0</v>
      </c>
      <c r="H265">
        <v>0</v>
      </c>
      <c r="I265" s="7" t="s">
        <v>40</v>
      </c>
      <c r="J265">
        <v>0</v>
      </c>
    </row>
    <row r="266" spans="1:10" x14ac:dyDescent="0.25">
      <c r="A266">
        <v>265</v>
      </c>
      <c r="B266">
        <v>642711902</v>
      </c>
      <c r="C266" s="7" t="s">
        <v>39</v>
      </c>
      <c r="D266">
        <v>0</v>
      </c>
      <c r="E266" s="7">
        <f>worker_data[[#This Row],[employed]]-worker_data[[#This Row],[spent_amount]]</f>
        <v>0</v>
      </c>
      <c r="F266">
        <v>4.0134099999999999E-5</v>
      </c>
      <c r="G266">
        <v>0</v>
      </c>
      <c r="H266">
        <v>0</v>
      </c>
      <c r="I266" s="7" t="s">
        <v>40</v>
      </c>
      <c r="J266">
        <v>0</v>
      </c>
    </row>
    <row r="267" spans="1:10" x14ac:dyDescent="0.25">
      <c r="A267">
        <v>266</v>
      </c>
      <c r="B267">
        <v>242500356</v>
      </c>
      <c r="C267" s="7" t="s">
        <v>39</v>
      </c>
      <c r="D267">
        <v>0</v>
      </c>
      <c r="E267" s="7">
        <f>worker_data[[#This Row],[employed]]-worker_data[[#This Row],[spent_amount]]</f>
        <v>0</v>
      </c>
      <c r="F267">
        <v>3.8528800000000003E-5</v>
      </c>
      <c r="G267">
        <v>0</v>
      </c>
      <c r="H267">
        <v>0</v>
      </c>
      <c r="I267" s="7" t="s">
        <v>40</v>
      </c>
      <c r="J267">
        <v>0</v>
      </c>
    </row>
    <row r="268" spans="1:10" x14ac:dyDescent="0.25">
      <c r="A268">
        <v>267</v>
      </c>
      <c r="B268">
        <v>305998458</v>
      </c>
      <c r="C268" s="7" t="s">
        <v>39</v>
      </c>
      <c r="D268">
        <v>0</v>
      </c>
      <c r="E268" s="7">
        <f>worker_data[[#This Row],[employed]]-worker_data[[#This Row],[spent_amount]]</f>
        <v>0</v>
      </c>
      <c r="F268">
        <v>3.6987599999999998E-5</v>
      </c>
      <c r="G268">
        <v>0</v>
      </c>
      <c r="H268">
        <v>0</v>
      </c>
      <c r="I268" s="7" t="s">
        <v>40</v>
      </c>
      <c r="J268">
        <v>0</v>
      </c>
    </row>
    <row r="269" spans="1:10" x14ac:dyDescent="0.25">
      <c r="A269">
        <v>268</v>
      </c>
      <c r="B269">
        <v>164264184</v>
      </c>
      <c r="C269" s="7" t="s">
        <v>39</v>
      </c>
      <c r="D269">
        <v>0</v>
      </c>
      <c r="E269" s="7">
        <f>worker_data[[#This Row],[employed]]-worker_data[[#This Row],[spent_amount]]</f>
        <v>0</v>
      </c>
      <c r="F269">
        <v>3.55081E-5</v>
      </c>
      <c r="G269">
        <v>0</v>
      </c>
      <c r="H269">
        <v>0</v>
      </c>
      <c r="I269" s="7" t="s">
        <v>40</v>
      </c>
      <c r="J269">
        <v>0</v>
      </c>
    </row>
    <row r="270" spans="1:10" x14ac:dyDescent="0.25">
      <c r="A270">
        <v>269</v>
      </c>
      <c r="B270">
        <v>393914410</v>
      </c>
      <c r="C270" s="7" t="s">
        <v>39</v>
      </c>
      <c r="D270">
        <v>0</v>
      </c>
      <c r="E270" s="7">
        <f>worker_data[[#This Row],[employed]]-worker_data[[#This Row],[spent_amount]]</f>
        <v>0</v>
      </c>
      <c r="F270">
        <v>3.4087800000000003E-5</v>
      </c>
      <c r="G270">
        <v>0</v>
      </c>
      <c r="H270">
        <v>0</v>
      </c>
      <c r="I270" s="7" t="s">
        <v>40</v>
      </c>
      <c r="J270">
        <v>0</v>
      </c>
    </row>
    <row r="271" spans="1:10" x14ac:dyDescent="0.25">
      <c r="A271">
        <v>270</v>
      </c>
      <c r="B271">
        <v>957277630</v>
      </c>
      <c r="C271" s="7" t="s">
        <v>39</v>
      </c>
      <c r="D271">
        <v>0</v>
      </c>
      <c r="E271" s="7">
        <f>worker_data[[#This Row],[employed]]-worker_data[[#This Row],[spent_amount]]</f>
        <v>0</v>
      </c>
      <c r="F271">
        <v>3.2724300000000001E-5</v>
      </c>
      <c r="G271">
        <v>0</v>
      </c>
      <c r="H271">
        <v>0</v>
      </c>
      <c r="I271" s="7" t="s">
        <v>40</v>
      </c>
      <c r="J271">
        <v>0</v>
      </c>
    </row>
    <row r="272" spans="1:10" x14ac:dyDescent="0.25">
      <c r="A272">
        <v>271</v>
      </c>
      <c r="B272">
        <v>136554556</v>
      </c>
      <c r="C272" s="7" t="s">
        <v>39</v>
      </c>
      <c r="D272">
        <v>0</v>
      </c>
      <c r="E272" s="7">
        <f>worker_data[[#This Row],[employed]]-worker_data[[#This Row],[spent_amount]]</f>
        <v>0</v>
      </c>
      <c r="F272">
        <v>3.1415299999999997E-5</v>
      </c>
      <c r="G272">
        <v>0</v>
      </c>
      <c r="H272">
        <v>0</v>
      </c>
      <c r="I272" s="7" t="s">
        <v>40</v>
      </c>
      <c r="J272">
        <v>0</v>
      </c>
    </row>
    <row r="273" spans="1:10" x14ac:dyDescent="0.25">
      <c r="A273">
        <v>272</v>
      </c>
      <c r="B273">
        <v>67101124</v>
      </c>
      <c r="C273" s="7" t="s">
        <v>39</v>
      </c>
      <c r="D273">
        <v>0</v>
      </c>
      <c r="E273" s="7">
        <f>worker_data[[#This Row],[employed]]-worker_data[[#This Row],[spent_amount]]</f>
        <v>0</v>
      </c>
      <c r="F273">
        <v>3.01587E-5</v>
      </c>
      <c r="G273">
        <v>0</v>
      </c>
      <c r="H273">
        <v>0</v>
      </c>
      <c r="I273" s="7" t="s">
        <v>40</v>
      </c>
      <c r="J273">
        <v>0</v>
      </c>
    </row>
    <row r="274" spans="1:10" x14ac:dyDescent="0.25">
      <c r="A274">
        <v>273</v>
      </c>
      <c r="B274">
        <v>941588760</v>
      </c>
      <c r="C274" s="7" t="s">
        <v>39</v>
      </c>
      <c r="D274">
        <v>0</v>
      </c>
      <c r="E274" s="7">
        <f>worker_data[[#This Row],[employed]]-worker_data[[#This Row],[spent_amount]]</f>
        <v>0</v>
      </c>
      <c r="F274">
        <v>2.8952300000000001E-5</v>
      </c>
      <c r="G274">
        <v>0</v>
      </c>
      <c r="H274">
        <v>0</v>
      </c>
      <c r="I274" s="7" t="s">
        <v>40</v>
      </c>
      <c r="J274">
        <v>0</v>
      </c>
    </row>
    <row r="275" spans="1:10" x14ac:dyDescent="0.25">
      <c r="A275">
        <v>274</v>
      </c>
      <c r="B275">
        <v>853037710</v>
      </c>
      <c r="C275" s="7" t="s">
        <v>39</v>
      </c>
      <c r="D275">
        <v>0</v>
      </c>
      <c r="E275" s="7">
        <f>worker_data[[#This Row],[employed]]-worker_data[[#This Row],[spent_amount]]</f>
        <v>0</v>
      </c>
      <c r="F275">
        <v>2.7794199999999999E-5</v>
      </c>
      <c r="G275">
        <v>0</v>
      </c>
      <c r="H275">
        <v>0</v>
      </c>
      <c r="I275" s="7" t="s">
        <v>40</v>
      </c>
      <c r="J275">
        <v>0</v>
      </c>
    </row>
    <row r="276" spans="1:10" x14ac:dyDescent="0.25">
      <c r="A276">
        <v>275</v>
      </c>
      <c r="B276">
        <v>855320006</v>
      </c>
      <c r="C276" s="7" t="s">
        <v>39</v>
      </c>
      <c r="D276">
        <v>0</v>
      </c>
      <c r="E276" s="7">
        <f>worker_data[[#This Row],[employed]]-worker_data[[#This Row],[spent_amount]]</f>
        <v>0</v>
      </c>
      <c r="F276">
        <v>2.6682500000000001E-5</v>
      </c>
      <c r="G276">
        <v>0</v>
      </c>
      <c r="H276">
        <v>0</v>
      </c>
      <c r="I276" s="7" t="s">
        <v>40</v>
      </c>
      <c r="J276">
        <v>0</v>
      </c>
    </row>
    <row r="277" spans="1:10" x14ac:dyDescent="0.25">
      <c r="A277">
        <v>276</v>
      </c>
      <c r="B277">
        <v>373438215</v>
      </c>
      <c r="C277" s="7" t="s">
        <v>39</v>
      </c>
      <c r="D277">
        <v>0</v>
      </c>
      <c r="E277" s="7">
        <f>worker_data[[#This Row],[employed]]-worker_data[[#This Row],[spent_amount]]</f>
        <v>0</v>
      </c>
      <c r="F277">
        <v>2.5615200000000002E-5</v>
      </c>
      <c r="G277">
        <v>0</v>
      </c>
      <c r="H277">
        <v>0</v>
      </c>
      <c r="I277" s="7" t="s">
        <v>40</v>
      </c>
      <c r="J277">
        <v>0</v>
      </c>
    </row>
    <row r="278" spans="1:10" x14ac:dyDescent="0.25">
      <c r="A278">
        <v>277</v>
      </c>
      <c r="B278">
        <v>703776264</v>
      </c>
      <c r="C278" s="7" t="s">
        <v>39</v>
      </c>
      <c r="D278">
        <v>0</v>
      </c>
      <c r="E278" s="7">
        <f>worker_data[[#This Row],[employed]]-worker_data[[#This Row],[spent_amount]]</f>
        <v>0</v>
      </c>
      <c r="F278">
        <v>2.4590600000000001E-5</v>
      </c>
      <c r="G278">
        <v>0</v>
      </c>
      <c r="H278">
        <v>0</v>
      </c>
      <c r="I278" s="7" t="s">
        <v>40</v>
      </c>
      <c r="J278">
        <v>0</v>
      </c>
    </row>
    <row r="279" spans="1:10" x14ac:dyDescent="0.25">
      <c r="A279">
        <v>278</v>
      </c>
      <c r="B279">
        <v>228412864</v>
      </c>
      <c r="C279" s="7" t="s">
        <v>39</v>
      </c>
      <c r="D279">
        <v>0</v>
      </c>
      <c r="E279" s="7">
        <f>worker_data[[#This Row],[employed]]-worker_data[[#This Row],[spent_amount]]</f>
        <v>0</v>
      </c>
      <c r="F279">
        <v>2.3606899999999999E-5</v>
      </c>
      <c r="G279">
        <v>0</v>
      </c>
      <c r="H279">
        <v>0</v>
      </c>
      <c r="I279" s="7" t="s">
        <v>40</v>
      </c>
      <c r="J279">
        <v>0</v>
      </c>
    </row>
    <row r="280" spans="1:10" x14ac:dyDescent="0.25">
      <c r="A280">
        <v>279</v>
      </c>
      <c r="B280">
        <v>107701386</v>
      </c>
      <c r="C280" s="7" t="s">
        <v>39</v>
      </c>
      <c r="D280">
        <v>0</v>
      </c>
      <c r="E280" s="7">
        <f>worker_data[[#This Row],[employed]]-worker_data[[#This Row],[spent_amount]]</f>
        <v>0</v>
      </c>
      <c r="F280">
        <v>2.2662699999999999E-5</v>
      </c>
      <c r="G280">
        <v>0</v>
      </c>
      <c r="H280">
        <v>0</v>
      </c>
      <c r="I280" s="7" t="s">
        <v>40</v>
      </c>
      <c r="J280">
        <v>0</v>
      </c>
    </row>
    <row r="281" spans="1:10" x14ac:dyDescent="0.25">
      <c r="A281">
        <v>280</v>
      </c>
      <c r="B281">
        <v>413905273</v>
      </c>
      <c r="C281" s="7" t="s">
        <v>39</v>
      </c>
      <c r="D281">
        <v>0</v>
      </c>
      <c r="E281" s="7">
        <f>worker_data[[#This Row],[employed]]-worker_data[[#This Row],[spent_amount]]</f>
        <v>0</v>
      </c>
      <c r="F281">
        <v>2.17562E-5</v>
      </c>
      <c r="G281">
        <v>0</v>
      </c>
      <c r="H281">
        <v>0</v>
      </c>
      <c r="I281" s="7" t="s">
        <v>40</v>
      </c>
      <c r="J281">
        <v>0</v>
      </c>
    </row>
    <row r="282" spans="1:10" x14ac:dyDescent="0.25">
      <c r="A282">
        <v>281</v>
      </c>
      <c r="B282">
        <v>113465216</v>
      </c>
      <c r="C282" s="7" t="s">
        <v>39</v>
      </c>
      <c r="D282">
        <v>0</v>
      </c>
      <c r="E282" s="7">
        <f>worker_data[[#This Row],[employed]]-worker_data[[#This Row],[spent_amount]]</f>
        <v>0</v>
      </c>
      <c r="F282">
        <v>2.0885899999999999E-5</v>
      </c>
      <c r="G282">
        <v>0</v>
      </c>
      <c r="H282">
        <v>0</v>
      </c>
      <c r="I282" s="7" t="s">
        <v>40</v>
      </c>
      <c r="J282">
        <v>0</v>
      </c>
    </row>
    <row r="283" spans="1:10" x14ac:dyDescent="0.25">
      <c r="A283">
        <v>282</v>
      </c>
      <c r="B283">
        <v>852600574</v>
      </c>
      <c r="C283" s="7" t="s">
        <v>39</v>
      </c>
      <c r="D283">
        <v>0</v>
      </c>
      <c r="E283" s="7">
        <f>worker_data[[#This Row],[employed]]-worker_data[[#This Row],[spent_amount]]</f>
        <v>0</v>
      </c>
      <c r="F283">
        <v>2.0050500000000001E-5</v>
      </c>
      <c r="G283">
        <v>0</v>
      </c>
      <c r="H283">
        <v>0</v>
      </c>
      <c r="I283" s="7" t="s">
        <v>40</v>
      </c>
      <c r="J283">
        <v>0</v>
      </c>
    </row>
    <row r="284" spans="1:10" x14ac:dyDescent="0.25">
      <c r="A284">
        <v>283</v>
      </c>
      <c r="B284">
        <v>739612202</v>
      </c>
      <c r="C284" s="7" t="s">
        <v>39</v>
      </c>
      <c r="D284">
        <v>0</v>
      </c>
      <c r="E284" s="7">
        <f>worker_data[[#This Row],[employed]]-worker_data[[#This Row],[spent_amount]]</f>
        <v>0</v>
      </c>
      <c r="F284">
        <v>1.92485E-5</v>
      </c>
      <c r="G284">
        <v>0</v>
      </c>
      <c r="H284">
        <v>0</v>
      </c>
      <c r="I284" s="7" t="s">
        <v>40</v>
      </c>
      <c r="J284">
        <v>0</v>
      </c>
    </row>
    <row r="285" spans="1:10" x14ac:dyDescent="0.25">
      <c r="A285">
        <v>284</v>
      </c>
      <c r="B285">
        <v>747501755</v>
      </c>
      <c r="C285" s="7" t="s">
        <v>39</v>
      </c>
      <c r="D285">
        <v>0</v>
      </c>
      <c r="E285" s="7">
        <f>worker_data[[#This Row],[employed]]-worker_data[[#This Row],[spent_amount]]</f>
        <v>0</v>
      </c>
      <c r="F285">
        <v>1.8478499999999999E-5</v>
      </c>
      <c r="G285">
        <v>0</v>
      </c>
      <c r="H285">
        <v>0</v>
      </c>
      <c r="I285" s="7" t="s">
        <v>40</v>
      </c>
      <c r="J285">
        <v>0</v>
      </c>
    </row>
    <row r="286" spans="1:10" x14ac:dyDescent="0.25">
      <c r="A286">
        <v>285</v>
      </c>
      <c r="B286">
        <v>973567785</v>
      </c>
      <c r="C286" s="7" t="s">
        <v>39</v>
      </c>
      <c r="D286">
        <v>0</v>
      </c>
      <c r="E286" s="7">
        <f>worker_data[[#This Row],[employed]]-worker_data[[#This Row],[spent_amount]]</f>
        <v>0</v>
      </c>
      <c r="F286">
        <v>1.7739400000000002E-5</v>
      </c>
      <c r="G286">
        <v>0</v>
      </c>
      <c r="H286">
        <v>0</v>
      </c>
      <c r="I286" s="7" t="s">
        <v>40</v>
      </c>
      <c r="J286">
        <v>0</v>
      </c>
    </row>
    <row r="287" spans="1:10" x14ac:dyDescent="0.25">
      <c r="A287">
        <v>286</v>
      </c>
      <c r="B287">
        <v>111207828</v>
      </c>
      <c r="C287" s="7" t="s">
        <v>39</v>
      </c>
      <c r="D287">
        <v>0</v>
      </c>
      <c r="E287" s="7">
        <f>worker_data[[#This Row],[employed]]-worker_data[[#This Row],[spent_amount]]</f>
        <v>0</v>
      </c>
      <c r="F287">
        <v>1.7029800000000001E-5</v>
      </c>
      <c r="G287">
        <v>0</v>
      </c>
      <c r="H287">
        <v>0</v>
      </c>
      <c r="I287" s="7" t="s">
        <v>40</v>
      </c>
      <c r="J287">
        <v>0</v>
      </c>
    </row>
    <row r="288" spans="1:10" x14ac:dyDescent="0.25">
      <c r="A288">
        <v>287</v>
      </c>
      <c r="B288">
        <v>857755328</v>
      </c>
      <c r="C288" s="7" t="s">
        <v>39</v>
      </c>
      <c r="D288">
        <v>0</v>
      </c>
      <c r="E288" s="7">
        <f>worker_data[[#This Row],[employed]]-worker_data[[#This Row],[spent_amount]]</f>
        <v>0</v>
      </c>
      <c r="F288">
        <v>1.6348600000000001E-5</v>
      </c>
      <c r="G288">
        <v>0</v>
      </c>
      <c r="H288">
        <v>0</v>
      </c>
      <c r="I288" s="7" t="s">
        <v>40</v>
      </c>
      <c r="J288">
        <v>0</v>
      </c>
    </row>
    <row r="289" spans="1:10" x14ac:dyDescent="0.25">
      <c r="A289">
        <v>288</v>
      </c>
      <c r="B289">
        <v>130901836</v>
      </c>
      <c r="C289" s="7" t="s">
        <v>39</v>
      </c>
      <c r="D289">
        <v>0</v>
      </c>
      <c r="E289" s="7">
        <f>worker_data[[#This Row],[employed]]-worker_data[[#This Row],[spent_amount]]</f>
        <v>0</v>
      </c>
      <c r="F289">
        <v>1.5694700000000001E-5</v>
      </c>
      <c r="G289">
        <v>0</v>
      </c>
      <c r="H289">
        <v>0</v>
      </c>
      <c r="I289" s="7" t="s">
        <v>40</v>
      </c>
      <c r="J289">
        <v>0</v>
      </c>
    </row>
    <row r="290" spans="1:10" x14ac:dyDescent="0.25">
      <c r="A290">
        <v>289</v>
      </c>
      <c r="B290">
        <v>590750107</v>
      </c>
      <c r="C290" s="7" t="s">
        <v>39</v>
      </c>
      <c r="D290">
        <v>0</v>
      </c>
      <c r="E290" s="7">
        <f>worker_data[[#This Row],[employed]]-worker_data[[#This Row],[spent_amount]]</f>
        <v>0</v>
      </c>
      <c r="F290">
        <v>1.50669E-5</v>
      </c>
      <c r="G290">
        <v>0</v>
      </c>
      <c r="H290">
        <v>0</v>
      </c>
      <c r="I290" s="7" t="s">
        <v>40</v>
      </c>
      <c r="J290">
        <v>0</v>
      </c>
    </row>
    <row r="291" spans="1:10" x14ac:dyDescent="0.25">
      <c r="A291">
        <v>290</v>
      </c>
      <c r="B291">
        <v>58879684</v>
      </c>
      <c r="C291" s="7" t="s">
        <v>39</v>
      </c>
      <c r="D291">
        <v>0</v>
      </c>
      <c r="E291" s="7">
        <f>worker_data[[#This Row],[employed]]-worker_data[[#This Row],[spent_amount]]</f>
        <v>0</v>
      </c>
      <c r="F291">
        <v>1.44642E-5</v>
      </c>
      <c r="G291">
        <v>0</v>
      </c>
      <c r="H291">
        <v>0</v>
      </c>
      <c r="I291" s="7" t="s">
        <v>40</v>
      </c>
      <c r="J291">
        <v>0</v>
      </c>
    </row>
    <row r="292" spans="1:10" x14ac:dyDescent="0.25">
      <c r="A292">
        <v>291</v>
      </c>
      <c r="B292">
        <v>820214217</v>
      </c>
      <c r="C292" s="7" t="s">
        <v>39</v>
      </c>
      <c r="D292">
        <v>0</v>
      </c>
      <c r="E292" s="7">
        <f>worker_data[[#This Row],[employed]]-worker_data[[#This Row],[spent_amount]]</f>
        <v>0</v>
      </c>
      <c r="F292">
        <v>1.38856E-5</v>
      </c>
      <c r="G292">
        <v>0</v>
      </c>
      <c r="H292">
        <v>0</v>
      </c>
      <c r="I292" s="7" t="s">
        <v>40</v>
      </c>
      <c r="J292">
        <v>0</v>
      </c>
    </row>
    <row r="293" spans="1:10" x14ac:dyDescent="0.25">
      <c r="A293">
        <v>292</v>
      </c>
      <c r="B293">
        <v>496680768</v>
      </c>
      <c r="C293" s="7" t="s">
        <v>39</v>
      </c>
      <c r="D293">
        <v>0</v>
      </c>
      <c r="E293" s="7">
        <f>worker_data[[#This Row],[employed]]-worker_data[[#This Row],[spent_amount]]</f>
        <v>0</v>
      </c>
      <c r="F293">
        <v>1.33302E-5</v>
      </c>
      <c r="G293">
        <v>0</v>
      </c>
      <c r="H293">
        <v>0</v>
      </c>
      <c r="I293" s="7" t="s">
        <v>40</v>
      </c>
      <c r="J293">
        <v>0</v>
      </c>
    </row>
    <row r="294" spans="1:10" x14ac:dyDescent="0.25">
      <c r="A294">
        <v>293</v>
      </c>
      <c r="B294">
        <v>519724447</v>
      </c>
      <c r="C294" s="7" t="s">
        <v>39</v>
      </c>
      <c r="D294">
        <v>0</v>
      </c>
      <c r="E294" s="7">
        <f>worker_data[[#This Row],[employed]]-worker_data[[#This Row],[spent_amount]]</f>
        <v>0</v>
      </c>
      <c r="F294">
        <v>1.2797E-5</v>
      </c>
      <c r="G294">
        <v>0</v>
      </c>
      <c r="H294">
        <v>0</v>
      </c>
      <c r="I294" s="7" t="s">
        <v>40</v>
      </c>
      <c r="J294">
        <v>0</v>
      </c>
    </row>
    <row r="295" spans="1:10" x14ac:dyDescent="0.25">
      <c r="A295">
        <v>294</v>
      </c>
      <c r="B295">
        <v>776334048</v>
      </c>
      <c r="C295" s="7" t="s">
        <v>39</v>
      </c>
      <c r="D295">
        <v>0</v>
      </c>
      <c r="E295" s="7">
        <f>worker_data[[#This Row],[employed]]-worker_data[[#This Row],[spent_amount]]</f>
        <v>0</v>
      </c>
      <c r="F295">
        <v>1.22851E-5</v>
      </c>
      <c r="G295">
        <v>0</v>
      </c>
      <c r="H295">
        <v>0</v>
      </c>
      <c r="I295" s="7" t="s">
        <v>40</v>
      </c>
      <c r="J295">
        <v>0</v>
      </c>
    </row>
    <row r="296" spans="1:10" x14ac:dyDescent="0.25">
      <c r="A296">
        <v>295</v>
      </c>
      <c r="B296">
        <v>27969410</v>
      </c>
      <c r="C296" s="7" t="s">
        <v>39</v>
      </c>
      <c r="D296">
        <v>0</v>
      </c>
      <c r="E296" s="7">
        <f>worker_data[[#This Row],[employed]]-worker_data[[#This Row],[spent_amount]]</f>
        <v>0</v>
      </c>
      <c r="F296">
        <v>1.17937E-5</v>
      </c>
      <c r="G296">
        <v>0</v>
      </c>
      <c r="H296">
        <v>0</v>
      </c>
      <c r="I296" s="7" t="s">
        <v>40</v>
      </c>
      <c r="J296">
        <v>0</v>
      </c>
    </row>
    <row r="297" spans="1:10" x14ac:dyDescent="0.25">
      <c r="A297">
        <v>296</v>
      </c>
      <c r="B297">
        <v>826055033</v>
      </c>
      <c r="C297" s="7" t="s">
        <v>39</v>
      </c>
      <c r="D297">
        <v>0</v>
      </c>
      <c r="E297" s="7">
        <f>worker_data[[#This Row],[employed]]-worker_data[[#This Row],[spent_amount]]</f>
        <v>0</v>
      </c>
      <c r="F297">
        <v>1.1321999999999999E-5</v>
      </c>
      <c r="G297">
        <v>0</v>
      </c>
      <c r="H297">
        <v>0</v>
      </c>
      <c r="I297" s="7" t="s">
        <v>40</v>
      </c>
      <c r="J297">
        <v>0</v>
      </c>
    </row>
    <row r="298" spans="1:10" x14ac:dyDescent="0.25">
      <c r="A298">
        <v>297</v>
      </c>
      <c r="B298">
        <v>575992358</v>
      </c>
      <c r="C298" s="7" t="s">
        <v>39</v>
      </c>
      <c r="D298">
        <v>0</v>
      </c>
      <c r="E298" s="7">
        <f>worker_data[[#This Row],[employed]]-worker_data[[#This Row],[spent_amount]]</f>
        <v>0</v>
      </c>
      <c r="F298">
        <v>1.0869100000000001E-5</v>
      </c>
      <c r="G298">
        <v>0</v>
      </c>
      <c r="H298">
        <v>0</v>
      </c>
      <c r="I298" s="7" t="s">
        <v>40</v>
      </c>
      <c r="J298">
        <v>0</v>
      </c>
    </row>
    <row r="299" spans="1:10" x14ac:dyDescent="0.25">
      <c r="A299">
        <v>298</v>
      </c>
      <c r="B299">
        <v>181951422</v>
      </c>
      <c r="C299" s="7" t="s">
        <v>39</v>
      </c>
      <c r="D299">
        <v>0</v>
      </c>
      <c r="E299" s="7">
        <f>worker_data[[#This Row],[employed]]-worker_data[[#This Row],[spent_amount]]</f>
        <v>0</v>
      </c>
      <c r="F299">
        <v>1.0434299999999999E-5</v>
      </c>
      <c r="G299">
        <v>0</v>
      </c>
      <c r="H299">
        <v>0</v>
      </c>
      <c r="I299" s="7" t="s">
        <v>40</v>
      </c>
      <c r="J299">
        <v>0</v>
      </c>
    </row>
    <row r="300" spans="1:10" x14ac:dyDescent="0.25">
      <c r="A300">
        <v>299</v>
      </c>
      <c r="B300">
        <v>287212904</v>
      </c>
      <c r="C300" s="7" t="s">
        <v>39</v>
      </c>
      <c r="D300">
        <v>0</v>
      </c>
      <c r="E300" s="7">
        <f>worker_data[[#This Row],[employed]]-worker_data[[#This Row],[spent_amount]]</f>
        <v>0</v>
      </c>
      <c r="F300">
        <v>1.0017000000000001E-5</v>
      </c>
      <c r="G300">
        <v>0</v>
      </c>
      <c r="H300">
        <v>0</v>
      </c>
      <c r="I300" s="7" t="s">
        <v>40</v>
      </c>
      <c r="J300">
        <v>0</v>
      </c>
    </row>
    <row r="301" spans="1:10" x14ac:dyDescent="0.25">
      <c r="A301">
        <v>300</v>
      </c>
      <c r="B301">
        <v>453296175</v>
      </c>
      <c r="C301" s="7" t="s">
        <v>39</v>
      </c>
      <c r="D301">
        <v>0</v>
      </c>
      <c r="E301" s="7">
        <f>worker_data[[#This Row],[employed]]-worker_data[[#This Row],[spent_amount]]</f>
        <v>0</v>
      </c>
      <c r="F301">
        <v>9.61628E-6</v>
      </c>
      <c r="G301">
        <v>0</v>
      </c>
      <c r="H301">
        <v>0</v>
      </c>
      <c r="I301" s="7" t="s">
        <v>40</v>
      </c>
      <c r="J301">
        <v>0</v>
      </c>
    </row>
    <row r="302" spans="1:10" x14ac:dyDescent="0.25">
      <c r="A302">
        <v>301</v>
      </c>
      <c r="B302">
        <v>631321981</v>
      </c>
      <c r="C302" s="7" t="s">
        <v>39</v>
      </c>
      <c r="D302">
        <v>0</v>
      </c>
      <c r="E302" s="7">
        <f>worker_data[[#This Row],[employed]]-worker_data[[#This Row],[spent_amount]]</f>
        <v>0</v>
      </c>
      <c r="F302">
        <v>9.2316199999999995E-6</v>
      </c>
      <c r="G302">
        <v>0</v>
      </c>
      <c r="H302">
        <v>0</v>
      </c>
      <c r="I302" s="7" t="s">
        <v>40</v>
      </c>
      <c r="J302">
        <v>0</v>
      </c>
    </row>
    <row r="303" spans="1:10" x14ac:dyDescent="0.25">
      <c r="A303">
        <v>302</v>
      </c>
      <c r="B303">
        <v>114267695</v>
      </c>
      <c r="C303" s="7" t="s">
        <v>39</v>
      </c>
      <c r="D303">
        <v>0</v>
      </c>
      <c r="E303" s="7">
        <f>worker_data[[#This Row],[employed]]-worker_data[[#This Row],[spent_amount]]</f>
        <v>0</v>
      </c>
      <c r="F303">
        <v>8.8623600000000006E-6</v>
      </c>
      <c r="G303">
        <v>0</v>
      </c>
      <c r="H303">
        <v>0</v>
      </c>
      <c r="I303" s="7" t="s">
        <v>40</v>
      </c>
      <c r="J303">
        <v>0</v>
      </c>
    </row>
    <row r="304" spans="1:10" x14ac:dyDescent="0.25">
      <c r="A304">
        <v>303</v>
      </c>
      <c r="B304">
        <v>879777812</v>
      </c>
      <c r="C304" s="7" t="s">
        <v>39</v>
      </c>
      <c r="D304">
        <v>0</v>
      </c>
      <c r="E304" s="7">
        <f>worker_data[[#This Row],[employed]]-worker_data[[#This Row],[spent_amount]]</f>
        <v>0</v>
      </c>
      <c r="F304">
        <v>8.5078699999999999E-6</v>
      </c>
      <c r="G304">
        <v>0</v>
      </c>
      <c r="H304">
        <v>0</v>
      </c>
      <c r="I304" s="7" t="s">
        <v>40</v>
      </c>
      <c r="J304">
        <v>0</v>
      </c>
    </row>
    <row r="305" spans="1:10" x14ac:dyDescent="0.25">
      <c r="A305">
        <v>304</v>
      </c>
      <c r="B305">
        <v>353380199</v>
      </c>
      <c r="C305" s="7" t="s">
        <v>39</v>
      </c>
      <c r="D305">
        <v>0</v>
      </c>
      <c r="E305" s="7">
        <f>worker_data[[#This Row],[employed]]-worker_data[[#This Row],[spent_amount]]</f>
        <v>0</v>
      </c>
      <c r="F305">
        <v>8.1675499999999994E-6</v>
      </c>
      <c r="G305">
        <v>0</v>
      </c>
      <c r="H305">
        <v>0</v>
      </c>
      <c r="I305" s="7" t="s">
        <v>40</v>
      </c>
      <c r="J305">
        <v>0</v>
      </c>
    </row>
    <row r="306" spans="1:10" x14ac:dyDescent="0.25">
      <c r="A306">
        <v>305</v>
      </c>
      <c r="B306">
        <v>668603093</v>
      </c>
      <c r="C306" s="7" t="s">
        <v>39</v>
      </c>
      <c r="D306">
        <v>0</v>
      </c>
      <c r="E306" s="7">
        <f>worker_data[[#This Row],[employed]]-worker_data[[#This Row],[spent_amount]]</f>
        <v>0</v>
      </c>
      <c r="F306">
        <v>7.8408499999999996E-6</v>
      </c>
      <c r="G306">
        <v>0</v>
      </c>
      <c r="H306">
        <v>0</v>
      </c>
      <c r="I306" s="7" t="s">
        <v>40</v>
      </c>
      <c r="J306">
        <v>0</v>
      </c>
    </row>
    <row r="307" spans="1:10" x14ac:dyDescent="0.25">
      <c r="A307">
        <v>306</v>
      </c>
      <c r="B307">
        <v>169657502</v>
      </c>
      <c r="C307" s="7" t="s">
        <v>39</v>
      </c>
      <c r="D307">
        <v>0</v>
      </c>
      <c r="E307" s="7">
        <f>worker_data[[#This Row],[employed]]-worker_data[[#This Row],[spent_amount]]</f>
        <v>0</v>
      </c>
      <c r="F307">
        <v>7.5272200000000002E-6</v>
      </c>
      <c r="G307">
        <v>0</v>
      </c>
      <c r="H307">
        <v>0</v>
      </c>
      <c r="I307" s="7" t="s">
        <v>40</v>
      </c>
      <c r="J307">
        <v>0</v>
      </c>
    </row>
    <row r="308" spans="1:10" x14ac:dyDescent="0.25">
      <c r="A308">
        <v>307</v>
      </c>
      <c r="B308">
        <v>530007217</v>
      </c>
      <c r="C308" s="7" t="s">
        <v>39</v>
      </c>
      <c r="D308">
        <v>0</v>
      </c>
      <c r="E308" s="7">
        <f>worker_data[[#This Row],[employed]]-worker_data[[#This Row],[spent_amount]]</f>
        <v>0</v>
      </c>
      <c r="F308">
        <v>7.2261299999999997E-6</v>
      </c>
      <c r="G308">
        <v>0</v>
      </c>
      <c r="H308">
        <v>0</v>
      </c>
      <c r="I308" s="7" t="s">
        <v>40</v>
      </c>
      <c r="J308">
        <v>0</v>
      </c>
    </row>
    <row r="309" spans="1:10" x14ac:dyDescent="0.25">
      <c r="A309">
        <v>308</v>
      </c>
      <c r="B309">
        <v>43178698</v>
      </c>
      <c r="C309" s="7" t="s">
        <v>39</v>
      </c>
      <c r="D309">
        <v>0</v>
      </c>
      <c r="E309" s="7">
        <f>worker_data[[#This Row],[employed]]-worker_data[[#This Row],[spent_amount]]</f>
        <v>0</v>
      </c>
      <c r="F309">
        <v>6.9370800000000003E-6</v>
      </c>
      <c r="G309">
        <v>0</v>
      </c>
      <c r="H309">
        <v>0</v>
      </c>
      <c r="I309" s="7" t="s">
        <v>40</v>
      </c>
      <c r="J309">
        <v>0</v>
      </c>
    </row>
    <row r="310" spans="1:10" x14ac:dyDescent="0.25">
      <c r="A310">
        <v>309</v>
      </c>
      <c r="B310">
        <v>89221786</v>
      </c>
      <c r="C310" s="7" t="s">
        <v>39</v>
      </c>
      <c r="D310">
        <v>0</v>
      </c>
      <c r="E310" s="7">
        <f>worker_data[[#This Row],[employed]]-worker_data[[#This Row],[spent_amount]]</f>
        <v>0</v>
      </c>
      <c r="F310">
        <v>6.6595999999999997E-6</v>
      </c>
      <c r="G310">
        <v>0</v>
      </c>
      <c r="H310">
        <v>0</v>
      </c>
      <c r="I310" s="7" t="s">
        <v>40</v>
      </c>
      <c r="J310">
        <v>0</v>
      </c>
    </row>
    <row r="311" spans="1:10" x14ac:dyDescent="0.25">
      <c r="A311">
        <v>310</v>
      </c>
      <c r="B311">
        <v>361570699</v>
      </c>
      <c r="C311" s="7" t="s">
        <v>39</v>
      </c>
      <c r="D311">
        <v>0</v>
      </c>
      <c r="E311" s="7">
        <f>worker_data[[#This Row],[employed]]-worker_data[[#This Row],[spent_amount]]</f>
        <v>0</v>
      </c>
      <c r="F311">
        <v>6.3932099999999999E-6</v>
      </c>
      <c r="G311">
        <v>0</v>
      </c>
      <c r="H311">
        <v>0</v>
      </c>
      <c r="I311" s="7" t="s">
        <v>40</v>
      </c>
      <c r="J311">
        <v>0</v>
      </c>
    </row>
    <row r="312" spans="1:10" x14ac:dyDescent="0.25">
      <c r="A312">
        <v>311</v>
      </c>
      <c r="B312">
        <v>334193250</v>
      </c>
      <c r="C312" s="7" t="s">
        <v>39</v>
      </c>
      <c r="D312">
        <v>0</v>
      </c>
      <c r="E312" s="7">
        <f>worker_data[[#This Row],[employed]]-worker_data[[#This Row],[spent_amount]]</f>
        <v>0</v>
      </c>
      <c r="F312">
        <v>6.1374900000000003E-6</v>
      </c>
      <c r="G312">
        <v>0</v>
      </c>
      <c r="H312">
        <v>0</v>
      </c>
      <c r="I312" s="7" t="s">
        <v>40</v>
      </c>
      <c r="J312">
        <v>0</v>
      </c>
    </row>
    <row r="313" spans="1:10" x14ac:dyDescent="0.25">
      <c r="A313">
        <v>312</v>
      </c>
      <c r="B313">
        <v>580099953</v>
      </c>
      <c r="C313" s="7" t="s">
        <v>39</v>
      </c>
      <c r="D313">
        <v>0</v>
      </c>
      <c r="E313" s="7">
        <f>worker_data[[#This Row],[employed]]-worker_data[[#This Row],[spent_amount]]</f>
        <v>0</v>
      </c>
      <c r="F313">
        <v>5.8919899999999998E-6</v>
      </c>
      <c r="G313">
        <v>0</v>
      </c>
      <c r="H313">
        <v>0</v>
      </c>
      <c r="I313" s="7" t="s">
        <v>40</v>
      </c>
      <c r="J313">
        <v>0</v>
      </c>
    </row>
    <row r="314" spans="1:10" x14ac:dyDescent="0.25">
      <c r="A314">
        <v>313</v>
      </c>
      <c r="B314">
        <v>78991511</v>
      </c>
      <c r="C314" s="7" t="s">
        <v>39</v>
      </c>
      <c r="D314">
        <v>0</v>
      </c>
      <c r="E314" s="7">
        <f>worker_data[[#This Row],[employed]]-worker_data[[#This Row],[spent_amount]]</f>
        <v>0</v>
      </c>
      <c r="F314">
        <v>5.6563100000000002E-6</v>
      </c>
      <c r="G314">
        <v>0</v>
      </c>
      <c r="H314">
        <v>0</v>
      </c>
      <c r="I314" s="7" t="s">
        <v>40</v>
      </c>
      <c r="J314">
        <v>0</v>
      </c>
    </row>
    <row r="315" spans="1:10" x14ac:dyDescent="0.25">
      <c r="A315">
        <v>314</v>
      </c>
      <c r="B315">
        <v>586953022</v>
      </c>
      <c r="C315" s="7" t="s">
        <v>39</v>
      </c>
      <c r="D315">
        <v>0</v>
      </c>
      <c r="E315" s="7">
        <f>worker_data[[#This Row],[employed]]-worker_data[[#This Row],[spent_amount]]</f>
        <v>0</v>
      </c>
      <c r="F315">
        <v>5.4300499999999998E-6</v>
      </c>
      <c r="G315">
        <v>0</v>
      </c>
      <c r="H315">
        <v>0</v>
      </c>
      <c r="I315" s="7" t="s">
        <v>40</v>
      </c>
      <c r="J315">
        <v>0</v>
      </c>
    </row>
    <row r="316" spans="1:10" x14ac:dyDescent="0.25">
      <c r="A316">
        <v>315</v>
      </c>
      <c r="B316">
        <v>829512702</v>
      </c>
      <c r="C316" s="7" t="s">
        <v>39</v>
      </c>
      <c r="D316">
        <v>0</v>
      </c>
      <c r="E316" s="7">
        <f>worker_data[[#This Row],[employed]]-worker_data[[#This Row],[spent_amount]]</f>
        <v>0</v>
      </c>
      <c r="F316">
        <v>5.2128500000000004E-6</v>
      </c>
      <c r="G316">
        <v>0</v>
      </c>
      <c r="H316">
        <v>0</v>
      </c>
      <c r="I316" s="7" t="s">
        <v>40</v>
      </c>
      <c r="J316">
        <v>0</v>
      </c>
    </row>
    <row r="317" spans="1:10" x14ac:dyDescent="0.25">
      <c r="A317">
        <v>316</v>
      </c>
      <c r="B317">
        <v>613815557</v>
      </c>
      <c r="C317" s="7" t="s">
        <v>39</v>
      </c>
      <c r="D317">
        <v>0</v>
      </c>
      <c r="E317" s="7">
        <f>worker_data[[#This Row],[employed]]-worker_data[[#This Row],[spent_amount]]</f>
        <v>0</v>
      </c>
      <c r="F317">
        <v>5.0043399999999999E-6</v>
      </c>
      <c r="G317">
        <v>0</v>
      </c>
      <c r="H317">
        <v>0</v>
      </c>
      <c r="I317" s="7" t="s">
        <v>40</v>
      </c>
      <c r="J317">
        <v>0</v>
      </c>
    </row>
    <row r="318" spans="1:10" x14ac:dyDescent="0.25">
      <c r="A318">
        <v>317</v>
      </c>
      <c r="B318">
        <v>914405504</v>
      </c>
      <c r="C318" s="7" t="s">
        <v>39</v>
      </c>
      <c r="D318">
        <v>0</v>
      </c>
      <c r="E318" s="7">
        <f>worker_data[[#This Row],[employed]]-worker_data[[#This Row],[spent_amount]]</f>
        <v>0</v>
      </c>
      <c r="F318">
        <v>4.8041600000000003E-6</v>
      </c>
      <c r="G318">
        <v>0</v>
      </c>
      <c r="H318">
        <v>0</v>
      </c>
      <c r="I318" s="7" t="s">
        <v>40</v>
      </c>
      <c r="J318">
        <v>0</v>
      </c>
    </row>
    <row r="319" spans="1:10" x14ac:dyDescent="0.25">
      <c r="A319">
        <v>318</v>
      </c>
      <c r="B319">
        <v>293035967</v>
      </c>
      <c r="C319" s="7" t="s">
        <v>39</v>
      </c>
      <c r="D319">
        <v>0</v>
      </c>
      <c r="E319" s="7">
        <f>worker_data[[#This Row],[employed]]-worker_data[[#This Row],[spent_amount]]</f>
        <v>0</v>
      </c>
      <c r="F319">
        <v>4.6120000000000001E-6</v>
      </c>
      <c r="G319">
        <v>0</v>
      </c>
      <c r="H319">
        <v>0</v>
      </c>
      <c r="I319" s="7" t="s">
        <v>40</v>
      </c>
      <c r="J319">
        <v>0</v>
      </c>
    </row>
    <row r="320" spans="1:10" x14ac:dyDescent="0.25">
      <c r="A320">
        <v>319</v>
      </c>
      <c r="B320">
        <v>947994935</v>
      </c>
      <c r="C320" s="7" t="s">
        <v>39</v>
      </c>
      <c r="D320">
        <v>0</v>
      </c>
      <c r="E320" s="7">
        <f>worker_data[[#This Row],[employed]]-worker_data[[#This Row],[spent_amount]]</f>
        <v>0</v>
      </c>
      <c r="F320">
        <v>4.4275200000000001E-6</v>
      </c>
      <c r="G320">
        <v>0</v>
      </c>
      <c r="H320">
        <v>0</v>
      </c>
      <c r="I320" s="7" t="s">
        <v>40</v>
      </c>
      <c r="J320">
        <v>0</v>
      </c>
    </row>
    <row r="321" spans="1:10" x14ac:dyDescent="0.25">
      <c r="A321">
        <v>320</v>
      </c>
      <c r="B321">
        <v>201694033</v>
      </c>
      <c r="C321" s="7" t="s">
        <v>39</v>
      </c>
      <c r="D321">
        <v>0</v>
      </c>
      <c r="E321" s="7">
        <f>worker_data[[#This Row],[employed]]-worker_data[[#This Row],[spent_amount]]</f>
        <v>0</v>
      </c>
      <c r="F321">
        <v>4.2504199999999997E-6</v>
      </c>
      <c r="G321">
        <v>0</v>
      </c>
      <c r="H321">
        <v>0</v>
      </c>
      <c r="I321" s="7" t="s">
        <v>40</v>
      </c>
      <c r="J321">
        <v>0</v>
      </c>
    </row>
    <row r="322" spans="1:10" x14ac:dyDescent="0.25">
      <c r="A322">
        <v>321</v>
      </c>
      <c r="B322">
        <v>289824202</v>
      </c>
      <c r="C322" s="7" t="s">
        <v>39</v>
      </c>
      <c r="D322">
        <v>0</v>
      </c>
      <c r="E322" s="7">
        <f>worker_data[[#This Row],[employed]]-worker_data[[#This Row],[spent_amount]]</f>
        <v>0</v>
      </c>
      <c r="F322">
        <v>4.0803999999999999E-6</v>
      </c>
      <c r="G322">
        <v>0</v>
      </c>
      <c r="H322">
        <v>0</v>
      </c>
      <c r="I322" s="7" t="s">
        <v>40</v>
      </c>
      <c r="J322">
        <v>0</v>
      </c>
    </row>
    <row r="323" spans="1:10" x14ac:dyDescent="0.25">
      <c r="A323">
        <v>322</v>
      </c>
      <c r="B323">
        <v>138552628</v>
      </c>
      <c r="C323" s="7" t="s">
        <v>39</v>
      </c>
      <c r="D323">
        <v>0</v>
      </c>
      <c r="E323" s="7">
        <f>worker_data[[#This Row],[employed]]-worker_data[[#This Row],[spent_amount]]</f>
        <v>0</v>
      </c>
      <c r="F323">
        <v>3.9171899999999997E-6</v>
      </c>
      <c r="G323">
        <v>0</v>
      </c>
      <c r="H323">
        <v>0</v>
      </c>
      <c r="I323" s="7" t="s">
        <v>40</v>
      </c>
      <c r="J323">
        <v>0</v>
      </c>
    </row>
    <row r="324" spans="1:10" x14ac:dyDescent="0.25">
      <c r="A324">
        <v>323</v>
      </c>
      <c r="B324">
        <v>26493040</v>
      </c>
      <c r="C324" s="7" t="s">
        <v>39</v>
      </c>
      <c r="D324">
        <v>0</v>
      </c>
      <c r="E324" s="7">
        <f>worker_data[[#This Row],[employed]]-worker_data[[#This Row],[spent_amount]]</f>
        <v>0</v>
      </c>
      <c r="F324">
        <v>3.7604999999999998E-6</v>
      </c>
      <c r="G324">
        <v>0</v>
      </c>
      <c r="H324">
        <v>0</v>
      </c>
      <c r="I324" s="7" t="s">
        <v>40</v>
      </c>
      <c r="J324">
        <v>0</v>
      </c>
    </row>
    <row r="325" spans="1:10" x14ac:dyDescent="0.25">
      <c r="A325">
        <v>324</v>
      </c>
      <c r="B325">
        <v>552523840</v>
      </c>
      <c r="C325" s="7" t="s">
        <v>39</v>
      </c>
      <c r="D325">
        <v>0</v>
      </c>
      <c r="E325" s="7">
        <f>worker_data[[#This Row],[employed]]-worker_data[[#This Row],[spent_amount]]</f>
        <v>0</v>
      </c>
      <c r="F325">
        <v>3.6100799999999998E-6</v>
      </c>
      <c r="G325">
        <v>0</v>
      </c>
      <c r="H325">
        <v>0</v>
      </c>
      <c r="I325" s="7" t="s">
        <v>40</v>
      </c>
      <c r="J325">
        <v>0</v>
      </c>
    </row>
    <row r="326" spans="1:10" x14ac:dyDescent="0.25">
      <c r="A326">
        <v>325</v>
      </c>
      <c r="B326">
        <v>772020571</v>
      </c>
      <c r="C326" s="7" t="s">
        <v>39</v>
      </c>
      <c r="D326">
        <v>0</v>
      </c>
      <c r="E326" s="7">
        <f>worker_data[[#This Row],[employed]]-worker_data[[#This Row],[spent_amount]]</f>
        <v>0</v>
      </c>
      <c r="F326">
        <v>3.4656700000000001E-6</v>
      </c>
      <c r="G326">
        <v>0</v>
      </c>
      <c r="H326">
        <v>0</v>
      </c>
      <c r="I326" s="7" t="s">
        <v>40</v>
      </c>
      <c r="J326">
        <v>0</v>
      </c>
    </row>
    <row r="327" spans="1:10" x14ac:dyDescent="0.25">
      <c r="A327">
        <v>326</v>
      </c>
      <c r="B327">
        <v>323803752</v>
      </c>
      <c r="C327" s="7" t="s">
        <v>39</v>
      </c>
      <c r="D327">
        <v>0</v>
      </c>
      <c r="E327" s="7">
        <f>worker_data[[#This Row],[employed]]-worker_data[[#This Row],[spent_amount]]</f>
        <v>0</v>
      </c>
      <c r="F327">
        <v>3.3270500000000002E-6</v>
      </c>
      <c r="G327">
        <v>0</v>
      </c>
      <c r="H327">
        <v>0</v>
      </c>
      <c r="I327" s="7" t="s">
        <v>40</v>
      </c>
      <c r="J327">
        <v>0</v>
      </c>
    </row>
    <row r="328" spans="1:10" x14ac:dyDescent="0.25">
      <c r="A328">
        <v>327</v>
      </c>
      <c r="B328">
        <v>764219511</v>
      </c>
      <c r="C328" s="7" t="s">
        <v>39</v>
      </c>
      <c r="D328">
        <v>0</v>
      </c>
      <c r="E328" s="7">
        <f>worker_data[[#This Row],[employed]]-worker_data[[#This Row],[spent_amount]]</f>
        <v>0</v>
      </c>
      <c r="F328">
        <v>3.1939699999999998E-6</v>
      </c>
      <c r="G328">
        <v>0</v>
      </c>
      <c r="H328">
        <v>0</v>
      </c>
      <c r="I328" s="7" t="s">
        <v>40</v>
      </c>
      <c r="J328">
        <v>0</v>
      </c>
    </row>
    <row r="329" spans="1:10" x14ac:dyDescent="0.25">
      <c r="A329">
        <v>328</v>
      </c>
      <c r="B329">
        <v>544166387</v>
      </c>
      <c r="C329" s="7" t="s">
        <v>39</v>
      </c>
      <c r="D329">
        <v>0</v>
      </c>
      <c r="E329" s="7">
        <f>worker_data[[#This Row],[employed]]-worker_data[[#This Row],[spent_amount]]</f>
        <v>0</v>
      </c>
      <c r="F329">
        <v>3.0662099999999998E-6</v>
      </c>
      <c r="G329">
        <v>0</v>
      </c>
      <c r="H329">
        <v>0</v>
      </c>
      <c r="I329" s="7" t="s">
        <v>40</v>
      </c>
      <c r="J329">
        <v>0</v>
      </c>
    </row>
    <row r="330" spans="1:10" x14ac:dyDescent="0.25">
      <c r="A330">
        <v>329</v>
      </c>
      <c r="B330">
        <v>848623397</v>
      </c>
      <c r="C330" s="7" t="s">
        <v>39</v>
      </c>
      <c r="D330">
        <v>0</v>
      </c>
      <c r="E330" s="7">
        <f>worker_data[[#This Row],[employed]]-worker_data[[#This Row],[spent_amount]]</f>
        <v>0</v>
      </c>
      <c r="F330">
        <v>2.9435599999999998E-6</v>
      </c>
      <c r="G330">
        <v>0</v>
      </c>
      <c r="H330">
        <v>0</v>
      </c>
      <c r="I330" s="7" t="s">
        <v>40</v>
      </c>
      <c r="J330">
        <v>0</v>
      </c>
    </row>
    <row r="331" spans="1:10" x14ac:dyDescent="0.25">
      <c r="A331">
        <v>330</v>
      </c>
      <c r="B331">
        <v>17130638</v>
      </c>
      <c r="C331" s="7" t="s">
        <v>39</v>
      </c>
      <c r="D331">
        <v>0</v>
      </c>
      <c r="E331" s="7">
        <f>worker_data[[#This Row],[employed]]-worker_data[[#This Row],[spent_amount]]</f>
        <v>0</v>
      </c>
      <c r="F331">
        <v>2.8258199999999998E-6</v>
      </c>
      <c r="G331">
        <v>0</v>
      </c>
      <c r="H331">
        <v>0</v>
      </c>
      <c r="I331" s="7" t="s">
        <v>40</v>
      </c>
      <c r="J331">
        <v>0</v>
      </c>
    </row>
    <row r="332" spans="1:10" x14ac:dyDescent="0.25">
      <c r="A332">
        <v>331</v>
      </c>
      <c r="B332">
        <v>134623092</v>
      </c>
      <c r="C332" s="7" t="s">
        <v>39</v>
      </c>
      <c r="D332">
        <v>0</v>
      </c>
      <c r="E332" s="7">
        <f>worker_data[[#This Row],[employed]]-worker_data[[#This Row],[spent_amount]]</f>
        <v>0</v>
      </c>
      <c r="F332">
        <v>2.71278E-6</v>
      </c>
      <c r="G332">
        <v>0</v>
      </c>
      <c r="H332">
        <v>0</v>
      </c>
      <c r="I332" s="7" t="s">
        <v>40</v>
      </c>
      <c r="J332">
        <v>0</v>
      </c>
    </row>
    <row r="333" spans="1:10" x14ac:dyDescent="0.25">
      <c r="A333">
        <v>332</v>
      </c>
      <c r="B333">
        <v>314548343</v>
      </c>
      <c r="C333" s="7" t="s">
        <v>39</v>
      </c>
      <c r="D333">
        <v>0</v>
      </c>
      <c r="E333" s="7">
        <f>worker_data[[#This Row],[employed]]-worker_data[[#This Row],[spent_amount]]</f>
        <v>0</v>
      </c>
      <c r="F333">
        <v>2.6042699999999998E-6</v>
      </c>
      <c r="G333">
        <v>0</v>
      </c>
      <c r="H333">
        <v>0</v>
      </c>
      <c r="I333" s="7" t="s">
        <v>40</v>
      </c>
      <c r="J333">
        <v>0</v>
      </c>
    </row>
    <row r="334" spans="1:10" x14ac:dyDescent="0.25">
      <c r="A334">
        <v>333</v>
      </c>
      <c r="B334">
        <v>153685163</v>
      </c>
      <c r="C334" s="7" t="s">
        <v>39</v>
      </c>
      <c r="D334">
        <v>0</v>
      </c>
      <c r="E334" s="7">
        <f>worker_data[[#This Row],[employed]]-worker_data[[#This Row],[spent_amount]]</f>
        <v>0</v>
      </c>
      <c r="F334">
        <v>2.5001E-6</v>
      </c>
      <c r="G334">
        <v>0</v>
      </c>
      <c r="H334">
        <v>0</v>
      </c>
      <c r="I334" s="7" t="s">
        <v>40</v>
      </c>
      <c r="J334">
        <v>0</v>
      </c>
    </row>
    <row r="335" spans="1:10" x14ac:dyDescent="0.25">
      <c r="A335">
        <v>334</v>
      </c>
      <c r="B335">
        <v>688105255</v>
      </c>
      <c r="C335" s="7" t="s">
        <v>39</v>
      </c>
      <c r="D335">
        <v>0</v>
      </c>
      <c r="E335" s="7">
        <f>worker_data[[#This Row],[employed]]-worker_data[[#This Row],[spent_amount]]</f>
        <v>0</v>
      </c>
      <c r="F335">
        <v>2.4001000000000001E-6</v>
      </c>
      <c r="G335">
        <v>0</v>
      </c>
      <c r="H335">
        <v>0</v>
      </c>
      <c r="I335" s="7" t="s">
        <v>40</v>
      </c>
      <c r="J335">
        <v>0</v>
      </c>
    </row>
    <row r="336" spans="1:10" x14ac:dyDescent="0.25">
      <c r="A336">
        <v>335</v>
      </c>
      <c r="B336">
        <v>785501945</v>
      </c>
      <c r="C336" s="7" t="s">
        <v>39</v>
      </c>
      <c r="D336">
        <v>0</v>
      </c>
      <c r="E336" s="7">
        <f>worker_data[[#This Row],[employed]]-worker_data[[#This Row],[spent_amount]]</f>
        <v>0</v>
      </c>
      <c r="F336">
        <v>2.3040899999999998E-6</v>
      </c>
      <c r="G336">
        <v>0</v>
      </c>
      <c r="H336">
        <v>0</v>
      </c>
      <c r="I336" s="7" t="s">
        <v>40</v>
      </c>
      <c r="J336">
        <v>0</v>
      </c>
    </row>
    <row r="337" spans="1:10" x14ac:dyDescent="0.25">
      <c r="A337">
        <v>336</v>
      </c>
      <c r="B337">
        <v>821573238</v>
      </c>
      <c r="C337" s="7" t="s">
        <v>39</v>
      </c>
      <c r="D337">
        <v>0</v>
      </c>
      <c r="E337" s="7">
        <f>worker_data[[#This Row],[employed]]-worker_data[[#This Row],[spent_amount]]</f>
        <v>0</v>
      </c>
      <c r="F337">
        <v>2.2119299999999999E-6</v>
      </c>
      <c r="G337">
        <v>0</v>
      </c>
      <c r="H337">
        <v>0</v>
      </c>
      <c r="I337" s="7" t="s">
        <v>40</v>
      </c>
      <c r="J337">
        <v>0</v>
      </c>
    </row>
    <row r="338" spans="1:10" x14ac:dyDescent="0.25">
      <c r="A338">
        <v>337</v>
      </c>
      <c r="B338">
        <v>954212337</v>
      </c>
      <c r="C338" s="7" t="s">
        <v>39</v>
      </c>
      <c r="D338">
        <v>0</v>
      </c>
      <c r="E338" s="7">
        <f>worker_data[[#This Row],[employed]]-worker_data[[#This Row],[spent_amount]]</f>
        <v>0</v>
      </c>
      <c r="F338">
        <v>2.12345E-6</v>
      </c>
      <c r="G338">
        <v>0</v>
      </c>
      <c r="H338">
        <v>0</v>
      </c>
      <c r="I338" s="7" t="s">
        <v>40</v>
      </c>
      <c r="J338">
        <v>0</v>
      </c>
    </row>
    <row r="339" spans="1:10" x14ac:dyDescent="0.25">
      <c r="A339">
        <v>338</v>
      </c>
      <c r="B339">
        <v>586670474</v>
      </c>
      <c r="C339" s="7" t="s">
        <v>39</v>
      </c>
      <c r="D339">
        <v>0</v>
      </c>
      <c r="E339" s="7">
        <f>worker_data[[#This Row],[employed]]-worker_data[[#This Row],[spent_amount]]</f>
        <v>0</v>
      </c>
      <c r="F339">
        <v>2.0385099999999999E-6</v>
      </c>
      <c r="G339">
        <v>0</v>
      </c>
      <c r="H339">
        <v>0</v>
      </c>
      <c r="I339" s="7" t="s">
        <v>40</v>
      </c>
      <c r="J339">
        <v>0</v>
      </c>
    </row>
    <row r="340" spans="1:10" x14ac:dyDescent="0.25">
      <c r="A340">
        <v>339</v>
      </c>
      <c r="B340">
        <v>89298551</v>
      </c>
      <c r="C340" s="7" t="s">
        <v>39</v>
      </c>
      <c r="D340">
        <v>0</v>
      </c>
      <c r="E340" s="7">
        <f>worker_data[[#This Row],[employed]]-worker_data[[#This Row],[spent_amount]]</f>
        <v>0</v>
      </c>
      <c r="F340">
        <v>1.9569700000000001E-6</v>
      </c>
      <c r="G340">
        <v>0</v>
      </c>
      <c r="H340">
        <v>0</v>
      </c>
      <c r="I340" s="7" t="s">
        <v>40</v>
      </c>
      <c r="J340">
        <v>0</v>
      </c>
    </row>
    <row r="341" spans="1:10" x14ac:dyDescent="0.25">
      <c r="A341">
        <v>340</v>
      </c>
      <c r="B341">
        <v>534840130</v>
      </c>
      <c r="C341" s="7" t="s">
        <v>39</v>
      </c>
      <c r="D341">
        <v>0</v>
      </c>
      <c r="E341" s="7">
        <f>worker_data[[#This Row],[employed]]-worker_data[[#This Row],[spent_amount]]</f>
        <v>0</v>
      </c>
      <c r="F341">
        <v>1.87869E-6</v>
      </c>
      <c r="G341">
        <v>0</v>
      </c>
      <c r="H341">
        <v>0</v>
      </c>
      <c r="I341" s="7" t="s">
        <v>40</v>
      </c>
      <c r="J341">
        <v>0</v>
      </c>
    </row>
    <row r="342" spans="1:10" x14ac:dyDescent="0.25">
      <c r="A342">
        <v>341</v>
      </c>
      <c r="B342">
        <v>241377480</v>
      </c>
      <c r="C342" s="7" t="s">
        <v>39</v>
      </c>
      <c r="D342">
        <v>0</v>
      </c>
      <c r="E342" s="7">
        <f>worker_data[[#This Row],[employed]]-worker_data[[#This Row],[spent_amount]]</f>
        <v>0</v>
      </c>
      <c r="F342">
        <v>1.8035500000000001E-6</v>
      </c>
      <c r="G342">
        <v>0</v>
      </c>
      <c r="H342">
        <v>0</v>
      </c>
      <c r="I342" s="7" t="s">
        <v>40</v>
      </c>
      <c r="J342">
        <v>0</v>
      </c>
    </row>
    <row r="343" spans="1:10" x14ac:dyDescent="0.25">
      <c r="A343">
        <v>342</v>
      </c>
      <c r="B343">
        <v>167270613</v>
      </c>
      <c r="C343" s="7" t="s">
        <v>39</v>
      </c>
      <c r="D343">
        <v>0</v>
      </c>
      <c r="E343" s="7">
        <f>worker_data[[#This Row],[employed]]-worker_data[[#This Row],[spent_amount]]</f>
        <v>0</v>
      </c>
      <c r="F343">
        <v>1.7314099999999999E-6</v>
      </c>
      <c r="G343">
        <v>0</v>
      </c>
      <c r="H343">
        <v>0</v>
      </c>
      <c r="I343" s="7" t="s">
        <v>40</v>
      </c>
      <c r="J343">
        <v>0</v>
      </c>
    </row>
    <row r="344" spans="1:10" x14ac:dyDescent="0.25">
      <c r="A344">
        <v>343</v>
      </c>
      <c r="B344">
        <v>573489589</v>
      </c>
      <c r="C344" s="7" t="s">
        <v>39</v>
      </c>
      <c r="D344">
        <v>0</v>
      </c>
      <c r="E344" s="7">
        <f>worker_data[[#This Row],[employed]]-worker_data[[#This Row],[spent_amount]]</f>
        <v>0</v>
      </c>
      <c r="F344">
        <v>1.66215E-6</v>
      </c>
      <c r="G344">
        <v>0</v>
      </c>
      <c r="H344">
        <v>0</v>
      </c>
      <c r="I344" s="7" t="s">
        <v>40</v>
      </c>
      <c r="J344">
        <v>0</v>
      </c>
    </row>
    <row r="345" spans="1:10" x14ac:dyDescent="0.25">
      <c r="A345">
        <v>344</v>
      </c>
      <c r="B345">
        <v>145372314</v>
      </c>
      <c r="C345" s="7" t="s">
        <v>39</v>
      </c>
      <c r="D345">
        <v>0</v>
      </c>
      <c r="E345" s="7">
        <f>worker_data[[#This Row],[employed]]-worker_data[[#This Row],[spent_amount]]</f>
        <v>0</v>
      </c>
      <c r="F345">
        <v>1.59566E-6</v>
      </c>
      <c r="G345">
        <v>0</v>
      </c>
      <c r="H345">
        <v>0</v>
      </c>
      <c r="I345" s="7" t="s">
        <v>40</v>
      </c>
      <c r="J345">
        <v>0</v>
      </c>
    </row>
    <row r="346" spans="1:10" x14ac:dyDescent="0.25">
      <c r="A346">
        <v>345</v>
      </c>
      <c r="B346">
        <v>148494787</v>
      </c>
      <c r="C346" s="7" t="s">
        <v>39</v>
      </c>
      <c r="D346">
        <v>0</v>
      </c>
      <c r="E346" s="7">
        <f>worker_data[[#This Row],[employed]]-worker_data[[#This Row],[spent_amount]]</f>
        <v>0</v>
      </c>
      <c r="F346">
        <v>1.5318399999999999E-6</v>
      </c>
      <c r="G346">
        <v>0</v>
      </c>
      <c r="H346">
        <v>0</v>
      </c>
      <c r="I346" s="7" t="s">
        <v>40</v>
      </c>
      <c r="J346">
        <v>0</v>
      </c>
    </row>
    <row r="347" spans="1:10" x14ac:dyDescent="0.25">
      <c r="A347">
        <v>346</v>
      </c>
      <c r="B347">
        <v>242648219</v>
      </c>
      <c r="C347" s="7" t="s">
        <v>39</v>
      </c>
      <c r="D347">
        <v>0</v>
      </c>
      <c r="E347" s="7">
        <f>worker_data[[#This Row],[employed]]-worker_data[[#This Row],[spent_amount]]</f>
        <v>0</v>
      </c>
      <c r="F347">
        <v>1.4705599999999999E-6</v>
      </c>
      <c r="G347">
        <v>0</v>
      </c>
      <c r="H347">
        <v>0</v>
      </c>
      <c r="I347" s="7" t="s">
        <v>40</v>
      </c>
      <c r="J347">
        <v>0</v>
      </c>
    </row>
    <row r="348" spans="1:10" x14ac:dyDescent="0.25">
      <c r="A348">
        <v>347</v>
      </c>
      <c r="B348">
        <v>787420277</v>
      </c>
      <c r="C348" s="7" t="s">
        <v>39</v>
      </c>
      <c r="D348">
        <v>0</v>
      </c>
      <c r="E348" s="7">
        <f>worker_data[[#This Row],[employed]]-worker_data[[#This Row],[spent_amount]]</f>
        <v>0</v>
      </c>
      <c r="F348">
        <v>1.41174E-6</v>
      </c>
      <c r="G348">
        <v>0</v>
      </c>
      <c r="H348">
        <v>0</v>
      </c>
      <c r="I348" s="7" t="s">
        <v>40</v>
      </c>
      <c r="J348">
        <v>0</v>
      </c>
    </row>
    <row r="349" spans="1:10" x14ac:dyDescent="0.25">
      <c r="A349">
        <v>348</v>
      </c>
      <c r="B349">
        <v>931893696</v>
      </c>
      <c r="C349" s="7" t="s">
        <v>39</v>
      </c>
      <c r="D349">
        <v>0</v>
      </c>
      <c r="E349" s="7">
        <f>worker_data[[#This Row],[employed]]-worker_data[[#This Row],[spent_amount]]</f>
        <v>0</v>
      </c>
      <c r="F349">
        <v>1.35527E-6</v>
      </c>
      <c r="G349">
        <v>0</v>
      </c>
      <c r="H349">
        <v>0</v>
      </c>
      <c r="I349" s="7" t="s">
        <v>40</v>
      </c>
      <c r="J349">
        <v>0</v>
      </c>
    </row>
    <row r="350" spans="1:10" x14ac:dyDescent="0.25">
      <c r="A350">
        <v>349</v>
      </c>
      <c r="B350">
        <v>374164145</v>
      </c>
      <c r="C350" s="7" t="s">
        <v>39</v>
      </c>
      <c r="D350">
        <v>0</v>
      </c>
      <c r="E350" s="7">
        <f>worker_data[[#This Row],[employed]]-worker_data[[#This Row],[spent_amount]]</f>
        <v>0</v>
      </c>
      <c r="F350">
        <v>1.3010600000000001E-6</v>
      </c>
      <c r="G350">
        <v>0</v>
      </c>
      <c r="H350">
        <v>0</v>
      </c>
      <c r="I350" s="7" t="s">
        <v>40</v>
      </c>
      <c r="J350">
        <v>0</v>
      </c>
    </row>
    <row r="351" spans="1:10" x14ac:dyDescent="0.25">
      <c r="A351">
        <v>350</v>
      </c>
      <c r="B351">
        <v>928000801</v>
      </c>
      <c r="C351" s="7" t="s">
        <v>39</v>
      </c>
      <c r="D351">
        <v>0</v>
      </c>
      <c r="E351" s="7">
        <f>worker_data[[#This Row],[employed]]-worker_data[[#This Row],[spent_amount]]</f>
        <v>0</v>
      </c>
      <c r="F351">
        <v>1.2490199999999999E-6</v>
      </c>
      <c r="G351">
        <v>0</v>
      </c>
      <c r="H351">
        <v>0</v>
      </c>
      <c r="I351" s="7" t="s">
        <v>40</v>
      </c>
      <c r="J351">
        <v>0</v>
      </c>
    </row>
    <row r="352" spans="1:10" x14ac:dyDescent="0.25">
      <c r="A352">
        <v>351</v>
      </c>
      <c r="B352">
        <v>264926215</v>
      </c>
      <c r="C352" s="7" t="s">
        <v>39</v>
      </c>
      <c r="D352">
        <v>0</v>
      </c>
      <c r="E352" s="7">
        <f>worker_data[[#This Row],[employed]]-worker_data[[#This Row],[spent_amount]]</f>
        <v>0</v>
      </c>
      <c r="F352">
        <v>1.19906E-6</v>
      </c>
      <c r="G352">
        <v>0</v>
      </c>
      <c r="H352">
        <v>0</v>
      </c>
      <c r="I352" s="7" t="s">
        <v>40</v>
      </c>
      <c r="J352">
        <v>0</v>
      </c>
    </row>
    <row r="353" spans="1:10" x14ac:dyDescent="0.25">
      <c r="A353">
        <v>352</v>
      </c>
      <c r="B353">
        <v>219710849</v>
      </c>
      <c r="C353" s="7" t="s">
        <v>39</v>
      </c>
      <c r="D353">
        <v>0</v>
      </c>
      <c r="E353" s="7">
        <f>worker_data[[#This Row],[employed]]-worker_data[[#This Row],[spent_amount]]</f>
        <v>0</v>
      </c>
      <c r="F353">
        <v>1.15109E-6</v>
      </c>
      <c r="G353">
        <v>0</v>
      </c>
      <c r="H353">
        <v>0</v>
      </c>
      <c r="I353" s="7" t="s">
        <v>40</v>
      </c>
      <c r="J353">
        <v>0</v>
      </c>
    </row>
    <row r="354" spans="1:10" x14ac:dyDescent="0.25">
      <c r="A354">
        <v>353</v>
      </c>
      <c r="B354">
        <v>64860405</v>
      </c>
      <c r="C354" s="7" t="s">
        <v>39</v>
      </c>
      <c r="D354">
        <v>0</v>
      </c>
      <c r="E354" s="7">
        <f>worker_data[[#This Row],[employed]]-worker_data[[#This Row],[spent_amount]]</f>
        <v>0</v>
      </c>
      <c r="F354">
        <v>1.1050499999999999E-6</v>
      </c>
      <c r="G354">
        <v>0</v>
      </c>
      <c r="H354">
        <v>0</v>
      </c>
      <c r="I354" s="7" t="s">
        <v>40</v>
      </c>
      <c r="J354">
        <v>0</v>
      </c>
    </row>
    <row r="355" spans="1:10" x14ac:dyDescent="0.25">
      <c r="A355">
        <v>354</v>
      </c>
      <c r="B355">
        <v>913204943</v>
      </c>
      <c r="C355" s="7" t="s">
        <v>39</v>
      </c>
      <c r="D355">
        <v>0</v>
      </c>
      <c r="E355" s="7">
        <f>worker_data[[#This Row],[employed]]-worker_data[[#This Row],[spent_amount]]</f>
        <v>0</v>
      </c>
      <c r="F355">
        <v>1.06085E-6</v>
      </c>
      <c r="G355">
        <v>0</v>
      </c>
      <c r="H355">
        <v>0</v>
      </c>
      <c r="I355" s="7" t="s">
        <v>40</v>
      </c>
      <c r="J355">
        <v>0</v>
      </c>
    </row>
    <row r="356" spans="1:10" x14ac:dyDescent="0.25">
      <c r="A356">
        <v>355</v>
      </c>
      <c r="B356">
        <v>918431205</v>
      </c>
      <c r="C356" s="7" t="s">
        <v>39</v>
      </c>
      <c r="D356">
        <v>0</v>
      </c>
      <c r="E356" s="7">
        <f>worker_data[[#This Row],[employed]]-worker_data[[#This Row],[spent_amount]]</f>
        <v>0</v>
      </c>
      <c r="F356">
        <v>1.0184099999999999E-6</v>
      </c>
      <c r="G356">
        <v>0</v>
      </c>
      <c r="H356">
        <v>0</v>
      </c>
      <c r="I356" s="7" t="s">
        <v>40</v>
      </c>
      <c r="J356">
        <v>0</v>
      </c>
    </row>
    <row r="357" spans="1:10" x14ac:dyDescent="0.25">
      <c r="A357">
        <v>356</v>
      </c>
      <c r="B357">
        <v>382940412</v>
      </c>
      <c r="C357" s="7" t="s">
        <v>39</v>
      </c>
      <c r="D357">
        <v>0</v>
      </c>
      <c r="E357" s="7">
        <f>worker_data[[#This Row],[employed]]-worker_data[[#This Row],[spent_amount]]</f>
        <v>0</v>
      </c>
      <c r="F357">
        <v>9.77678E-7</v>
      </c>
      <c r="G357">
        <v>0</v>
      </c>
      <c r="H357">
        <v>0</v>
      </c>
      <c r="I357" s="7" t="s">
        <v>40</v>
      </c>
      <c r="J357">
        <v>0</v>
      </c>
    </row>
    <row r="358" spans="1:10" x14ac:dyDescent="0.25">
      <c r="A358">
        <v>357</v>
      </c>
      <c r="B358">
        <v>496851344</v>
      </c>
      <c r="C358" s="7" t="s">
        <v>39</v>
      </c>
      <c r="D358">
        <v>0</v>
      </c>
      <c r="E358" s="7">
        <f>worker_data[[#This Row],[employed]]-worker_data[[#This Row],[spent_amount]]</f>
        <v>0</v>
      </c>
      <c r="F358">
        <v>9.3857100000000005E-7</v>
      </c>
      <c r="G358">
        <v>0</v>
      </c>
      <c r="H358">
        <v>0</v>
      </c>
      <c r="I358" s="7" t="s">
        <v>40</v>
      </c>
      <c r="J358">
        <v>0</v>
      </c>
    </row>
    <row r="359" spans="1:10" x14ac:dyDescent="0.25">
      <c r="A359">
        <v>358</v>
      </c>
      <c r="B359">
        <v>189440161</v>
      </c>
      <c r="C359" s="7" t="s">
        <v>39</v>
      </c>
      <c r="D359">
        <v>0</v>
      </c>
      <c r="E359" s="7">
        <f>worker_data[[#This Row],[employed]]-worker_data[[#This Row],[spent_amount]]</f>
        <v>0</v>
      </c>
      <c r="F359">
        <v>9.0102799999999996E-7</v>
      </c>
      <c r="G359">
        <v>0</v>
      </c>
      <c r="H359">
        <v>0</v>
      </c>
      <c r="I359" s="7" t="s">
        <v>40</v>
      </c>
      <c r="J359">
        <v>0</v>
      </c>
    </row>
    <row r="360" spans="1:10" x14ac:dyDescent="0.25">
      <c r="A360">
        <v>359</v>
      </c>
      <c r="B360">
        <v>817008087</v>
      </c>
      <c r="C360" s="7" t="s">
        <v>39</v>
      </c>
      <c r="D360">
        <v>0</v>
      </c>
      <c r="E360" s="7">
        <f>worker_data[[#This Row],[employed]]-worker_data[[#This Row],[spent_amount]]</f>
        <v>0</v>
      </c>
      <c r="F360">
        <v>8.6498700000000004E-7</v>
      </c>
      <c r="G360">
        <v>0</v>
      </c>
      <c r="H360">
        <v>0</v>
      </c>
      <c r="I360" s="7" t="s">
        <v>40</v>
      </c>
      <c r="J360">
        <v>0</v>
      </c>
    </row>
    <row r="361" spans="1:10" x14ac:dyDescent="0.25">
      <c r="A361">
        <v>360</v>
      </c>
      <c r="B361">
        <v>709883471</v>
      </c>
      <c r="C361" s="7" t="s">
        <v>39</v>
      </c>
      <c r="D361">
        <v>0</v>
      </c>
      <c r="E361" s="7">
        <f>worker_data[[#This Row],[employed]]-worker_data[[#This Row],[spent_amount]]</f>
        <v>0</v>
      </c>
      <c r="F361">
        <v>8.3038800000000001E-7</v>
      </c>
      <c r="G361">
        <v>0</v>
      </c>
      <c r="H361">
        <v>0</v>
      </c>
      <c r="I361" s="7" t="s">
        <v>40</v>
      </c>
      <c r="J361">
        <v>0</v>
      </c>
    </row>
    <row r="362" spans="1:10" x14ac:dyDescent="0.25">
      <c r="A362">
        <v>361</v>
      </c>
      <c r="B362">
        <v>921828041</v>
      </c>
      <c r="C362" s="7" t="s">
        <v>39</v>
      </c>
      <c r="D362">
        <v>0</v>
      </c>
      <c r="E362" s="7">
        <f>worker_data[[#This Row],[employed]]-worker_data[[#This Row],[spent_amount]]</f>
        <v>0</v>
      </c>
      <c r="F362">
        <v>7.9717200000000004E-7</v>
      </c>
      <c r="G362">
        <v>0</v>
      </c>
      <c r="H362">
        <v>0</v>
      </c>
      <c r="I362" s="7" t="s">
        <v>40</v>
      </c>
      <c r="J362">
        <v>0</v>
      </c>
    </row>
    <row r="363" spans="1:10" x14ac:dyDescent="0.25">
      <c r="A363">
        <v>362</v>
      </c>
      <c r="B363">
        <v>582853247</v>
      </c>
      <c r="C363" s="7" t="s">
        <v>39</v>
      </c>
      <c r="D363">
        <v>0</v>
      </c>
      <c r="E363" s="7">
        <f>worker_data[[#This Row],[employed]]-worker_data[[#This Row],[spent_amount]]</f>
        <v>0</v>
      </c>
      <c r="F363">
        <v>7.6528500000000001E-7</v>
      </c>
      <c r="G363">
        <v>0</v>
      </c>
      <c r="H363">
        <v>0</v>
      </c>
      <c r="I363" s="7" t="s">
        <v>40</v>
      </c>
      <c r="J363">
        <v>0</v>
      </c>
    </row>
    <row r="364" spans="1:10" x14ac:dyDescent="0.25">
      <c r="A364">
        <v>363</v>
      </c>
      <c r="B364">
        <v>195169261</v>
      </c>
      <c r="C364" s="7" t="s">
        <v>39</v>
      </c>
      <c r="D364">
        <v>0</v>
      </c>
      <c r="E364" s="7">
        <f>worker_data[[#This Row],[employed]]-worker_data[[#This Row],[spent_amount]]</f>
        <v>0</v>
      </c>
      <c r="F364">
        <v>7.3467399999999995E-7</v>
      </c>
      <c r="G364">
        <v>0</v>
      </c>
      <c r="H364">
        <v>0</v>
      </c>
      <c r="I364" s="7" t="s">
        <v>40</v>
      </c>
      <c r="J364">
        <v>0</v>
      </c>
    </row>
    <row r="365" spans="1:10" x14ac:dyDescent="0.25">
      <c r="A365">
        <v>364</v>
      </c>
      <c r="B365">
        <v>863256402</v>
      </c>
      <c r="C365" s="7" t="s">
        <v>39</v>
      </c>
      <c r="D365">
        <v>0</v>
      </c>
      <c r="E365" s="7">
        <f>worker_data[[#This Row],[employed]]-worker_data[[#This Row],[spent_amount]]</f>
        <v>0</v>
      </c>
      <c r="F365">
        <v>7.0528700000000001E-7</v>
      </c>
      <c r="G365">
        <v>0</v>
      </c>
      <c r="H365">
        <v>0</v>
      </c>
      <c r="I365" s="7" t="s">
        <v>40</v>
      </c>
      <c r="J365">
        <v>0</v>
      </c>
    </row>
    <row r="366" spans="1:10" x14ac:dyDescent="0.25">
      <c r="A366">
        <v>365</v>
      </c>
      <c r="B366">
        <v>963113104</v>
      </c>
      <c r="C366" s="7" t="s">
        <v>39</v>
      </c>
      <c r="D366">
        <v>0</v>
      </c>
      <c r="E366" s="7">
        <f>worker_data[[#This Row],[employed]]-worker_data[[#This Row],[spent_amount]]</f>
        <v>0</v>
      </c>
      <c r="F366">
        <v>6.7707499999999999E-7</v>
      </c>
      <c r="G366">
        <v>0</v>
      </c>
      <c r="H366">
        <v>0</v>
      </c>
      <c r="I366" s="7" t="s">
        <v>40</v>
      </c>
      <c r="J366">
        <v>0</v>
      </c>
    </row>
    <row r="367" spans="1:10" x14ac:dyDescent="0.25">
      <c r="A367">
        <v>366</v>
      </c>
      <c r="B367">
        <v>431757026</v>
      </c>
      <c r="C367" s="7" t="s">
        <v>39</v>
      </c>
      <c r="D367">
        <v>0</v>
      </c>
      <c r="E367" s="7">
        <f>worker_data[[#This Row],[employed]]-worker_data[[#This Row],[spent_amount]]</f>
        <v>0</v>
      </c>
      <c r="F367">
        <v>6.4999200000000001E-7</v>
      </c>
      <c r="G367">
        <v>0</v>
      </c>
      <c r="H367">
        <v>0</v>
      </c>
      <c r="I367" s="7" t="s">
        <v>40</v>
      </c>
      <c r="J367">
        <v>0</v>
      </c>
    </row>
    <row r="368" spans="1:10" x14ac:dyDescent="0.25">
      <c r="A368">
        <v>367</v>
      </c>
      <c r="B368">
        <v>296575919</v>
      </c>
      <c r="C368" s="7" t="s">
        <v>39</v>
      </c>
      <c r="D368">
        <v>0</v>
      </c>
      <c r="E368" s="7">
        <f>worker_data[[#This Row],[employed]]-worker_data[[#This Row],[spent_amount]]</f>
        <v>0</v>
      </c>
      <c r="F368">
        <v>6.2399299999999999E-7</v>
      </c>
      <c r="G368">
        <v>0</v>
      </c>
      <c r="H368">
        <v>0</v>
      </c>
      <c r="I368" s="7" t="s">
        <v>40</v>
      </c>
      <c r="J368">
        <v>0</v>
      </c>
    </row>
    <row r="369" spans="1:10" x14ac:dyDescent="0.25">
      <c r="A369">
        <v>368</v>
      </c>
      <c r="B369">
        <v>346155792</v>
      </c>
      <c r="C369" s="7" t="s">
        <v>39</v>
      </c>
      <c r="D369">
        <v>0</v>
      </c>
      <c r="E369" s="7">
        <f>worker_data[[#This Row],[employed]]-worker_data[[#This Row],[spent_amount]]</f>
        <v>0</v>
      </c>
      <c r="F369">
        <v>5.9903299999999996E-7</v>
      </c>
      <c r="G369">
        <v>0</v>
      </c>
      <c r="H369">
        <v>0</v>
      </c>
      <c r="I369" s="7" t="s">
        <v>40</v>
      </c>
      <c r="J369">
        <v>0</v>
      </c>
    </row>
    <row r="370" spans="1:10" x14ac:dyDescent="0.25">
      <c r="A370">
        <v>369</v>
      </c>
      <c r="B370">
        <v>105543828</v>
      </c>
      <c r="C370" s="7" t="s">
        <v>39</v>
      </c>
      <c r="D370">
        <v>0</v>
      </c>
      <c r="E370" s="7">
        <f>worker_data[[#This Row],[employed]]-worker_data[[#This Row],[spent_amount]]</f>
        <v>0</v>
      </c>
      <c r="F370">
        <v>5.7507199999999998E-7</v>
      </c>
      <c r="G370">
        <v>0</v>
      </c>
      <c r="H370">
        <v>0</v>
      </c>
      <c r="I370" s="7" t="s">
        <v>40</v>
      </c>
      <c r="J370">
        <v>0</v>
      </c>
    </row>
    <row r="371" spans="1:10" x14ac:dyDescent="0.25">
      <c r="A371">
        <v>370</v>
      </c>
      <c r="B371">
        <v>205450790</v>
      </c>
      <c r="C371" s="7" t="s">
        <v>39</v>
      </c>
      <c r="D371">
        <v>0</v>
      </c>
      <c r="E371" s="7">
        <f>worker_data[[#This Row],[employed]]-worker_data[[#This Row],[spent_amount]]</f>
        <v>0</v>
      </c>
      <c r="F371">
        <v>5.5206899999999997E-7</v>
      </c>
      <c r="G371">
        <v>0</v>
      </c>
      <c r="H371">
        <v>0</v>
      </c>
      <c r="I371" s="7" t="s">
        <v>40</v>
      </c>
      <c r="J371">
        <v>0</v>
      </c>
    </row>
    <row r="372" spans="1:10" x14ac:dyDescent="0.25">
      <c r="A372">
        <v>371</v>
      </c>
      <c r="B372">
        <v>429783974</v>
      </c>
      <c r="C372" s="7" t="s">
        <v>39</v>
      </c>
      <c r="D372">
        <v>0</v>
      </c>
      <c r="E372" s="7">
        <f>worker_data[[#This Row],[employed]]-worker_data[[#This Row],[spent_amount]]</f>
        <v>0</v>
      </c>
      <c r="F372">
        <v>5.2998600000000004E-7</v>
      </c>
      <c r="G372">
        <v>0</v>
      </c>
      <c r="H372">
        <v>0</v>
      </c>
      <c r="I372" s="7" t="s">
        <v>40</v>
      </c>
      <c r="J372">
        <v>0</v>
      </c>
    </row>
    <row r="373" spans="1:10" x14ac:dyDescent="0.25">
      <c r="A373">
        <v>372</v>
      </c>
      <c r="B373">
        <v>120832171</v>
      </c>
      <c r="C373" s="7" t="s">
        <v>39</v>
      </c>
      <c r="D373">
        <v>0</v>
      </c>
      <c r="E373" s="7">
        <f>worker_data[[#This Row],[employed]]-worker_data[[#This Row],[spent_amount]]</f>
        <v>0</v>
      </c>
      <c r="F373">
        <v>5.0878699999999996E-7</v>
      </c>
      <c r="G373">
        <v>0</v>
      </c>
      <c r="H373">
        <v>0</v>
      </c>
      <c r="I373" s="7" t="s">
        <v>40</v>
      </c>
      <c r="J373">
        <v>0</v>
      </c>
    </row>
    <row r="374" spans="1:10" x14ac:dyDescent="0.25">
      <c r="A374">
        <v>373</v>
      </c>
      <c r="B374">
        <v>712127419</v>
      </c>
      <c r="C374" s="7" t="s">
        <v>39</v>
      </c>
      <c r="D374">
        <v>0</v>
      </c>
      <c r="E374" s="7">
        <f>worker_data[[#This Row],[employed]]-worker_data[[#This Row],[spent_amount]]</f>
        <v>0</v>
      </c>
      <c r="F374">
        <v>4.8843499999999997E-7</v>
      </c>
      <c r="G374">
        <v>0</v>
      </c>
      <c r="H374">
        <v>0</v>
      </c>
      <c r="I374" s="7" t="s">
        <v>40</v>
      </c>
      <c r="J374">
        <v>0</v>
      </c>
    </row>
    <row r="375" spans="1:10" x14ac:dyDescent="0.25">
      <c r="A375">
        <v>374</v>
      </c>
      <c r="B375">
        <v>347477913</v>
      </c>
      <c r="C375" s="7" t="s">
        <v>39</v>
      </c>
      <c r="D375">
        <v>0</v>
      </c>
      <c r="E375" s="7">
        <f>worker_data[[#This Row],[employed]]-worker_data[[#This Row],[spent_amount]]</f>
        <v>0</v>
      </c>
      <c r="F375">
        <v>4.6889800000000002E-7</v>
      </c>
      <c r="G375">
        <v>0</v>
      </c>
      <c r="H375">
        <v>0</v>
      </c>
      <c r="I375" s="7" t="s">
        <v>40</v>
      </c>
      <c r="J375">
        <v>0</v>
      </c>
    </row>
    <row r="376" spans="1:10" x14ac:dyDescent="0.25">
      <c r="A376">
        <v>375</v>
      </c>
      <c r="B376">
        <v>246648460</v>
      </c>
      <c r="C376" s="7" t="s">
        <v>39</v>
      </c>
      <c r="D376">
        <v>0</v>
      </c>
      <c r="E376" s="7">
        <f>worker_data[[#This Row],[employed]]-worker_data[[#This Row],[spent_amount]]</f>
        <v>0</v>
      </c>
      <c r="F376">
        <v>4.5014199999999998E-7</v>
      </c>
      <c r="G376">
        <v>0</v>
      </c>
      <c r="H376">
        <v>0</v>
      </c>
      <c r="I376" s="7" t="s">
        <v>40</v>
      </c>
      <c r="J376">
        <v>0</v>
      </c>
    </row>
    <row r="377" spans="1:10" x14ac:dyDescent="0.25">
      <c r="A377">
        <v>376</v>
      </c>
      <c r="B377">
        <v>517059965</v>
      </c>
      <c r="C377" s="7" t="s">
        <v>39</v>
      </c>
      <c r="D377">
        <v>0</v>
      </c>
      <c r="E377" s="7">
        <f>worker_data[[#This Row],[employed]]-worker_data[[#This Row],[spent_amount]]</f>
        <v>0</v>
      </c>
      <c r="F377">
        <v>4.32136E-7</v>
      </c>
      <c r="G377">
        <v>0</v>
      </c>
      <c r="H377">
        <v>0</v>
      </c>
      <c r="I377" s="7" t="s">
        <v>40</v>
      </c>
      <c r="J377">
        <v>0</v>
      </c>
    </row>
    <row r="378" spans="1:10" x14ac:dyDescent="0.25">
      <c r="A378">
        <v>377</v>
      </c>
      <c r="B378">
        <v>997470530</v>
      </c>
      <c r="C378" s="7" t="s">
        <v>39</v>
      </c>
      <c r="D378">
        <v>0</v>
      </c>
      <c r="E378" s="7">
        <f>worker_data[[#This Row],[employed]]-worker_data[[#This Row],[spent_amount]]</f>
        <v>0</v>
      </c>
      <c r="F378">
        <v>4.1485100000000001E-7</v>
      </c>
      <c r="G378">
        <v>0</v>
      </c>
      <c r="H378">
        <v>0</v>
      </c>
      <c r="I378" s="7" t="s">
        <v>40</v>
      </c>
      <c r="J378">
        <v>0</v>
      </c>
    </row>
    <row r="379" spans="1:10" x14ac:dyDescent="0.25">
      <c r="A379">
        <v>378</v>
      </c>
      <c r="B379">
        <v>707032715</v>
      </c>
      <c r="C379" s="7" t="s">
        <v>39</v>
      </c>
      <c r="D379">
        <v>0</v>
      </c>
      <c r="E379" s="7">
        <f>worker_data[[#This Row],[employed]]-worker_data[[#This Row],[spent_amount]]</f>
        <v>0</v>
      </c>
      <c r="F379">
        <v>3.9825699999999999E-7</v>
      </c>
      <c r="G379">
        <v>0</v>
      </c>
      <c r="H379">
        <v>0</v>
      </c>
      <c r="I379" s="7" t="s">
        <v>40</v>
      </c>
      <c r="J379">
        <v>0</v>
      </c>
    </row>
    <row r="380" spans="1:10" x14ac:dyDescent="0.25">
      <c r="A380">
        <v>379</v>
      </c>
      <c r="B380">
        <v>286192731</v>
      </c>
      <c r="C380" s="7" t="s">
        <v>39</v>
      </c>
      <c r="D380">
        <v>0</v>
      </c>
      <c r="E380" s="7">
        <f>worker_data[[#This Row],[employed]]-worker_data[[#This Row],[spent_amount]]</f>
        <v>0</v>
      </c>
      <c r="F380">
        <v>3.8232600000000001E-7</v>
      </c>
      <c r="G380">
        <v>0</v>
      </c>
      <c r="H380">
        <v>0</v>
      </c>
      <c r="I380" s="7" t="s">
        <v>40</v>
      </c>
      <c r="J380">
        <v>0</v>
      </c>
    </row>
    <row r="381" spans="1:10" x14ac:dyDescent="0.25">
      <c r="A381">
        <v>380</v>
      </c>
      <c r="B381">
        <v>642642507</v>
      </c>
      <c r="C381" s="7" t="s">
        <v>39</v>
      </c>
      <c r="D381">
        <v>0</v>
      </c>
      <c r="E381" s="7">
        <f>worker_data[[#This Row],[employed]]-worker_data[[#This Row],[spent_amount]]</f>
        <v>0</v>
      </c>
      <c r="F381">
        <v>3.67033E-7</v>
      </c>
      <c r="G381">
        <v>0</v>
      </c>
      <c r="H381">
        <v>0</v>
      </c>
      <c r="I381" s="7" t="s">
        <v>40</v>
      </c>
      <c r="J381">
        <v>0</v>
      </c>
    </row>
    <row r="382" spans="1:10" x14ac:dyDescent="0.25">
      <c r="A382">
        <v>381</v>
      </c>
      <c r="B382">
        <v>252541533</v>
      </c>
      <c r="C382" s="7" t="s">
        <v>39</v>
      </c>
      <c r="D382">
        <v>0</v>
      </c>
      <c r="E382" s="7">
        <f>worker_data[[#This Row],[employed]]-worker_data[[#This Row],[spent_amount]]</f>
        <v>0</v>
      </c>
      <c r="F382">
        <v>3.52352E-7</v>
      </c>
      <c r="G382">
        <v>0</v>
      </c>
      <c r="H382">
        <v>0</v>
      </c>
      <c r="I382" s="7" t="s">
        <v>40</v>
      </c>
      <c r="J382">
        <v>0</v>
      </c>
    </row>
    <row r="383" spans="1:10" x14ac:dyDescent="0.25">
      <c r="A383">
        <v>382</v>
      </c>
      <c r="B383">
        <v>339574670</v>
      </c>
      <c r="C383" s="7" t="s">
        <v>39</v>
      </c>
      <c r="D383">
        <v>0</v>
      </c>
      <c r="E383" s="7">
        <f>worker_data[[#This Row],[employed]]-worker_data[[#This Row],[spent_amount]]</f>
        <v>0</v>
      </c>
      <c r="F383">
        <v>3.3825800000000001E-7</v>
      </c>
      <c r="G383">
        <v>0</v>
      </c>
      <c r="H383">
        <v>0</v>
      </c>
      <c r="I383" s="7" t="s">
        <v>40</v>
      </c>
      <c r="J383">
        <v>0</v>
      </c>
    </row>
    <row r="384" spans="1:10" x14ac:dyDescent="0.25">
      <c r="A384">
        <v>383</v>
      </c>
      <c r="B384">
        <v>109210196</v>
      </c>
      <c r="C384" s="7" t="s">
        <v>39</v>
      </c>
      <c r="D384">
        <v>0</v>
      </c>
      <c r="E384" s="7">
        <f>worker_data[[#This Row],[employed]]-worker_data[[#This Row],[spent_amount]]</f>
        <v>0</v>
      </c>
      <c r="F384">
        <v>3.2472800000000002E-7</v>
      </c>
      <c r="G384">
        <v>0</v>
      </c>
      <c r="H384">
        <v>0</v>
      </c>
      <c r="I384" s="7" t="s">
        <v>40</v>
      </c>
      <c r="J384">
        <v>0</v>
      </c>
    </row>
    <row r="385" spans="1:10" x14ac:dyDescent="0.25">
      <c r="A385">
        <v>384</v>
      </c>
      <c r="B385">
        <v>778115495</v>
      </c>
      <c r="C385" s="7" t="s">
        <v>39</v>
      </c>
      <c r="D385">
        <v>0</v>
      </c>
      <c r="E385" s="7">
        <f>worker_data[[#This Row],[employed]]-worker_data[[#This Row],[spent_amount]]</f>
        <v>0</v>
      </c>
      <c r="F385">
        <v>3.1173899999999998E-7</v>
      </c>
      <c r="G385">
        <v>0</v>
      </c>
      <c r="H385">
        <v>0</v>
      </c>
      <c r="I385" s="7" t="s">
        <v>40</v>
      </c>
      <c r="J385">
        <v>0</v>
      </c>
    </row>
    <row r="386" spans="1:10" x14ac:dyDescent="0.25">
      <c r="A386">
        <v>385</v>
      </c>
      <c r="B386">
        <v>409348478</v>
      </c>
      <c r="C386" s="7" t="s">
        <v>39</v>
      </c>
      <c r="D386">
        <v>0</v>
      </c>
      <c r="E386" s="7">
        <f>worker_data[[#This Row],[employed]]-worker_data[[#This Row],[spent_amount]]</f>
        <v>0</v>
      </c>
      <c r="F386">
        <v>2.9926899999999998E-7</v>
      </c>
      <c r="G386">
        <v>0</v>
      </c>
      <c r="H386">
        <v>0</v>
      </c>
      <c r="I386" s="7" t="s">
        <v>40</v>
      </c>
      <c r="J386">
        <v>0</v>
      </c>
    </row>
    <row r="387" spans="1:10" x14ac:dyDescent="0.25">
      <c r="A387">
        <v>386</v>
      </c>
      <c r="B387">
        <v>409216068</v>
      </c>
      <c r="C387" s="7" t="s">
        <v>39</v>
      </c>
      <c r="D387">
        <v>0</v>
      </c>
      <c r="E387" s="7">
        <f>worker_data[[#This Row],[employed]]-worker_data[[#This Row],[spent_amount]]</f>
        <v>0</v>
      </c>
      <c r="F387">
        <v>2.8729799999999998E-7</v>
      </c>
      <c r="G387">
        <v>0</v>
      </c>
      <c r="H387">
        <v>0</v>
      </c>
      <c r="I387" s="7" t="s">
        <v>40</v>
      </c>
      <c r="J387">
        <v>0</v>
      </c>
    </row>
    <row r="388" spans="1:10" x14ac:dyDescent="0.25">
      <c r="A388">
        <v>387</v>
      </c>
      <c r="B388">
        <v>999756168</v>
      </c>
      <c r="C388" s="7" t="s">
        <v>39</v>
      </c>
      <c r="D388">
        <v>0</v>
      </c>
      <c r="E388" s="7">
        <f>worker_data[[#This Row],[employed]]-worker_data[[#This Row],[spent_amount]]</f>
        <v>0</v>
      </c>
      <c r="F388">
        <v>2.7580599999999998E-7</v>
      </c>
      <c r="G388">
        <v>0</v>
      </c>
      <c r="H388">
        <v>0</v>
      </c>
      <c r="I388" s="7" t="s">
        <v>40</v>
      </c>
      <c r="J388">
        <v>0</v>
      </c>
    </row>
    <row r="389" spans="1:10" x14ac:dyDescent="0.25">
      <c r="A389">
        <v>388</v>
      </c>
      <c r="B389">
        <v>552694014</v>
      </c>
      <c r="C389" s="7" t="s">
        <v>39</v>
      </c>
      <c r="D389">
        <v>0</v>
      </c>
      <c r="E389" s="7">
        <f>worker_data[[#This Row],[employed]]-worker_data[[#This Row],[spent_amount]]</f>
        <v>0</v>
      </c>
      <c r="F389">
        <v>2.6477400000000001E-7</v>
      </c>
      <c r="G389">
        <v>0</v>
      </c>
      <c r="H389">
        <v>0</v>
      </c>
      <c r="I389" s="7" t="s">
        <v>40</v>
      </c>
      <c r="J389">
        <v>0</v>
      </c>
    </row>
    <row r="390" spans="1:10" x14ac:dyDescent="0.25">
      <c r="A390">
        <v>389</v>
      </c>
      <c r="B390">
        <v>541287964</v>
      </c>
      <c r="C390" s="7" t="s">
        <v>39</v>
      </c>
      <c r="D390">
        <v>0</v>
      </c>
      <c r="E390" s="7">
        <f>worker_data[[#This Row],[employed]]-worker_data[[#This Row],[spent_amount]]</f>
        <v>0</v>
      </c>
      <c r="F390">
        <v>2.5418299999999999E-7</v>
      </c>
      <c r="G390">
        <v>0</v>
      </c>
      <c r="H390">
        <v>0</v>
      </c>
      <c r="I390" s="7" t="s">
        <v>40</v>
      </c>
      <c r="J390">
        <v>0</v>
      </c>
    </row>
    <row r="391" spans="1:10" x14ac:dyDescent="0.25">
      <c r="A391">
        <v>390</v>
      </c>
      <c r="B391">
        <v>453364300</v>
      </c>
      <c r="C391" s="7" t="s">
        <v>39</v>
      </c>
      <c r="D391">
        <v>0</v>
      </c>
      <c r="E391" s="7">
        <f>worker_data[[#This Row],[employed]]-worker_data[[#This Row],[spent_amount]]</f>
        <v>0</v>
      </c>
      <c r="F391">
        <v>2.4401599999999998E-7</v>
      </c>
      <c r="G391">
        <v>0</v>
      </c>
      <c r="H391">
        <v>0</v>
      </c>
      <c r="I391" s="7" t="s">
        <v>40</v>
      </c>
      <c r="J391">
        <v>0</v>
      </c>
    </row>
    <row r="392" spans="1:10" x14ac:dyDescent="0.25">
      <c r="A392">
        <v>391</v>
      </c>
      <c r="B392">
        <v>779227039</v>
      </c>
      <c r="C392" s="7" t="s">
        <v>39</v>
      </c>
      <c r="D392">
        <v>0</v>
      </c>
      <c r="E392" s="7">
        <f>worker_data[[#This Row],[employed]]-worker_data[[#This Row],[spent_amount]]</f>
        <v>0</v>
      </c>
      <c r="F392">
        <v>2.34255E-7</v>
      </c>
      <c r="G392">
        <v>0</v>
      </c>
      <c r="H392">
        <v>0</v>
      </c>
      <c r="I392" s="7" t="s">
        <v>40</v>
      </c>
      <c r="J392">
        <v>0</v>
      </c>
    </row>
    <row r="393" spans="1:10" x14ac:dyDescent="0.25">
      <c r="A393">
        <v>392</v>
      </c>
      <c r="B393">
        <v>148017212</v>
      </c>
      <c r="C393" s="7" t="s">
        <v>39</v>
      </c>
      <c r="D393">
        <v>0</v>
      </c>
      <c r="E393" s="7">
        <f>worker_data[[#This Row],[employed]]-worker_data[[#This Row],[spent_amount]]</f>
        <v>0</v>
      </c>
      <c r="F393">
        <v>2.2488499999999999E-7</v>
      </c>
      <c r="G393">
        <v>0</v>
      </c>
      <c r="H393">
        <v>0</v>
      </c>
      <c r="I393" s="7" t="s">
        <v>40</v>
      </c>
      <c r="J393">
        <v>0</v>
      </c>
    </row>
    <row r="394" spans="1:10" x14ac:dyDescent="0.25">
      <c r="A394">
        <v>393</v>
      </c>
      <c r="B394">
        <v>987179134</v>
      </c>
      <c r="C394" s="7" t="s">
        <v>39</v>
      </c>
      <c r="D394">
        <v>0</v>
      </c>
      <c r="E394" s="7">
        <f>worker_data[[#This Row],[employed]]-worker_data[[#This Row],[spent_amount]]</f>
        <v>0</v>
      </c>
      <c r="F394">
        <v>2.1589000000000001E-7</v>
      </c>
      <c r="G394">
        <v>0</v>
      </c>
      <c r="H394">
        <v>0</v>
      </c>
      <c r="I394" s="7" t="s">
        <v>40</v>
      </c>
      <c r="J394">
        <v>0</v>
      </c>
    </row>
    <row r="395" spans="1:10" x14ac:dyDescent="0.25">
      <c r="A395">
        <v>394</v>
      </c>
      <c r="B395">
        <v>180434972</v>
      </c>
      <c r="C395" s="7" t="s">
        <v>39</v>
      </c>
      <c r="D395">
        <v>0</v>
      </c>
      <c r="E395" s="7">
        <f>worker_data[[#This Row],[employed]]-worker_data[[#This Row],[spent_amount]]</f>
        <v>0</v>
      </c>
      <c r="F395">
        <v>2.0725400000000001E-7</v>
      </c>
      <c r="G395">
        <v>0</v>
      </c>
      <c r="H395">
        <v>0</v>
      </c>
      <c r="I395" s="7" t="s">
        <v>40</v>
      </c>
      <c r="J395">
        <v>0</v>
      </c>
    </row>
    <row r="396" spans="1:10" x14ac:dyDescent="0.25">
      <c r="A396">
        <v>395</v>
      </c>
      <c r="B396">
        <v>74258728</v>
      </c>
      <c r="C396" s="7" t="s">
        <v>39</v>
      </c>
      <c r="D396">
        <v>0</v>
      </c>
      <c r="E396" s="7">
        <f>worker_data[[#This Row],[employed]]-worker_data[[#This Row],[spent_amount]]</f>
        <v>0</v>
      </c>
      <c r="F396">
        <v>1.9896400000000001E-7</v>
      </c>
      <c r="G396">
        <v>0</v>
      </c>
      <c r="H396">
        <v>0</v>
      </c>
      <c r="I396" s="7" t="s">
        <v>40</v>
      </c>
      <c r="J396">
        <v>0</v>
      </c>
    </row>
    <row r="397" spans="1:10" x14ac:dyDescent="0.25">
      <c r="A397">
        <v>396</v>
      </c>
      <c r="B397">
        <v>464333262</v>
      </c>
      <c r="C397" s="7" t="s">
        <v>39</v>
      </c>
      <c r="D397">
        <v>0</v>
      </c>
      <c r="E397" s="7">
        <f>worker_data[[#This Row],[employed]]-worker_data[[#This Row],[spent_amount]]</f>
        <v>0</v>
      </c>
      <c r="F397">
        <v>1.9100500000000001E-7</v>
      </c>
      <c r="G397">
        <v>0</v>
      </c>
      <c r="H397">
        <v>0</v>
      </c>
      <c r="I397" s="7" t="s">
        <v>40</v>
      </c>
      <c r="J397">
        <v>0</v>
      </c>
    </row>
    <row r="398" spans="1:10" x14ac:dyDescent="0.25">
      <c r="A398">
        <v>397</v>
      </c>
      <c r="B398">
        <v>101181173</v>
      </c>
      <c r="C398" s="7" t="s">
        <v>39</v>
      </c>
      <c r="D398">
        <v>0</v>
      </c>
      <c r="E398" s="7">
        <f>worker_data[[#This Row],[employed]]-worker_data[[#This Row],[spent_amount]]</f>
        <v>0</v>
      </c>
      <c r="F398">
        <v>1.83365E-7</v>
      </c>
      <c r="G398">
        <v>0</v>
      </c>
      <c r="H398">
        <v>0</v>
      </c>
      <c r="I398" s="7" t="s">
        <v>40</v>
      </c>
      <c r="J398">
        <v>0</v>
      </c>
    </row>
    <row r="399" spans="1:10" x14ac:dyDescent="0.25">
      <c r="A399">
        <v>398</v>
      </c>
      <c r="B399">
        <v>181233041</v>
      </c>
      <c r="C399" s="7" t="s">
        <v>39</v>
      </c>
      <c r="D399">
        <v>0</v>
      </c>
      <c r="E399" s="7">
        <f>worker_data[[#This Row],[employed]]-worker_data[[#This Row],[spent_amount]]</f>
        <v>0</v>
      </c>
      <c r="F399">
        <v>1.7603E-7</v>
      </c>
      <c r="G399">
        <v>0</v>
      </c>
      <c r="H399">
        <v>0</v>
      </c>
      <c r="I399" s="7" t="s">
        <v>40</v>
      </c>
      <c r="J399">
        <v>0</v>
      </c>
    </row>
    <row r="400" spans="1:10" x14ac:dyDescent="0.25">
      <c r="A400">
        <v>399</v>
      </c>
      <c r="B400">
        <v>757583585</v>
      </c>
      <c r="C400" s="7" t="s">
        <v>39</v>
      </c>
      <c r="D400">
        <v>0</v>
      </c>
      <c r="E400" s="7">
        <f>worker_data[[#This Row],[employed]]-worker_data[[#This Row],[spent_amount]]</f>
        <v>0</v>
      </c>
      <c r="F400">
        <v>1.6898900000000001E-7</v>
      </c>
      <c r="G400">
        <v>0</v>
      </c>
      <c r="H400">
        <v>0</v>
      </c>
      <c r="I400" s="7" t="s">
        <v>40</v>
      </c>
      <c r="J400">
        <v>0</v>
      </c>
    </row>
    <row r="401" spans="1:10" x14ac:dyDescent="0.25">
      <c r="A401">
        <v>400</v>
      </c>
      <c r="B401">
        <v>388104017</v>
      </c>
      <c r="C401" s="7" t="s">
        <v>39</v>
      </c>
      <c r="D401">
        <v>0</v>
      </c>
      <c r="E401" s="7">
        <f>worker_data[[#This Row],[employed]]-worker_data[[#This Row],[spent_amount]]</f>
        <v>0</v>
      </c>
      <c r="F401">
        <v>1.6222999999999999E-7</v>
      </c>
      <c r="G401">
        <v>0</v>
      </c>
      <c r="H401">
        <v>0</v>
      </c>
      <c r="I401" s="7" t="s">
        <v>40</v>
      </c>
      <c r="J401">
        <v>0</v>
      </c>
    </row>
    <row r="402" spans="1:10" x14ac:dyDescent="0.25">
      <c r="A402">
        <v>401</v>
      </c>
      <c r="B402">
        <v>615048719</v>
      </c>
      <c r="C402" s="7" t="s">
        <v>39</v>
      </c>
      <c r="D402">
        <v>0</v>
      </c>
      <c r="E402" s="7">
        <f>worker_data[[#This Row],[employed]]-worker_data[[#This Row],[spent_amount]]</f>
        <v>0</v>
      </c>
      <c r="F402">
        <v>1.5573999999999999E-7</v>
      </c>
      <c r="G402">
        <v>0</v>
      </c>
      <c r="H402">
        <v>0</v>
      </c>
      <c r="I402" s="7" t="s">
        <v>40</v>
      </c>
      <c r="J402">
        <v>0</v>
      </c>
    </row>
    <row r="403" spans="1:10" x14ac:dyDescent="0.25">
      <c r="A403">
        <v>402</v>
      </c>
      <c r="B403">
        <v>681962565</v>
      </c>
      <c r="C403" s="7" t="s">
        <v>39</v>
      </c>
      <c r="D403">
        <v>0</v>
      </c>
      <c r="E403" s="7">
        <f>worker_data[[#This Row],[employed]]-worker_data[[#This Row],[spent_amount]]</f>
        <v>0</v>
      </c>
      <c r="F403">
        <v>1.4951099999999999E-7</v>
      </c>
      <c r="G403">
        <v>0</v>
      </c>
      <c r="H403">
        <v>0</v>
      </c>
      <c r="I403" s="7" t="s">
        <v>40</v>
      </c>
      <c r="J403">
        <v>0</v>
      </c>
    </row>
    <row r="404" spans="1:10" x14ac:dyDescent="0.25">
      <c r="A404">
        <v>403</v>
      </c>
      <c r="B404">
        <v>533863293</v>
      </c>
      <c r="C404" s="7" t="s">
        <v>39</v>
      </c>
      <c r="D404">
        <v>0</v>
      </c>
      <c r="E404" s="7">
        <f>worker_data[[#This Row],[employed]]-worker_data[[#This Row],[spent_amount]]</f>
        <v>0</v>
      </c>
      <c r="F404">
        <v>1.4352999999999999E-7</v>
      </c>
      <c r="G404">
        <v>0</v>
      </c>
      <c r="H404">
        <v>0</v>
      </c>
      <c r="I404" s="7" t="s">
        <v>40</v>
      </c>
      <c r="J404">
        <v>0</v>
      </c>
    </row>
    <row r="405" spans="1:10" x14ac:dyDescent="0.25">
      <c r="A405">
        <v>404</v>
      </c>
      <c r="B405">
        <v>967843412</v>
      </c>
      <c r="C405" s="7" t="s">
        <v>39</v>
      </c>
      <c r="D405">
        <v>0</v>
      </c>
      <c r="E405" s="7">
        <f>worker_data[[#This Row],[employed]]-worker_data[[#This Row],[spent_amount]]</f>
        <v>0</v>
      </c>
      <c r="F405">
        <v>1.3778899999999999E-7</v>
      </c>
      <c r="G405">
        <v>0</v>
      </c>
      <c r="H405">
        <v>0</v>
      </c>
      <c r="I405" s="7" t="s">
        <v>40</v>
      </c>
      <c r="J405">
        <v>0</v>
      </c>
    </row>
    <row r="406" spans="1:10" x14ac:dyDescent="0.25">
      <c r="A406">
        <v>405</v>
      </c>
      <c r="B406">
        <v>341320993</v>
      </c>
      <c r="C406" s="7" t="s">
        <v>39</v>
      </c>
      <c r="D406">
        <v>0</v>
      </c>
      <c r="E406" s="7">
        <f>worker_data[[#This Row],[employed]]-worker_data[[#This Row],[spent_amount]]</f>
        <v>0</v>
      </c>
      <c r="F406">
        <v>1.3227799999999999E-7</v>
      </c>
      <c r="G406">
        <v>0</v>
      </c>
      <c r="H406">
        <v>0</v>
      </c>
      <c r="I406" s="7" t="s">
        <v>40</v>
      </c>
      <c r="J406">
        <v>0</v>
      </c>
    </row>
    <row r="407" spans="1:10" x14ac:dyDescent="0.25">
      <c r="A407">
        <v>406</v>
      </c>
      <c r="B407">
        <v>803839102</v>
      </c>
      <c r="C407" s="7" t="s">
        <v>39</v>
      </c>
      <c r="D407">
        <v>0</v>
      </c>
      <c r="E407" s="7">
        <f>worker_data[[#This Row],[employed]]-worker_data[[#This Row],[spent_amount]]</f>
        <v>0</v>
      </c>
      <c r="F407">
        <v>1.26987E-7</v>
      </c>
      <c r="G407">
        <v>0</v>
      </c>
      <c r="H407">
        <v>0</v>
      </c>
      <c r="I407" s="7" t="s">
        <v>40</v>
      </c>
      <c r="J407">
        <v>0</v>
      </c>
    </row>
    <row r="408" spans="1:10" x14ac:dyDescent="0.25">
      <c r="A408">
        <v>407</v>
      </c>
      <c r="B408">
        <v>343360349</v>
      </c>
      <c r="C408" s="7" t="s">
        <v>39</v>
      </c>
      <c r="D408">
        <v>0</v>
      </c>
      <c r="E408" s="7">
        <f>worker_data[[#This Row],[employed]]-worker_data[[#This Row],[spent_amount]]</f>
        <v>0</v>
      </c>
      <c r="F408">
        <v>1.2190700000000001E-7</v>
      </c>
      <c r="G408">
        <v>0</v>
      </c>
      <c r="H408">
        <v>0</v>
      </c>
      <c r="I408" s="7" t="s">
        <v>40</v>
      </c>
      <c r="J408">
        <v>0</v>
      </c>
    </row>
    <row r="409" spans="1:10" x14ac:dyDescent="0.25">
      <c r="A409">
        <v>408</v>
      </c>
      <c r="B409">
        <v>672092285</v>
      </c>
      <c r="C409" s="7" t="s">
        <v>39</v>
      </c>
      <c r="D409">
        <v>0</v>
      </c>
      <c r="E409" s="7">
        <f>worker_data[[#This Row],[employed]]-worker_data[[#This Row],[spent_amount]]</f>
        <v>0</v>
      </c>
      <c r="F409">
        <v>1.17031E-7</v>
      </c>
      <c r="G409">
        <v>0</v>
      </c>
      <c r="H409">
        <v>0</v>
      </c>
      <c r="I409" s="7" t="s">
        <v>40</v>
      </c>
      <c r="J409">
        <v>0</v>
      </c>
    </row>
    <row r="410" spans="1:10" x14ac:dyDescent="0.25">
      <c r="A410">
        <v>409</v>
      </c>
      <c r="B410">
        <v>505585372</v>
      </c>
      <c r="C410" s="7" t="s">
        <v>39</v>
      </c>
      <c r="D410">
        <v>0</v>
      </c>
      <c r="E410" s="7">
        <f>worker_data[[#This Row],[employed]]-worker_data[[#This Row],[spent_amount]]</f>
        <v>0</v>
      </c>
      <c r="F410">
        <v>1.1235E-7</v>
      </c>
      <c r="G410">
        <v>0</v>
      </c>
      <c r="H410">
        <v>0</v>
      </c>
      <c r="I410" s="7" t="s">
        <v>40</v>
      </c>
      <c r="J410">
        <v>0</v>
      </c>
    </row>
    <row r="411" spans="1:10" x14ac:dyDescent="0.25">
      <c r="A411">
        <v>410</v>
      </c>
      <c r="B411">
        <v>979223678</v>
      </c>
      <c r="C411" s="7" t="s">
        <v>39</v>
      </c>
      <c r="D411">
        <v>0</v>
      </c>
      <c r="E411" s="7">
        <f>worker_data[[#This Row],[employed]]-worker_data[[#This Row],[spent_amount]]</f>
        <v>0</v>
      </c>
      <c r="F411">
        <v>1.07856E-7</v>
      </c>
      <c r="G411">
        <v>0</v>
      </c>
      <c r="H411">
        <v>0</v>
      </c>
      <c r="I411" s="7" t="s">
        <v>40</v>
      </c>
      <c r="J411">
        <v>0</v>
      </c>
    </row>
    <row r="412" spans="1:10" x14ac:dyDescent="0.25">
      <c r="A412">
        <v>411</v>
      </c>
      <c r="B412">
        <v>960136073</v>
      </c>
      <c r="C412" s="7" t="s">
        <v>39</v>
      </c>
      <c r="D412">
        <v>0</v>
      </c>
      <c r="E412" s="7">
        <f>worker_data[[#This Row],[employed]]-worker_data[[#This Row],[spent_amount]]</f>
        <v>0</v>
      </c>
      <c r="F412">
        <v>1.03541E-7</v>
      </c>
      <c r="G412">
        <v>0</v>
      </c>
      <c r="H412">
        <v>0</v>
      </c>
      <c r="I412" s="7" t="s">
        <v>40</v>
      </c>
      <c r="J412">
        <v>0</v>
      </c>
    </row>
    <row r="413" spans="1:10" x14ac:dyDescent="0.25">
      <c r="A413">
        <v>412</v>
      </c>
      <c r="B413">
        <v>417411667</v>
      </c>
      <c r="C413" s="7" t="s">
        <v>39</v>
      </c>
      <c r="D413">
        <v>0</v>
      </c>
      <c r="E413" s="7">
        <f>worker_data[[#This Row],[employed]]-worker_data[[#This Row],[spent_amount]]</f>
        <v>0</v>
      </c>
      <c r="F413">
        <v>9.93997E-8</v>
      </c>
      <c r="G413">
        <v>0</v>
      </c>
      <c r="H413">
        <v>0</v>
      </c>
      <c r="I413" s="7" t="s">
        <v>40</v>
      </c>
      <c r="J413">
        <v>0</v>
      </c>
    </row>
    <row r="414" spans="1:10" x14ac:dyDescent="0.25">
      <c r="A414">
        <v>413</v>
      </c>
      <c r="B414">
        <v>100485665</v>
      </c>
      <c r="C414" s="7" t="s">
        <v>39</v>
      </c>
      <c r="D414">
        <v>0</v>
      </c>
      <c r="E414" s="7">
        <f>worker_data[[#This Row],[employed]]-worker_data[[#This Row],[spent_amount]]</f>
        <v>0</v>
      </c>
      <c r="F414">
        <v>9.5423700000000005E-8</v>
      </c>
      <c r="G414">
        <v>0</v>
      </c>
      <c r="H414">
        <v>0</v>
      </c>
      <c r="I414" s="7" t="s">
        <v>40</v>
      </c>
      <c r="J414">
        <v>0</v>
      </c>
    </row>
    <row r="415" spans="1:10" x14ac:dyDescent="0.25">
      <c r="A415">
        <v>414</v>
      </c>
      <c r="B415">
        <v>554506727</v>
      </c>
      <c r="C415" s="7" t="s">
        <v>39</v>
      </c>
      <c r="D415">
        <v>0</v>
      </c>
      <c r="E415" s="7">
        <f>worker_data[[#This Row],[employed]]-worker_data[[#This Row],[spent_amount]]</f>
        <v>0</v>
      </c>
      <c r="F415">
        <v>9.1606799999999997E-8</v>
      </c>
      <c r="G415">
        <v>0</v>
      </c>
      <c r="H415">
        <v>0</v>
      </c>
      <c r="I415" s="7" t="s">
        <v>40</v>
      </c>
      <c r="J415">
        <v>0</v>
      </c>
    </row>
    <row r="416" spans="1:10" x14ac:dyDescent="0.25">
      <c r="A416">
        <v>415</v>
      </c>
      <c r="B416">
        <v>402911378</v>
      </c>
      <c r="C416" s="7" t="s">
        <v>39</v>
      </c>
      <c r="D416">
        <v>0</v>
      </c>
      <c r="E416" s="7">
        <f>worker_data[[#This Row],[employed]]-worker_data[[#This Row],[spent_amount]]</f>
        <v>0</v>
      </c>
      <c r="F416">
        <v>8.7942499999999995E-8</v>
      </c>
      <c r="G416">
        <v>0</v>
      </c>
      <c r="H416">
        <v>0</v>
      </c>
      <c r="I416" s="7" t="s">
        <v>40</v>
      </c>
      <c r="J416">
        <v>0</v>
      </c>
    </row>
    <row r="417" spans="1:10" x14ac:dyDescent="0.25">
      <c r="A417">
        <v>416</v>
      </c>
      <c r="B417">
        <v>753950356</v>
      </c>
      <c r="C417" s="7" t="s">
        <v>39</v>
      </c>
      <c r="D417">
        <v>0</v>
      </c>
      <c r="E417" s="7">
        <f>worker_data[[#This Row],[employed]]-worker_data[[#This Row],[spent_amount]]</f>
        <v>0</v>
      </c>
      <c r="F417">
        <v>8.4424800000000006E-8</v>
      </c>
      <c r="G417">
        <v>0</v>
      </c>
      <c r="H417">
        <v>0</v>
      </c>
      <c r="I417" s="7" t="s">
        <v>40</v>
      </c>
      <c r="J417">
        <v>0</v>
      </c>
    </row>
    <row r="418" spans="1:10" x14ac:dyDescent="0.25">
      <c r="A418">
        <v>417</v>
      </c>
      <c r="B418">
        <v>874565421</v>
      </c>
      <c r="C418" s="7" t="s">
        <v>39</v>
      </c>
      <c r="D418">
        <v>0</v>
      </c>
      <c r="E418" s="7">
        <f>worker_data[[#This Row],[employed]]-worker_data[[#This Row],[spent_amount]]</f>
        <v>0</v>
      </c>
      <c r="F418">
        <v>8.1047800000000001E-8</v>
      </c>
      <c r="G418">
        <v>0</v>
      </c>
      <c r="H418">
        <v>0</v>
      </c>
      <c r="I418" s="7" t="s">
        <v>40</v>
      </c>
      <c r="J418">
        <v>0</v>
      </c>
    </row>
    <row r="419" spans="1:10" x14ac:dyDescent="0.25">
      <c r="A419">
        <v>418</v>
      </c>
      <c r="B419">
        <v>972524948</v>
      </c>
      <c r="C419" s="7" t="s">
        <v>39</v>
      </c>
      <c r="D419">
        <v>0</v>
      </c>
      <c r="E419" s="7">
        <f>worker_data[[#This Row],[employed]]-worker_data[[#This Row],[spent_amount]]</f>
        <v>0</v>
      </c>
      <c r="F419">
        <v>7.7805899999999997E-8</v>
      </c>
      <c r="G419">
        <v>0</v>
      </c>
      <c r="H419">
        <v>0</v>
      </c>
      <c r="I419" s="7" t="s">
        <v>40</v>
      </c>
      <c r="J419">
        <v>0</v>
      </c>
    </row>
    <row r="420" spans="1:10" x14ac:dyDescent="0.25">
      <c r="A420">
        <v>419</v>
      </c>
      <c r="B420">
        <v>495902099</v>
      </c>
      <c r="C420" s="7" t="s">
        <v>39</v>
      </c>
      <c r="D420">
        <v>0</v>
      </c>
      <c r="E420" s="7">
        <f>worker_data[[#This Row],[employed]]-worker_data[[#This Row],[spent_amount]]</f>
        <v>0</v>
      </c>
      <c r="F420">
        <v>7.4693599999999999E-8</v>
      </c>
      <c r="G420">
        <v>0</v>
      </c>
      <c r="H420">
        <v>0</v>
      </c>
      <c r="I420" s="7" t="s">
        <v>40</v>
      </c>
      <c r="J420">
        <v>0</v>
      </c>
    </row>
    <row r="421" spans="1:10" x14ac:dyDescent="0.25">
      <c r="A421">
        <v>420</v>
      </c>
      <c r="B421">
        <v>333131467</v>
      </c>
      <c r="C421" s="7" t="s">
        <v>39</v>
      </c>
      <c r="D421">
        <v>0</v>
      </c>
      <c r="E421" s="7">
        <f>worker_data[[#This Row],[employed]]-worker_data[[#This Row],[spent_amount]]</f>
        <v>0</v>
      </c>
      <c r="F421">
        <v>7.1705900000000002E-8</v>
      </c>
      <c r="G421">
        <v>0</v>
      </c>
      <c r="H421">
        <v>0</v>
      </c>
      <c r="I421" s="7" t="s">
        <v>40</v>
      </c>
      <c r="J421">
        <v>0</v>
      </c>
    </row>
    <row r="422" spans="1:10" x14ac:dyDescent="0.25">
      <c r="A422">
        <v>421</v>
      </c>
      <c r="B422">
        <v>653026098</v>
      </c>
      <c r="C422" s="7" t="s">
        <v>39</v>
      </c>
      <c r="D422">
        <v>0</v>
      </c>
      <c r="E422" s="7">
        <f>worker_data[[#This Row],[employed]]-worker_data[[#This Row],[spent_amount]]</f>
        <v>0</v>
      </c>
      <c r="F422">
        <v>6.8837699999999994E-8</v>
      </c>
      <c r="G422">
        <v>0</v>
      </c>
      <c r="H422">
        <v>0</v>
      </c>
      <c r="I422" s="7" t="s">
        <v>40</v>
      </c>
      <c r="J422">
        <v>0</v>
      </c>
    </row>
    <row r="423" spans="1:10" x14ac:dyDescent="0.25">
      <c r="A423">
        <v>422</v>
      </c>
      <c r="B423">
        <v>505412516</v>
      </c>
      <c r="C423" s="7" t="s">
        <v>39</v>
      </c>
      <c r="D423">
        <v>0</v>
      </c>
      <c r="E423" s="7">
        <f>worker_data[[#This Row],[employed]]-worker_data[[#This Row],[spent_amount]]</f>
        <v>0</v>
      </c>
      <c r="F423">
        <v>6.6084199999999996E-8</v>
      </c>
      <c r="G423">
        <v>0</v>
      </c>
      <c r="H423">
        <v>0</v>
      </c>
      <c r="I423" s="7" t="s">
        <v>40</v>
      </c>
      <c r="J423">
        <v>0</v>
      </c>
    </row>
    <row r="424" spans="1:10" x14ac:dyDescent="0.25">
      <c r="A424">
        <v>423</v>
      </c>
      <c r="B424">
        <v>816186026</v>
      </c>
      <c r="C424" s="7" t="s">
        <v>39</v>
      </c>
      <c r="D424">
        <v>0</v>
      </c>
      <c r="E424" s="7">
        <f>worker_data[[#This Row],[employed]]-worker_data[[#This Row],[spent_amount]]</f>
        <v>0</v>
      </c>
      <c r="F424">
        <v>6.3440799999999995E-8</v>
      </c>
      <c r="G424">
        <v>0</v>
      </c>
      <c r="H424">
        <v>0</v>
      </c>
      <c r="I424" s="7" t="s">
        <v>40</v>
      </c>
      <c r="J424">
        <v>0</v>
      </c>
    </row>
    <row r="425" spans="1:10" x14ac:dyDescent="0.25">
      <c r="A425">
        <v>424</v>
      </c>
      <c r="B425">
        <v>371952423</v>
      </c>
      <c r="C425" s="7" t="s">
        <v>39</v>
      </c>
      <c r="D425">
        <v>0</v>
      </c>
      <c r="E425" s="7">
        <f>worker_data[[#This Row],[employed]]-worker_data[[#This Row],[spent_amount]]</f>
        <v>0</v>
      </c>
      <c r="F425">
        <v>6.0903199999999997E-8</v>
      </c>
      <c r="G425">
        <v>0</v>
      </c>
      <c r="H425">
        <v>0</v>
      </c>
      <c r="I425" s="7" t="s">
        <v>40</v>
      </c>
      <c r="J425">
        <v>0</v>
      </c>
    </row>
    <row r="426" spans="1:10" x14ac:dyDescent="0.25">
      <c r="A426">
        <v>425</v>
      </c>
      <c r="B426">
        <v>509247036</v>
      </c>
      <c r="C426" s="7" t="s">
        <v>39</v>
      </c>
      <c r="D426">
        <v>0</v>
      </c>
      <c r="E426" s="7">
        <f>worker_data[[#This Row],[employed]]-worker_data[[#This Row],[spent_amount]]</f>
        <v>0</v>
      </c>
      <c r="F426">
        <v>5.8466999999999997E-8</v>
      </c>
      <c r="G426">
        <v>0</v>
      </c>
      <c r="H426">
        <v>0</v>
      </c>
      <c r="I426" s="7" t="s">
        <v>40</v>
      </c>
      <c r="J426">
        <v>0</v>
      </c>
    </row>
    <row r="427" spans="1:10" x14ac:dyDescent="0.25">
      <c r="A427">
        <v>426</v>
      </c>
      <c r="B427">
        <v>684909644</v>
      </c>
      <c r="C427" s="7" t="s">
        <v>39</v>
      </c>
      <c r="D427">
        <v>0</v>
      </c>
      <c r="E427" s="7">
        <f>worker_data[[#This Row],[employed]]-worker_data[[#This Row],[spent_amount]]</f>
        <v>0</v>
      </c>
      <c r="F427">
        <v>5.61284E-8</v>
      </c>
      <c r="G427">
        <v>0</v>
      </c>
      <c r="H427">
        <v>0</v>
      </c>
      <c r="I427" s="7" t="s">
        <v>40</v>
      </c>
      <c r="J427">
        <v>0</v>
      </c>
    </row>
    <row r="428" spans="1:10" x14ac:dyDescent="0.25">
      <c r="A428">
        <v>427</v>
      </c>
      <c r="B428">
        <v>266244777</v>
      </c>
      <c r="C428" s="7" t="s">
        <v>39</v>
      </c>
      <c r="D428">
        <v>0</v>
      </c>
      <c r="E428" s="7">
        <f>worker_data[[#This Row],[employed]]-worker_data[[#This Row],[spent_amount]]</f>
        <v>0</v>
      </c>
      <c r="F428">
        <v>5.3883199999999998E-8</v>
      </c>
      <c r="G428">
        <v>0</v>
      </c>
      <c r="H428">
        <v>0</v>
      </c>
      <c r="I428" s="7" t="s">
        <v>40</v>
      </c>
      <c r="J428">
        <v>0</v>
      </c>
    </row>
    <row r="429" spans="1:10" x14ac:dyDescent="0.25">
      <c r="A429">
        <v>428</v>
      </c>
      <c r="B429">
        <v>472430546</v>
      </c>
      <c r="C429" s="7" t="s">
        <v>39</v>
      </c>
      <c r="D429">
        <v>0</v>
      </c>
      <c r="E429" s="7">
        <f>worker_data[[#This Row],[employed]]-worker_data[[#This Row],[spent_amount]]</f>
        <v>0</v>
      </c>
      <c r="F429">
        <v>5.17279E-8</v>
      </c>
      <c r="G429">
        <v>0</v>
      </c>
      <c r="H429">
        <v>0</v>
      </c>
      <c r="I429" s="7" t="s">
        <v>40</v>
      </c>
      <c r="J429">
        <v>0</v>
      </c>
    </row>
    <row r="430" spans="1:10" x14ac:dyDescent="0.25">
      <c r="A430">
        <v>429</v>
      </c>
      <c r="B430">
        <v>75339336</v>
      </c>
      <c r="C430" s="7" t="s">
        <v>39</v>
      </c>
      <c r="D430">
        <v>0</v>
      </c>
      <c r="E430" s="7">
        <f>worker_data[[#This Row],[employed]]-worker_data[[#This Row],[spent_amount]]</f>
        <v>0</v>
      </c>
      <c r="F430">
        <v>4.9658799999999997E-8</v>
      </c>
      <c r="G430">
        <v>0</v>
      </c>
      <c r="H430">
        <v>0</v>
      </c>
      <c r="I430" s="7" t="s">
        <v>40</v>
      </c>
      <c r="J430">
        <v>0</v>
      </c>
    </row>
    <row r="431" spans="1:10" x14ac:dyDescent="0.25">
      <c r="A431">
        <v>430</v>
      </c>
      <c r="B431">
        <v>606580838</v>
      </c>
      <c r="C431" s="7" t="s">
        <v>39</v>
      </c>
      <c r="D431">
        <v>0</v>
      </c>
      <c r="E431" s="7">
        <f>worker_data[[#This Row],[employed]]-worker_data[[#This Row],[spent_amount]]</f>
        <v>0</v>
      </c>
      <c r="F431">
        <v>4.76724E-8</v>
      </c>
      <c r="G431">
        <v>0</v>
      </c>
      <c r="H431">
        <v>0</v>
      </c>
      <c r="I431" s="7" t="s">
        <v>40</v>
      </c>
      <c r="J431">
        <v>0</v>
      </c>
    </row>
    <row r="432" spans="1:10" x14ac:dyDescent="0.25">
      <c r="A432">
        <v>431</v>
      </c>
      <c r="B432">
        <v>409110375</v>
      </c>
      <c r="C432" s="7" t="s">
        <v>39</v>
      </c>
      <c r="D432">
        <v>0</v>
      </c>
      <c r="E432" s="7">
        <f>worker_data[[#This Row],[employed]]-worker_data[[#This Row],[spent_amount]]</f>
        <v>0</v>
      </c>
      <c r="F432">
        <v>4.57655E-8</v>
      </c>
      <c r="G432">
        <v>0</v>
      </c>
      <c r="H432">
        <v>0</v>
      </c>
      <c r="I432" s="7" t="s">
        <v>40</v>
      </c>
      <c r="J432">
        <v>0</v>
      </c>
    </row>
    <row r="433" spans="1:10" x14ac:dyDescent="0.25">
      <c r="A433">
        <v>432</v>
      </c>
      <c r="B433">
        <v>755992754</v>
      </c>
      <c r="C433" s="7" t="s">
        <v>39</v>
      </c>
      <c r="D433">
        <v>0</v>
      </c>
      <c r="E433" s="7">
        <f>worker_data[[#This Row],[employed]]-worker_data[[#This Row],[spent_amount]]</f>
        <v>0</v>
      </c>
      <c r="F433">
        <v>4.3934899999999997E-8</v>
      </c>
      <c r="G433">
        <v>0</v>
      </c>
      <c r="H433">
        <v>0</v>
      </c>
      <c r="I433" s="7" t="s">
        <v>40</v>
      </c>
      <c r="J433">
        <v>0</v>
      </c>
    </row>
    <row r="434" spans="1:10" x14ac:dyDescent="0.25">
      <c r="A434">
        <v>433</v>
      </c>
      <c r="B434">
        <v>554247322</v>
      </c>
      <c r="C434" s="7" t="s">
        <v>39</v>
      </c>
      <c r="D434">
        <v>0</v>
      </c>
      <c r="E434" s="7">
        <f>worker_data[[#This Row],[employed]]-worker_data[[#This Row],[spent_amount]]</f>
        <v>0</v>
      </c>
      <c r="F434">
        <v>4.2177500000000002E-8</v>
      </c>
      <c r="G434">
        <v>0</v>
      </c>
      <c r="H434">
        <v>0</v>
      </c>
      <c r="I434" s="7" t="s">
        <v>40</v>
      </c>
      <c r="J434">
        <v>0</v>
      </c>
    </row>
    <row r="435" spans="1:10" x14ac:dyDescent="0.25">
      <c r="A435">
        <v>434</v>
      </c>
      <c r="B435">
        <v>754713312</v>
      </c>
      <c r="C435" s="7" t="s">
        <v>39</v>
      </c>
      <c r="D435">
        <v>0</v>
      </c>
      <c r="E435" s="7">
        <f>worker_data[[#This Row],[employed]]-worker_data[[#This Row],[spent_amount]]</f>
        <v>0</v>
      </c>
      <c r="F435">
        <v>4.0490400000000002E-8</v>
      </c>
      <c r="G435">
        <v>0</v>
      </c>
      <c r="H435">
        <v>0</v>
      </c>
      <c r="I435" s="7" t="s">
        <v>40</v>
      </c>
      <c r="J435">
        <v>0</v>
      </c>
    </row>
    <row r="436" spans="1:10" x14ac:dyDescent="0.25">
      <c r="A436">
        <v>435</v>
      </c>
      <c r="B436">
        <v>763846463</v>
      </c>
      <c r="C436" s="7" t="s">
        <v>39</v>
      </c>
      <c r="D436">
        <v>0</v>
      </c>
      <c r="E436" s="7">
        <f>worker_data[[#This Row],[employed]]-worker_data[[#This Row],[spent_amount]]</f>
        <v>0</v>
      </c>
      <c r="F436">
        <v>3.88708E-8</v>
      </c>
      <c r="G436">
        <v>0</v>
      </c>
      <c r="H436">
        <v>0</v>
      </c>
      <c r="I436" s="7" t="s">
        <v>40</v>
      </c>
      <c r="J436">
        <v>0</v>
      </c>
    </row>
    <row r="437" spans="1:10" x14ac:dyDescent="0.25">
      <c r="A437">
        <v>436</v>
      </c>
      <c r="B437">
        <v>219356870</v>
      </c>
      <c r="C437" s="7" t="s">
        <v>39</v>
      </c>
      <c r="D437">
        <v>0</v>
      </c>
      <c r="E437" s="7">
        <f>worker_data[[#This Row],[employed]]-worker_data[[#This Row],[spent_amount]]</f>
        <v>0</v>
      </c>
      <c r="F437">
        <v>3.7316000000000001E-8</v>
      </c>
      <c r="G437">
        <v>0</v>
      </c>
      <c r="H437">
        <v>0</v>
      </c>
      <c r="I437" s="7" t="s">
        <v>40</v>
      </c>
      <c r="J437">
        <v>0</v>
      </c>
    </row>
    <row r="438" spans="1:10" x14ac:dyDescent="0.25">
      <c r="A438">
        <v>437</v>
      </c>
      <c r="B438">
        <v>410799490</v>
      </c>
      <c r="C438" s="7" t="s">
        <v>39</v>
      </c>
      <c r="D438">
        <v>0</v>
      </c>
      <c r="E438" s="7">
        <f>worker_data[[#This Row],[employed]]-worker_data[[#This Row],[spent_amount]]</f>
        <v>0</v>
      </c>
      <c r="F438">
        <v>3.5823299999999999E-8</v>
      </c>
      <c r="G438">
        <v>0</v>
      </c>
      <c r="H438">
        <v>0</v>
      </c>
      <c r="I438" s="7" t="s">
        <v>40</v>
      </c>
      <c r="J438">
        <v>0</v>
      </c>
    </row>
    <row r="439" spans="1:10" x14ac:dyDescent="0.25">
      <c r="A439">
        <v>438</v>
      </c>
      <c r="B439">
        <v>97873848</v>
      </c>
      <c r="C439" s="7" t="s">
        <v>39</v>
      </c>
      <c r="D439">
        <v>0</v>
      </c>
      <c r="E439" s="7">
        <f>worker_data[[#This Row],[employed]]-worker_data[[#This Row],[spent_amount]]</f>
        <v>0</v>
      </c>
      <c r="F439">
        <v>3.4390400000000001E-8</v>
      </c>
      <c r="G439">
        <v>0</v>
      </c>
      <c r="H439">
        <v>0</v>
      </c>
      <c r="I439" s="7" t="s">
        <v>40</v>
      </c>
      <c r="J439">
        <v>0</v>
      </c>
    </row>
    <row r="440" spans="1:10" x14ac:dyDescent="0.25">
      <c r="A440">
        <v>439</v>
      </c>
      <c r="B440">
        <v>122114084</v>
      </c>
      <c r="C440" s="7" t="s">
        <v>39</v>
      </c>
      <c r="D440">
        <v>0</v>
      </c>
      <c r="E440" s="7">
        <f>worker_data[[#This Row],[employed]]-worker_data[[#This Row],[spent_amount]]</f>
        <v>0</v>
      </c>
      <c r="F440">
        <v>3.3014799999999997E-8</v>
      </c>
      <c r="G440">
        <v>0</v>
      </c>
      <c r="H440">
        <v>0</v>
      </c>
      <c r="I440" s="7" t="s">
        <v>40</v>
      </c>
      <c r="J440">
        <v>0</v>
      </c>
    </row>
    <row r="441" spans="1:10" x14ac:dyDescent="0.25">
      <c r="A441">
        <v>440</v>
      </c>
      <c r="B441">
        <v>878262718</v>
      </c>
      <c r="C441" s="7" t="s">
        <v>39</v>
      </c>
      <c r="D441">
        <v>0</v>
      </c>
      <c r="E441" s="7">
        <f>worker_data[[#This Row],[employed]]-worker_data[[#This Row],[spent_amount]]</f>
        <v>0</v>
      </c>
      <c r="F441">
        <v>3.1694200000000003E-8</v>
      </c>
      <c r="G441">
        <v>0</v>
      </c>
      <c r="H441">
        <v>0</v>
      </c>
      <c r="I441" s="7" t="s">
        <v>40</v>
      </c>
      <c r="J441">
        <v>0</v>
      </c>
    </row>
    <row r="442" spans="1:10" x14ac:dyDescent="0.25">
      <c r="A442">
        <v>441</v>
      </c>
      <c r="B442">
        <v>680385536</v>
      </c>
      <c r="C442" s="7" t="s">
        <v>39</v>
      </c>
      <c r="D442">
        <v>0</v>
      </c>
      <c r="E442" s="7">
        <f>worker_data[[#This Row],[employed]]-worker_data[[#This Row],[spent_amount]]</f>
        <v>0</v>
      </c>
      <c r="F442">
        <v>3.0426399999999999E-8</v>
      </c>
      <c r="G442">
        <v>0</v>
      </c>
      <c r="H442">
        <v>0</v>
      </c>
      <c r="I442" s="7" t="s">
        <v>40</v>
      </c>
      <c r="J442">
        <v>0</v>
      </c>
    </row>
    <row r="443" spans="1:10" x14ac:dyDescent="0.25">
      <c r="A443">
        <v>442</v>
      </c>
      <c r="B443">
        <v>614636719</v>
      </c>
      <c r="C443" s="7" t="s">
        <v>39</v>
      </c>
      <c r="D443">
        <v>0</v>
      </c>
      <c r="E443" s="7">
        <f>worker_data[[#This Row],[employed]]-worker_data[[#This Row],[spent_amount]]</f>
        <v>0</v>
      </c>
      <c r="F443">
        <v>2.9209399999999999E-8</v>
      </c>
      <c r="G443">
        <v>0</v>
      </c>
      <c r="H443">
        <v>0</v>
      </c>
      <c r="I443" s="7" t="s">
        <v>40</v>
      </c>
      <c r="J443">
        <v>0</v>
      </c>
    </row>
    <row r="444" spans="1:10" x14ac:dyDescent="0.25">
      <c r="A444">
        <v>443</v>
      </c>
      <c r="B444">
        <v>667089082</v>
      </c>
      <c r="C444" s="7" t="s">
        <v>39</v>
      </c>
      <c r="D444">
        <v>0</v>
      </c>
      <c r="E444" s="7">
        <f>worker_data[[#This Row],[employed]]-worker_data[[#This Row],[spent_amount]]</f>
        <v>0</v>
      </c>
      <c r="F444">
        <v>2.8040999999999999E-8</v>
      </c>
      <c r="G444">
        <v>0</v>
      </c>
      <c r="H444">
        <v>0</v>
      </c>
      <c r="I444" s="7" t="s">
        <v>40</v>
      </c>
      <c r="J444">
        <v>0</v>
      </c>
    </row>
    <row r="445" spans="1:10" x14ac:dyDescent="0.25">
      <c r="A445">
        <v>444</v>
      </c>
      <c r="B445">
        <v>754475882</v>
      </c>
      <c r="C445" s="7" t="s">
        <v>39</v>
      </c>
      <c r="D445">
        <v>0</v>
      </c>
      <c r="E445" s="7">
        <f>worker_data[[#This Row],[employed]]-worker_data[[#This Row],[spent_amount]]</f>
        <v>0</v>
      </c>
      <c r="F445">
        <v>2.6919300000000001E-8</v>
      </c>
      <c r="G445">
        <v>0</v>
      </c>
      <c r="H445">
        <v>0</v>
      </c>
      <c r="I445" s="7" t="s">
        <v>40</v>
      </c>
      <c r="J445">
        <v>0</v>
      </c>
    </row>
    <row r="446" spans="1:10" x14ac:dyDescent="0.25">
      <c r="A446">
        <v>445</v>
      </c>
      <c r="B446">
        <v>664340012</v>
      </c>
      <c r="C446" s="7" t="s">
        <v>39</v>
      </c>
      <c r="D446">
        <v>0</v>
      </c>
      <c r="E446" s="7">
        <f>worker_data[[#This Row],[employed]]-worker_data[[#This Row],[spent_amount]]</f>
        <v>0</v>
      </c>
      <c r="F446">
        <v>2.58426E-8</v>
      </c>
      <c r="G446">
        <v>0</v>
      </c>
      <c r="H446">
        <v>0</v>
      </c>
      <c r="I446" s="7" t="s">
        <v>40</v>
      </c>
      <c r="J446">
        <v>0</v>
      </c>
    </row>
    <row r="447" spans="1:10" x14ac:dyDescent="0.25">
      <c r="A447">
        <v>446</v>
      </c>
      <c r="B447">
        <v>662731058</v>
      </c>
      <c r="C447" s="7" t="s">
        <v>39</v>
      </c>
      <c r="D447">
        <v>0</v>
      </c>
      <c r="E447" s="7">
        <f>worker_data[[#This Row],[employed]]-worker_data[[#This Row],[spent_amount]]</f>
        <v>0</v>
      </c>
      <c r="F447">
        <v>2.4808899999999999E-8</v>
      </c>
      <c r="G447">
        <v>0</v>
      </c>
      <c r="H447">
        <v>0</v>
      </c>
      <c r="I447" s="7" t="s">
        <v>40</v>
      </c>
      <c r="J447">
        <v>0</v>
      </c>
    </row>
    <row r="448" spans="1:10" x14ac:dyDescent="0.25">
      <c r="A448">
        <v>447</v>
      </c>
      <c r="B448">
        <v>608743063</v>
      </c>
      <c r="C448" s="7" t="s">
        <v>39</v>
      </c>
      <c r="D448">
        <v>0</v>
      </c>
      <c r="E448" s="7">
        <f>worker_data[[#This Row],[employed]]-worker_data[[#This Row],[spent_amount]]</f>
        <v>0</v>
      </c>
      <c r="F448">
        <v>2.38165E-8</v>
      </c>
      <c r="G448">
        <v>0</v>
      </c>
      <c r="H448">
        <v>0</v>
      </c>
      <c r="I448" s="7" t="s">
        <v>40</v>
      </c>
      <c r="J448">
        <v>0</v>
      </c>
    </row>
    <row r="449" spans="1:10" x14ac:dyDescent="0.25">
      <c r="A449">
        <v>448</v>
      </c>
      <c r="B449">
        <v>319927294</v>
      </c>
      <c r="C449" s="7" t="s">
        <v>39</v>
      </c>
      <c r="D449">
        <v>0</v>
      </c>
      <c r="E449" s="7">
        <f>worker_data[[#This Row],[employed]]-worker_data[[#This Row],[spent_amount]]</f>
        <v>0</v>
      </c>
      <c r="F449">
        <v>2.28639E-8</v>
      </c>
      <c r="G449">
        <v>0</v>
      </c>
      <c r="H449">
        <v>0</v>
      </c>
      <c r="I449" s="7" t="s">
        <v>40</v>
      </c>
      <c r="J449">
        <v>0</v>
      </c>
    </row>
    <row r="450" spans="1:10" x14ac:dyDescent="0.25">
      <c r="A450">
        <v>449</v>
      </c>
      <c r="B450">
        <v>399476449</v>
      </c>
      <c r="C450" s="7" t="s">
        <v>39</v>
      </c>
      <c r="D450">
        <v>0</v>
      </c>
      <c r="E450" s="7">
        <f>worker_data[[#This Row],[employed]]-worker_data[[#This Row],[spent_amount]]</f>
        <v>0</v>
      </c>
      <c r="F450">
        <v>2.19493E-8</v>
      </c>
      <c r="G450">
        <v>0</v>
      </c>
      <c r="H450">
        <v>0</v>
      </c>
      <c r="I450" s="7" t="s">
        <v>40</v>
      </c>
      <c r="J450">
        <v>0</v>
      </c>
    </row>
    <row r="451" spans="1:10" x14ac:dyDescent="0.25">
      <c r="A451">
        <v>450</v>
      </c>
      <c r="B451">
        <v>823902069</v>
      </c>
      <c r="C451" s="7" t="s">
        <v>39</v>
      </c>
      <c r="D451">
        <v>0</v>
      </c>
      <c r="E451" s="7">
        <f>worker_data[[#This Row],[employed]]-worker_data[[#This Row],[spent_amount]]</f>
        <v>0</v>
      </c>
      <c r="F451">
        <v>2.10713E-8</v>
      </c>
      <c r="G451">
        <v>0</v>
      </c>
      <c r="H451">
        <v>0</v>
      </c>
      <c r="I451" s="7" t="s">
        <v>40</v>
      </c>
      <c r="J451">
        <v>0</v>
      </c>
    </row>
    <row r="452" spans="1:10" x14ac:dyDescent="0.25">
      <c r="A452">
        <v>451</v>
      </c>
      <c r="B452">
        <v>503335271</v>
      </c>
      <c r="C452" s="7" t="s">
        <v>39</v>
      </c>
      <c r="D452">
        <v>0</v>
      </c>
      <c r="E452" s="7">
        <f>worker_data[[#This Row],[employed]]-worker_data[[#This Row],[spent_amount]]</f>
        <v>0</v>
      </c>
      <c r="F452">
        <v>2.0228500000000001E-8</v>
      </c>
      <c r="G452">
        <v>0</v>
      </c>
      <c r="H452">
        <v>0</v>
      </c>
      <c r="I452" s="7" t="s">
        <v>40</v>
      </c>
      <c r="J452">
        <v>0</v>
      </c>
    </row>
    <row r="453" spans="1:10" x14ac:dyDescent="0.25">
      <c r="A453">
        <v>452</v>
      </c>
      <c r="B453">
        <v>499421395</v>
      </c>
      <c r="C453" s="7" t="s">
        <v>39</v>
      </c>
      <c r="D453">
        <v>0</v>
      </c>
      <c r="E453" s="7">
        <f>worker_data[[#This Row],[employed]]-worker_data[[#This Row],[spent_amount]]</f>
        <v>0</v>
      </c>
      <c r="F453">
        <v>1.94193E-8</v>
      </c>
      <c r="G453">
        <v>0</v>
      </c>
      <c r="H453">
        <v>0</v>
      </c>
      <c r="I453" s="7" t="s">
        <v>40</v>
      </c>
      <c r="J453">
        <v>0</v>
      </c>
    </row>
    <row r="454" spans="1:10" x14ac:dyDescent="0.25">
      <c r="A454">
        <v>453</v>
      </c>
      <c r="B454">
        <v>112437424</v>
      </c>
      <c r="C454" s="7" t="s">
        <v>39</v>
      </c>
      <c r="D454">
        <v>0</v>
      </c>
      <c r="E454" s="7">
        <f>worker_data[[#This Row],[employed]]-worker_data[[#This Row],[spent_amount]]</f>
        <v>0</v>
      </c>
      <c r="F454">
        <v>1.8642599999999998E-8</v>
      </c>
      <c r="G454">
        <v>0</v>
      </c>
      <c r="H454">
        <v>0</v>
      </c>
      <c r="I454" s="7" t="s">
        <v>40</v>
      </c>
      <c r="J454">
        <v>0</v>
      </c>
    </row>
    <row r="455" spans="1:10" x14ac:dyDescent="0.25">
      <c r="A455">
        <v>454</v>
      </c>
      <c r="B455">
        <v>690505706</v>
      </c>
      <c r="C455" s="7" t="s">
        <v>39</v>
      </c>
      <c r="D455">
        <v>0</v>
      </c>
      <c r="E455" s="7">
        <f>worker_data[[#This Row],[employed]]-worker_data[[#This Row],[spent_amount]]</f>
        <v>0</v>
      </c>
      <c r="F455">
        <v>1.7896899999999999E-8</v>
      </c>
      <c r="G455">
        <v>0</v>
      </c>
      <c r="H455">
        <v>0</v>
      </c>
      <c r="I455" s="7" t="s">
        <v>40</v>
      </c>
      <c r="J455">
        <v>0</v>
      </c>
    </row>
    <row r="456" spans="1:10" x14ac:dyDescent="0.25">
      <c r="A456">
        <v>455</v>
      </c>
      <c r="B456">
        <v>217190435</v>
      </c>
      <c r="C456" s="7" t="s">
        <v>39</v>
      </c>
      <c r="D456">
        <v>0</v>
      </c>
      <c r="E456" s="7">
        <f>worker_data[[#This Row],[employed]]-worker_data[[#This Row],[spent_amount]]</f>
        <v>0</v>
      </c>
      <c r="F456">
        <v>1.7181E-8</v>
      </c>
      <c r="G456">
        <v>0</v>
      </c>
      <c r="H456">
        <v>0</v>
      </c>
      <c r="I456" s="7" t="s">
        <v>40</v>
      </c>
      <c r="J456">
        <v>0</v>
      </c>
    </row>
    <row r="457" spans="1:10" x14ac:dyDescent="0.25">
      <c r="A457">
        <v>456</v>
      </c>
      <c r="B457">
        <v>216659257</v>
      </c>
      <c r="C457" s="7" t="s">
        <v>39</v>
      </c>
      <c r="D457">
        <v>0</v>
      </c>
      <c r="E457" s="7">
        <f>worker_data[[#This Row],[employed]]-worker_data[[#This Row],[spent_amount]]</f>
        <v>0</v>
      </c>
      <c r="F457">
        <v>1.6493699999999999E-8</v>
      </c>
      <c r="G457">
        <v>0</v>
      </c>
      <c r="H457">
        <v>0</v>
      </c>
      <c r="I457" s="7" t="s">
        <v>40</v>
      </c>
      <c r="J457">
        <v>0</v>
      </c>
    </row>
    <row r="458" spans="1:10" x14ac:dyDescent="0.25">
      <c r="A458">
        <v>457</v>
      </c>
      <c r="B458">
        <v>928193350</v>
      </c>
      <c r="C458" s="7" t="s">
        <v>39</v>
      </c>
      <c r="D458">
        <v>0</v>
      </c>
      <c r="E458" s="7">
        <f>worker_data[[#This Row],[employed]]-worker_data[[#This Row],[spent_amount]]</f>
        <v>0</v>
      </c>
      <c r="F458">
        <v>1.5834000000000001E-8</v>
      </c>
      <c r="G458">
        <v>0</v>
      </c>
      <c r="H458">
        <v>0</v>
      </c>
      <c r="I458" s="7" t="s">
        <v>40</v>
      </c>
      <c r="J458">
        <v>0</v>
      </c>
    </row>
    <row r="459" spans="1:10" x14ac:dyDescent="0.25">
      <c r="A459">
        <v>458</v>
      </c>
      <c r="B459">
        <v>214032322</v>
      </c>
      <c r="C459" s="7" t="s">
        <v>39</v>
      </c>
      <c r="D459">
        <v>0</v>
      </c>
      <c r="E459" s="7">
        <f>worker_data[[#This Row],[employed]]-worker_data[[#This Row],[spent_amount]]</f>
        <v>0</v>
      </c>
      <c r="F459">
        <v>1.52006E-8</v>
      </c>
      <c r="G459">
        <v>0</v>
      </c>
      <c r="H459">
        <v>0</v>
      </c>
      <c r="I459" s="7" t="s">
        <v>40</v>
      </c>
      <c r="J459">
        <v>0</v>
      </c>
    </row>
    <row r="460" spans="1:10" x14ac:dyDescent="0.25">
      <c r="A460">
        <v>459</v>
      </c>
      <c r="B460">
        <v>544625282</v>
      </c>
      <c r="C460" s="7" t="s">
        <v>39</v>
      </c>
      <c r="D460">
        <v>0</v>
      </c>
      <c r="E460" s="7">
        <f>worker_data[[#This Row],[employed]]-worker_data[[#This Row],[spent_amount]]</f>
        <v>0</v>
      </c>
      <c r="F460">
        <v>1.45926E-8</v>
      </c>
      <c r="G460">
        <v>0</v>
      </c>
      <c r="H460">
        <v>0</v>
      </c>
      <c r="I460" s="7" t="s">
        <v>40</v>
      </c>
      <c r="J460">
        <v>0</v>
      </c>
    </row>
    <row r="461" spans="1:10" x14ac:dyDescent="0.25">
      <c r="A461">
        <v>460</v>
      </c>
      <c r="B461">
        <v>837644506</v>
      </c>
      <c r="C461" s="7" t="s">
        <v>39</v>
      </c>
      <c r="D461">
        <v>0</v>
      </c>
      <c r="E461" s="7">
        <f>worker_data[[#This Row],[employed]]-worker_data[[#This Row],[spent_amount]]</f>
        <v>0</v>
      </c>
      <c r="F461">
        <v>1.4008899999999999E-8</v>
      </c>
      <c r="G461">
        <v>0</v>
      </c>
      <c r="H461">
        <v>0</v>
      </c>
      <c r="I461" s="7" t="s">
        <v>40</v>
      </c>
      <c r="J461">
        <v>0</v>
      </c>
    </row>
    <row r="462" spans="1:10" x14ac:dyDescent="0.25">
      <c r="A462">
        <v>461</v>
      </c>
      <c r="B462">
        <v>502279971</v>
      </c>
      <c r="C462" s="7" t="s">
        <v>39</v>
      </c>
      <c r="D462">
        <v>0</v>
      </c>
      <c r="E462" s="7">
        <f>worker_data[[#This Row],[employed]]-worker_data[[#This Row],[spent_amount]]</f>
        <v>0</v>
      </c>
      <c r="F462">
        <v>1.34485E-8</v>
      </c>
      <c r="G462">
        <v>0</v>
      </c>
      <c r="H462">
        <v>0</v>
      </c>
      <c r="I462" s="7" t="s">
        <v>40</v>
      </c>
      <c r="J462">
        <v>0</v>
      </c>
    </row>
    <row r="463" spans="1:10" x14ac:dyDescent="0.25">
      <c r="A463">
        <v>462</v>
      </c>
      <c r="B463">
        <v>119422827</v>
      </c>
      <c r="C463" s="7" t="s">
        <v>39</v>
      </c>
      <c r="D463">
        <v>0</v>
      </c>
      <c r="E463" s="7">
        <f>worker_data[[#This Row],[employed]]-worker_data[[#This Row],[spent_amount]]</f>
        <v>0</v>
      </c>
      <c r="F463">
        <v>1.29106E-8</v>
      </c>
      <c r="G463">
        <v>0</v>
      </c>
      <c r="H463">
        <v>0</v>
      </c>
      <c r="I463" s="7" t="s">
        <v>40</v>
      </c>
      <c r="J463">
        <v>0</v>
      </c>
    </row>
    <row r="464" spans="1:10" x14ac:dyDescent="0.25">
      <c r="A464">
        <v>463</v>
      </c>
      <c r="B464">
        <v>365005252</v>
      </c>
      <c r="C464" s="7" t="s">
        <v>39</v>
      </c>
      <c r="D464">
        <v>0</v>
      </c>
      <c r="E464" s="7">
        <f>worker_data[[#This Row],[employed]]-worker_data[[#This Row],[spent_amount]]</f>
        <v>0</v>
      </c>
      <c r="F464">
        <v>1.2394199999999999E-8</v>
      </c>
      <c r="G464">
        <v>0</v>
      </c>
      <c r="H464">
        <v>0</v>
      </c>
      <c r="I464" s="7" t="s">
        <v>40</v>
      </c>
      <c r="J464">
        <v>0</v>
      </c>
    </row>
    <row r="465" spans="1:10" x14ac:dyDescent="0.25">
      <c r="A465">
        <v>464</v>
      </c>
      <c r="B465">
        <v>759661178</v>
      </c>
      <c r="C465" s="7" t="s">
        <v>39</v>
      </c>
      <c r="D465">
        <v>0</v>
      </c>
      <c r="E465" s="7">
        <f>worker_data[[#This Row],[employed]]-worker_data[[#This Row],[spent_amount]]</f>
        <v>0</v>
      </c>
      <c r="F465">
        <v>1.18984E-8</v>
      </c>
      <c r="G465">
        <v>0</v>
      </c>
      <c r="H465">
        <v>0</v>
      </c>
      <c r="I465" s="7" t="s">
        <v>40</v>
      </c>
      <c r="J465">
        <v>0</v>
      </c>
    </row>
    <row r="466" spans="1:10" x14ac:dyDescent="0.25">
      <c r="A466">
        <v>465</v>
      </c>
      <c r="B466">
        <v>729177729</v>
      </c>
      <c r="C466" s="7" t="s">
        <v>39</v>
      </c>
      <c r="D466">
        <v>0</v>
      </c>
      <c r="E466" s="7">
        <f>worker_data[[#This Row],[employed]]-worker_data[[#This Row],[spent_amount]]</f>
        <v>0</v>
      </c>
      <c r="F466">
        <v>1.14225E-8</v>
      </c>
      <c r="G466">
        <v>0</v>
      </c>
      <c r="H466">
        <v>0</v>
      </c>
      <c r="I466" s="7" t="s">
        <v>40</v>
      </c>
      <c r="J466">
        <v>0</v>
      </c>
    </row>
    <row r="467" spans="1:10" x14ac:dyDescent="0.25">
      <c r="A467">
        <v>466</v>
      </c>
      <c r="B467">
        <v>307984075</v>
      </c>
      <c r="C467" s="7" t="s">
        <v>39</v>
      </c>
      <c r="D467">
        <v>0</v>
      </c>
      <c r="E467" s="7">
        <f>worker_data[[#This Row],[employed]]-worker_data[[#This Row],[spent_amount]]</f>
        <v>0</v>
      </c>
      <c r="F467">
        <v>1.09656E-8</v>
      </c>
      <c r="G467">
        <v>0</v>
      </c>
      <c r="H467">
        <v>0</v>
      </c>
      <c r="I467" s="7" t="s">
        <v>40</v>
      </c>
      <c r="J467">
        <v>0</v>
      </c>
    </row>
    <row r="468" spans="1:10" x14ac:dyDescent="0.25">
      <c r="A468">
        <v>467</v>
      </c>
      <c r="B468">
        <v>561616936</v>
      </c>
      <c r="C468" s="7" t="s">
        <v>39</v>
      </c>
      <c r="D468">
        <v>0</v>
      </c>
      <c r="E468" s="7">
        <f>worker_data[[#This Row],[employed]]-worker_data[[#This Row],[spent_amount]]</f>
        <v>0</v>
      </c>
      <c r="F468">
        <v>1.0527000000000001E-8</v>
      </c>
      <c r="G468">
        <v>0</v>
      </c>
      <c r="H468">
        <v>0</v>
      </c>
      <c r="I468" s="7" t="s">
        <v>40</v>
      </c>
      <c r="J468">
        <v>0</v>
      </c>
    </row>
    <row r="469" spans="1:10" x14ac:dyDescent="0.25">
      <c r="A469">
        <v>468</v>
      </c>
      <c r="B469">
        <v>499736493</v>
      </c>
      <c r="C469" s="7" t="s">
        <v>39</v>
      </c>
      <c r="D469">
        <v>0</v>
      </c>
      <c r="E469" s="7">
        <f>worker_data[[#This Row],[employed]]-worker_data[[#This Row],[spent_amount]]</f>
        <v>0</v>
      </c>
      <c r="F469">
        <v>1.0105899999999999E-8</v>
      </c>
      <c r="G469">
        <v>0</v>
      </c>
      <c r="H469">
        <v>0</v>
      </c>
      <c r="I469" s="7" t="s">
        <v>40</v>
      </c>
      <c r="J469">
        <v>0</v>
      </c>
    </row>
    <row r="470" spans="1:10" x14ac:dyDescent="0.25">
      <c r="A470">
        <v>469</v>
      </c>
      <c r="B470">
        <v>240232293</v>
      </c>
      <c r="C470" s="7" t="s">
        <v>39</v>
      </c>
      <c r="D470">
        <v>0</v>
      </c>
      <c r="E470" s="7">
        <f>worker_data[[#This Row],[employed]]-worker_data[[#This Row],[spent_amount]]</f>
        <v>0</v>
      </c>
      <c r="F470">
        <v>9.7016399999999992E-9</v>
      </c>
      <c r="G470">
        <v>0</v>
      </c>
      <c r="H470">
        <v>0</v>
      </c>
      <c r="I470" s="7" t="s">
        <v>40</v>
      </c>
      <c r="J470">
        <v>0</v>
      </c>
    </row>
    <row r="471" spans="1:10" x14ac:dyDescent="0.25">
      <c r="A471">
        <v>470</v>
      </c>
      <c r="B471">
        <v>462297772</v>
      </c>
      <c r="C471" s="7" t="s">
        <v>39</v>
      </c>
      <c r="D471">
        <v>0</v>
      </c>
      <c r="E471" s="7">
        <f>worker_data[[#This Row],[employed]]-worker_data[[#This Row],[spent_amount]]</f>
        <v>0</v>
      </c>
      <c r="F471">
        <v>9.31358E-9</v>
      </c>
      <c r="G471">
        <v>0</v>
      </c>
      <c r="H471">
        <v>0</v>
      </c>
      <c r="I471" s="7" t="s">
        <v>40</v>
      </c>
      <c r="J471">
        <v>0</v>
      </c>
    </row>
    <row r="472" spans="1:10" x14ac:dyDescent="0.25">
      <c r="A472">
        <v>471</v>
      </c>
      <c r="B472">
        <v>115732100</v>
      </c>
      <c r="C472" s="7" t="s">
        <v>39</v>
      </c>
      <c r="D472">
        <v>0</v>
      </c>
      <c r="E472" s="7">
        <f>worker_data[[#This Row],[employed]]-worker_data[[#This Row],[spent_amount]]</f>
        <v>0</v>
      </c>
      <c r="F472">
        <v>8.9410300000000001E-9</v>
      </c>
      <c r="G472">
        <v>0</v>
      </c>
      <c r="H472">
        <v>0</v>
      </c>
      <c r="I472" s="7" t="s">
        <v>40</v>
      </c>
      <c r="J472">
        <v>0</v>
      </c>
    </row>
    <row r="473" spans="1:10" x14ac:dyDescent="0.25">
      <c r="A473">
        <v>472</v>
      </c>
      <c r="B473">
        <v>652686799</v>
      </c>
      <c r="C473" s="7" t="s">
        <v>39</v>
      </c>
      <c r="D473">
        <v>0</v>
      </c>
      <c r="E473" s="7">
        <f>worker_data[[#This Row],[employed]]-worker_data[[#This Row],[spent_amount]]</f>
        <v>0</v>
      </c>
      <c r="F473">
        <v>8.5833900000000001E-9</v>
      </c>
      <c r="G473">
        <v>0</v>
      </c>
      <c r="H473">
        <v>0</v>
      </c>
      <c r="I473" s="7" t="s">
        <v>40</v>
      </c>
      <c r="J473">
        <v>0</v>
      </c>
    </row>
    <row r="474" spans="1:10" x14ac:dyDescent="0.25">
      <c r="A474">
        <v>473</v>
      </c>
      <c r="B474">
        <v>153815200</v>
      </c>
      <c r="C474" s="7" t="s">
        <v>39</v>
      </c>
      <c r="D474">
        <v>0</v>
      </c>
      <c r="E474" s="7">
        <f>worker_data[[#This Row],[employed]]-worker_data[[#This Row],[spent_amount]]</f>
        <v>0</v>
      </c>
      <c r="F474">
        <v>8.2400600000000006E-9</v>
      </c>
      <c r="G474">
        <v>0</v>
      </c>
      <c r="H474">
        <v>0</v>
      </c>
      <c r="I474" s="7" t="s">
        <v>40</v>
      </c>
      <c r="J474">
        <v>0</v>
      </c>
    </row>
    <row r="475" spans="1:10" x14ac:dyDescent="0.25">
      <c r="A475">
        <v>474</v>
      </c>
      <c r="B475">
        <v>139810323</v>
      </c>
      <c r="C475" s="7" t="s">
        <v>39</v>
      </c>
      <c r="D475">
        <v>0</v>
      </c>
      <c r="E475" s="7">
        <f>worker_data[[#This Row],[employed]]-worker_data[[#This Row],[spent_amount]]</f>
        <v>0</v>
      </c>
      <c r="F475">
        <v>7.9104600000000004E-9</v>
      </c>
      <c r="G475">
        <v>0</v>
      </c>
      <c r="H475">
        <v>0</v>
      </c>
      <c r="I475" s="7" t="s">
        <v>40</v>
      </c>
      <c r="J475">
        <v>0</v>
      </c>
    </row>
    <row r="476" spans="1:10" x14ac:dyDescent="0.25">
      <c r="A476">
        <v>475</v>
      </c>
      <c r="B476">
        <v>240757007</v>
      </c>
      <c r="C476" s="7" t="s">
        <v>39</v>
      </c>
      <c r="D476">
        <v>0</v>
      </c>
      <c r="E476" s="7">
        <f>worker_data[[#This Row],[employed]]-worker_data[[#This Row],[spent_amount]]</f>
        <v>0</v>
      </c>
      <c r="F476">
        <v>7.5940399999999996E-9</v>
      </c>
      <c r="G476">
        <v>0</v>
      </c>
      <c r="H476">
        <v>0</v>
      </c>
      <c r="I476" s="7" t="s">
        <v>40</v>
      </c>
      <c r="J476">
        <v>0</v>
      </c>
    </row>
    <row r="477" spans="1:10" x14ac:dyDescent="0.25">
      <c r="A477">
        <v>476</v>
      </c>
      <c r="B477">
        <v>799662909</v>
      </c>
      <c r="C477" s="7" t="s">
        <v>39</v>
      </c>
      <c r="D477">
        <v>0</v>
      </c>
      <c r="E477" s="7">
        <f>worker_data[[#This Row],[employed]]-worker_data[[#This Row],[spent_amount]]</f>
        <v>0</v>
      </c>
      <c r="F477">
        <v>7.2902800000000002E-9</v>
      </c>
      <c r="G477">
        <v>0</v>
      </c>
      <c r="H477">
        <v>0</v>
      </c>
      <c r="I477" s="7" t="s">
        <v>40</v>
      </c>
      <c r="J477">
        <v>0</v>
      </c>
    </row>
    <row r="478" spans="1:10" x14ac:dyDescent="0.25">
      <c r="A478">
        <v>477</v>
      </c>
      <c r="B478">
        <v>991557721</v>
      </c>
      <c r="C478" s="7" t="s">
        <v>39</v>
      </c>
      <c r="D478">
        <v>0</v>
      </c>
      <c r="E478" s="7">
        <f>worker_data[[#This Row],[employed]]-worker_data[[#This Row],[spent_amount]]</f>
        <v>0</v>
      </c>
      <c r="F478">
        <v>6.9986600000000003E-9</v>
      </c>
      <c r="G478">
        <v>0</v>
      </c>
      <c r="H478">
        <v>0</v>
      </c>
      <c r="I478" s="7" t="s">
        <v>40</v>
      </c>
      <c r="J478">
        <v>0</v>
      </c>
    </row>
    <row r="479" spans="1:10" x14ac:dyDescent="0.25">
      <c r="A479">
        <v>478</v>
      </c>
      <c r="B479">
        <v>217483586</v>
      </c>
      <c r="C479" s="7" t="s">
        <v>39</v>
      </c>
      <c r="D479">
        <v>0</v>
      </c>
      <c r="E479" s="7">
        <f>worker_data[[#This Row],[employed]]-worker_data[[#This Row],[spent_amount]]</f>
        <v>0</v>
      </c>
      <c r="F479">
        <v>6.7187199999999997E-9</v>
      </c>
      <c r="G479">
        <v>0</v>
      </c>
      <c r="H479">
        <v>0</v>
      </c>
      <c r="I479" s="7" t="s">
        <v>40</v>
      </c>
      <c r="J479">
        <v>0</v>
      </c>
    </row>
    <row r="480" spans="1:10" x14ac:dyDescent="0.25">
      <c r="A480">
        <v>479</v>
      </c>
      <c r="B480">
        <v>963542721</v>
      </c>
      <c r="C480" s="7" t="s">
        <v>39</v>
      </c>
      <c r="D480">
        <v>0</v>
      </c>
      <c r="E480" s="7">
        <f>worker_data[[#This Row],[employed]]-worker_data[[#This Row],[spent_amount]]</f>
        <v>0</v>
      </c>
      <c r="F480">
        <v>6.4499700000000002E-9</v>
      </c>
      <c r="G480">
        <v>0</v>
      </c>
      <c r="H480">
        <v>0</v>
      </c>
      <c r="I480" s="7" t="s">
        <v>40</v>
      </c>
      <c r="J480">
        <v>0</v>
      </c>
    </row>
    <row r="481" spans="1:10" x14ac:dyDescent="0.25">
      <c r="A481">
        <v>480</v>
      </c>
      <c r="B481">
        <v>155945983</v>
      </c>
      <c r="C481" s="7" t="s">
        <v>39</v>
      </c>
      <c r="D481">
        <v>0</v>
      </c>
      <c r="E481" s="7">
        <f>worker_data[[#This Row],[employed]]-worker_data[[#This Row],[spent_amount]]</f>
        <v>0</v>
      </c>
      <c r="F481">
        <v>6.1919699999999997E-9</v>
      </c>
      <c r="G481">
        <v>0</v>
      </c>
      <c r="H481">
        <v>0</v>
      </c>
      <c r="I481" s="7" t="s">
        <v>40</v>
      </c>
      <c r="J481">
        <v>0</v>
      </c>
    </row>
    <row r="482" spans="1:10" x14ac:dyDescent="0.25">
      <c r="A482">
        <v>481</v>
      </c>
      <c r="B482">
        <v>214775101</v>
      </c>
      <c r="C482" s="7" t="s">
        <v>39</v>
      </c>
      <c r="D482">
        <v>0</v>
      </c>
      <c r="E482" s="7">
        <f>worker_data[[#This Row],[employed]]-worker_data[[#This Row],[spent_amount]]</f>
        <v>0</v>
      </c>
      <c r="F482">
        <v>5.94429E-9</v>
      </c>
      <c r="G482">
        <v>0</v>
      </c>
      <c r="H482">
        <v>0</v>
      </c>
      <c r="I482" s="7" t="s">
        <v>40</v>
      </c>
      <c r="J482">
        <v>0</v>
      </c>
    </row>
    <row r="483" spans="1:10" x14ac:dyDescent="0.25">
      <c r="A483">
        <v>482</v>
      </c>
      <c r="B483">
        <v>854562422</v>
      </c>
      <c r="C483" s="7" t="s">
        <v>39</v>
      </c>
      <c r="D483">
        <v>0</v>
      </c>
      <c r="E483" s="7">
        <f>worker_data[[#This Row],[employed]]-worker_data[[#This Row],[spent_amount]]</f>
        <v>0</v>
      </c>
      <c r="F483">
        <v>5.7065200000000003E-9</v>
      </c>
      <c r="G483">
        <v>0</v>
      </c>
      <c r="H483">
        <v>0</v>
      </c>
      <c r="I483" s="7" t="s">
        <v>40</v>
      </c>
      <c r="J483">
        <v>0</v>
      </c>
    </row>
    <row r="484" spans="1:10" x14ac:dyDescent="0.25">
      <c r="A484">
        <v>483</v>
      </c>
      <c r="B484">
        <v>862976925</v>
      </c>
      <c r="C484" s="7" t="s">
        <v>39</v>
      </c>
      <c r="D484">
        <v>0</v>
      </c>
      <c r="E484" s="7">
        <f>worker_data[[#This Row],[employed]]-worker_data[[#This Row],[spent_amount]]</f>
        <v>0</v>
      </c>
      <c r="F484">
        <v>5.4782599999999997E-9</v>
      </c>
      <c r="G484">
        <v>0</v>
      </c>
      <c r="H484">
        <v>0</v>
      </c>
      <c r="I484" s="7" t="s">
        <v>40</v>
      </c>
      <c r="J484">
        <v>0</v>
      </c>
    </row>
    <row r="485" spans="1:10" x14ac:dyDescent="0.25">
      <c r="A485">
        <v>484</v>
      </c>
      <c r="B485">
        <v>155380542</v>
      </c>
      <c r="C485" s="7" t="s">
        <v>39</v>
      </c>
      <c r="D485">
        <v>0</v>
      </c>
      <c r="E485" s="7">
        <f>worker_data[[#This Row],[employed]]-worker_data[[#This Row],[spent_amount]]</f>
        <v>0</v>
      </c>
      <c r="F485">
        <v>5.2591300000000002E-9</v>
      </c>
      <c r="G485">
        <v>0</v>
      </c>
      <c r="H485">
        <v>0</v>
      </c>
      <c r="I485" s="7" t="s">
        <v>40</v>
      </c>
      <c r="J485">
        <v>0</v>
      </c>
    </row>
    <row r="486" spans="1:10" x14ac:dyDescent="0.25">
      <c r="A486">
        <v>485</v>
      </c>
      <c r="B486">
        <v>777922170</v>
      </c>
      <c r="C486" s="7" t="s">
        <v>39</v>
      </c>
      <c r="D486">
        <v>0</v>
      </c>
      <c r="E486" s="7">
        <f>worker_data[[#This Row],[employed]]-worker_data[[#This Row],[spent_amount]]</f>
        <v>0</v>
      </c>
      <c r="F486">
        <v>5.0487599999999998E-9</v>
      </c>
      <c r="G486">
        <v>0</v>
      </c>
      <c r="H486">
        <v>0</v>
      </c>
      <c r="I486" s="7" t="s">
        <v>40</v>
      </c>
      <c r="J486">
        <v>0</v>
      </c>
    </row>
    <row r="487" spans="1:10" x14ac:dyDescent="0.25">
      <c r="A487">
        <v>486</v>
      </c>
      <c r="B487">
        <v>573599403</v>
      </c>
      <c r="C487" s="7" t="s">
        <v>39</v>
      </c>
      <c r="D487">
        <v>0</v>
      </c>
      <c r="E487" s="7">
        <f>worker_data[[#This Row],[employed]]-worker_data[[#This Row],[spent_amount]]</f>
        <v>0</v>
      </c>
      <c r="F487">
        <v>4.8468100000000001E-9</v>
      </c>
      <c r="G487">
        <v>0</v>
      </c>
      <c r="H487">
        <v>0</v>
      </c>
      <c r="I487" s="7" t="s">
        <v>40</v>
      </c>
      <c r="J487">
        <v>0</v>
      </c>
    </row>
    <row r="488" spans="1:10" x14ac:dyDescent="0.25">
      <c r="A488">
        <v>487</v>
      </c>
      <c r="B488">
        <v>942678229</v>
      </c>
      <c r="C488" s="7" t="s">
        <v>39</v>
      </c>
      <c r="D488">
        <v>0</v>
      </c>
      <c r="E488" s="7">
        <f>worker_data[[#This Row],[employed]]-worker_data[[#This Row],[spent_amount]]</f>
        <v>0</v>
      </c>
      <c r="F488">
        <v>4.6529400000000003E-9</v>
      </c>
      <c r="G488">
        <v>0</v>
      </c>
      <c r="H488">
        <v>0</v>
      </c>
      <c r="I488" s="7" t="s">
        <v>40</v>
      </c>
      <c r="J488">
        <v>0</v>
      </c>
    </row>
    <row r="489" spans="1:10" x14ac:dyDescent="0.25">
      <c r="A489">
        <v>488</v>
      </c>
      <c r="B489">
        <v>26070470</v>
      </c>
      <c r="C489" s="7" t="s">
        <v>39</v>
      </c>
      <c r="D489">
        <v>0</v>
      </c>
      <c r="E489" s="7">
        <f>worker_data[[#This Row],[employed]]-worker_data[[#This Row],[spent_amount]]</f>
        <v>0</v>
      </c>
      <c r="F489">
        <v>4.4668200000000001E-9</v>
      </c>
      <c r="G489">
        <v>0</v>
      </c>
      <c r="H489">
        <v>0</v>
      </c>
      <c r="I489" s="7" t="s">
        <v>40</v>
      </c>
      <c r="J489">
        <v>0</v>
      </c>
    </row>
    <row r="490" spans="1:10" x14ac:dyDescent="0.25">
      <c r="A490">
        <v>489</v>
      </c>
      <c r="B490">
        <v>143261146</v>
      </c>
      <c r="C490" s="7" t="s">
        <v>39</v>
      </c>
      <c r="D490">
        <v>0</v>
      </c>
      <c r="E490" s="7">
        <f>worker_data[[#This Row],[employed]]-worker_data[[#This Row],[spent_amount]]</f>
        <v>0</v>
      </c>
      <c r="F490">
        <v>4.2881499999999999E-9</v>
      </c>
      <c r="G490">
        <v>0</v>
      </c>
      <c r="H490">
        <v>0</v>
      </c>
      <c r="I490" s="7" t="s">
        <v>40</v>
      </c>
      <c r="J490">
        <v>0</v>
      </c>
    </row>
    <row r="491" spans="1:10" x14ac:dyDescent="0.25">
      <c r="A491">
        <v>490</v>
      </c>
      <c r="B491">
        <v>771318741</v>
      </c>
      <c r="C491" s="7" t="s">
        <v>39</v>
      </c>
      <c r="D491">
        <v>0</v>
      </c>
      <c r="E491" s="7">
        <f>worker_data[[#This Row],[employed]]-worker_data[[#This Row],[spent_amount]]</f>
        <v>0</v>
      </c>
      <c r="F491">
        <v>4.1166200000000002E-9</v>
      </c>
      <c r="G491">
        <v>0</v>
      </c>
      <c r="H491">
        <v>0</v>
      </c>
      <c r="I491" s="7" t="s">
        <v>40</v>
      </c>
      <c r="J491">
        <v>0</v>
      </c>
    </row>
    <row r="492" spans="1:10" x14ac:dyDescent="0.25">
      <c r="A492">
        <v>491</v>
      </c>
      <c r="B492">
        <v>580462080</v>
      </c>
      <c r="C492" s="7" t="s">
        <v>39</v>
      </c>
      <c r="D492">
        <v>0</v>
      </c>
      <c r="E492" s="7">
        <f>worker_data[[#This Row],[employed]]-worker_data[[#This Row],[spent_amount]]</f>
        <v>0</v>
      </c>
      <c r="F492">
        <v>3.9519600000000001E-9</v>
      </c>
      <c r="G492">
        <v>0</v>
      </c>
      <c r="H492">
        <v>0</v>
      </c>
      <c r="I492" s="7" t="s">
        <v>40</v>
      </c>
      <c r="J492">
        <v>0</v>
      </c>
    </row>
    <row r="493" spans="1:10" x14ac:dyDescent="0.25">
      <c r="A493">
        <v>492</v>
      </c>
      <c r="B493">
        <v>732753108</v>
      </c>
      <c r="C493" s="7" t="s">
        <v>39</v>
      </c>
      <c r="D493">
        <v>0</v>
      </c>
      <c r="E493" s="7">
        <f>worker_data[[#This Row],[employed]]-worker_data[[#This Row],[spent_amount]]</f>
        <v>0</v>
      </c>
      <c r="F493">
        <v>3.7938799999999997E-9</v>
      </c>
      <c r="G493">
        <v>0</v>
      </c>
      <c r="H493">
        <v>0</v>
      </c>
      <c r="I493" s="7" t="s">
        <v>40</v>
      </c>
      <c r="J493">
        <v>0</v>
      </c>
    </row>
    <row r="494" spans="1:10" x14ac:dyDescent="0.25">
      <c r="A494">
        <v>493</v>
      </c>
      <c r="B494">
        <v>306274132</v>
      </c>
      <c r="C494" s="7" t="s">
        <v>39</v>
      </c>
      <c r="D494">
        <v>0</v>
      </c>
      <c r="E494" s="7">
        <f>worker_data[[#This Row],[employed]]-worker_data[[#This Row],[spent_amount]]</f>
        <v>0</v>
      </c>
      <c r="F494">
        <v>3.6421300000000001E-9</v>
      </c>
      <c r="G494">
        <v>0</v>
      </c>
      <c r="H494">
        <v>0</v>
      </c>
      <c r="I494" s="7" t="s">
        <v>40</v>
      </c>
      <c r="J494">
        <v>0</v>
      </c>
    </row>
    <row r="495" spans="1:10" x14ac:dyDescent="0.25">
      <c r="A495">
        <v>494</v>
      </c>
      <c r="B495">
        <v>460986768</v>
      </c>
      <c r="C495" s="7" t="s">
        <v>39</v>
      </c>
      <c r="D495">
        <v>0</v>
      </c>
      <c r="E495" s="7">
        <f>worker_data[[#This Row],[employed]]-worker_data[[#This Row],[spent_amount]]</f>
        <v>0</v>
      </c>
      <c r="F495">
        <v>3.49644E-9</v>
      </c>
      <c r="G495">
        <v>0</v>
      </c>
      <c r="H495">
        <v>0</v>
      </c>
      <c r="I495" s="7" t="s">
        <v>40</v>
      </c>
      <c r="J495">
        <v>0</v>
      </c>
    </row>
    <row r="496" spans="1:10" x14ac:dyDescent="0.25">
      <c r="A496">
        <v>495</v>
      </c>
      <c r="B496">
        <v>957588513</v>
      </c>
      <c r="C496" s="7" t="s">
        <v>39</v>
      </c>
      <c r="D496">
        <v>0</v>
      </c>
      <c r="E496" s="7">
        <f>worker_data[[#This Row],[employed]]-worker_data[[#This Row],[spent_amount]]</f>
        <v>0</v>
      </c>
      <c r="F496">
        <v>3.35658E-9</v>
      </c>
      <c r="G496">
        <v>0</v>
      </c>
      <c r="H496">
        <v>0</v>
      </c>
      <c r="I496" s="7" t="s">
        <v>40</v>
      </c>
      <c r="J496">
        <v>0</v>
      </c>
    </row>
    <row r="497" spans="1:10" x14ac:dyDescent="0.25">
      <c r="A497">
        <v>496</v>
      </c>
      <c r="B497">
        <v>679607242</v>
      </c>
      <c r="C497" s="7" t="s">
        <v>39</v>
      </c>
      <c r="D497">
        <v>0</v>
      </c>
      <c r="E497" s="7">
        <f>worker_data[[#This Row],[employed]]-worker_data[[#This Row],[spent_amount]]</f>
        <v>0</v>
      </c>
      <c r="F497">
        <v>3.2223200000000001E-9</v>
      </c>
      <c r="G497">
        <v>0</v>
      </c>
      <c r="H497">
        <v>0</v>
      </c>
      <c r="I497" s="7" t="s">
        <v>40</v>
      </c>
      <c r="J497">
        <v>0</v>
      </c>
    </row>
    <row r="498" spans="1:10" x14ac:dyDescent="0.25">
      <c r="A498">
        <v>497</v>
      </c>
      <c r="B498">
        <v>966101454</v>
      </c>
      <c r="C498" s="7" t="s">
        <v>39</v>
      </c>
      <c r="D498">
        <v>0</v>
      </c>
      <c r="E498" s="7">
        <f>worker_data[[#This Row],[employed]]-worker_data[[#This Row],[spent_amount]]</f>
        <v>0</v>
      </c>
      <c r="F498">
        <v>3.0934300000000001E-9</v>
      </c>
      <c r="G498">
        <v>0</v>
      </c>
      <c r="H498">
        <v>0</v>
      </c>
      <c r="I498" s="7" t="s">
        <v>40</v>
      </c>
      <c r="J498">
        <v>0</v>
      </c>
    </row>
    <row r="499" spans="1:10" x14ac:dyDescent="0.25">
      <c r="A499">
        <v>498</v>
      </c>
      <c r="B499">
        <v>723897936</v>
      </c>
      <c r="C499" s="7" t="s">
        <v>39</v>
      </c>
      <c r="D499">
        <v>0</v>
      </c>
      <c r="E499" s="7">
        <f>worker_data[[#This Row],[employed]]-worker_data[[#This Row],[spent_amount]]</f>
        <v>0</v>
      </c>
      <c r="F499">
        <v>2.9696899999999999E-9</v>
      </c>
      <c r="G499">
        <v>0</v>
      </c>
      <c r="H499">
        <v>0</v>
      </c>
      <c r="I499" s="7" t="s">
        <v>40</v>
      </c>
      <c r="J499">
        <v>0</v>
      </c>
    </row>
    <row r="500" spans="1:10" x14ac:dyDescent="0.25">
      <c r="A500">
        <v>499</v>
      </c>
      <c r="B500">
        <v>849490600</v>
      </c>
      <c r="C500" s="7" t="s">
        <v>39</v>
      </c>
      <c r="D500">
        <v>0</v>
      </c>
      <c r="E500" s="7">
        <f>worker_data[[#This Row],[employed]]-worker_data[[#This Row],[spent_amount]]</f>
        <v>0</v>
      </c>
      <c r="F500">
        <v>2.8509000000000002E-9</v>
      </c>
      <c r="G500">
        <v>0</v>
      </c>
      <c r="H500">
        <v>0</v>
      </c>
      <c r="I500" s="7" t="s">
        <v>40</v>
      </c>
      <c r="J500">
        <v>0</v>
      </c>
    </row>
    <row r="501" spans="1:10" x14ac:dyDescent="0.25">
      <c r="A501">
        <v>500</v>
      </c>
      <c r="B501">
        <v>283963449</v>
      </c>
      <c r="C501" s="7" t="s">
        <v>39</v>
      </c>
      <c r="D501">
        <v>0</v>
      </c>
      <c r="E501" s="7">
        <f>worker_data[[#This Row],[employed]]-worker_data[[#This Row],[spent_amount]]</f>
        <v>0</v>
      </c>
      <c r="F501">
        <v>2.7368699999999999E-9</v>
      </c>
      <c r="G501">
        <v>0</v>
      </c>
      <c r="H501">
        <v>0</v>
      </c>
      <c r="I501" s="7" t="s">
        <v>40</v>
      </c>
      <c r="J501">
        <v>0</v>
      </c>
    </row>
    <row r="502" spans="1:10" x14ac:dyDescent="0.25">
      <c r="A502">
        <v>501</v>
      </c>
      <c r="B502">
        <v>262557037</v>
      </c>
      <c r="C502" s="7" t="s">
        <v>39</v>
      </c>
      <c r="D502">
        <v>0</v>
      </c>
      <c r="E502" s="7">
        <f>worker_data[[#This Row],[employed]]-worker_data[[#This Row],[spent_amount]]</f>
        <v>0</v>
      </c>
      <c r="F502">
        <v>2.62739E-9</v>
      </c>
      <c r="G502">
        <v>0</v>
      </c>
      <c r="H502">
        <v>0</v>
      </c>
      <c r="I502" s="7" t="s">
        <v>40</v>
      </c>
      <c r="J502">
        <v>0</v>
      </c>
    </row>
    <row r="503" spans="1:10" x14ac:dyDescent="0.25">
      <c r="A503">
        <v>502</v>
      </c>
      <c r="B503">
        <v>224710013</v>
      </c>
      <c r="C503" s="7" t="s">
        <v>39</v>
      </c>
      <c r="D503">
        <v>0</v>
      </c>
      <c r="E503" s="7">
        <f>worker_data[[#This Row],[employed]]-worker_data[[#This Row],[spent_amount]]</f>
        <v>0</v>
      </c>
      <c r="F503">
        <v>2.5222999999999999E-9</v>
      </c>
      <c r="G503">
        <v>0</v>
      </c>
      <c r="H503">
        <v>0</v>
      </c>
      <c r="I503" s="7" t="s">
        <v>40</v>
      </c>
      <c r="J503">
        <v>0</v>
      </c>
    </row>
    <row r="504" spans="1:10" x14ac:dyDescent="0.25">
      <c r="A504">
        <v>503</v>
      </c>
      <c r="B504">
        <v>682155834</v>
      </c>
      <c r="C504" s="7" t="s">
        <v>39</v>
      </c>
      <c r="D504">
        <v>0</v>
      </c>
      <c r="E504" s="7">
        <f>worker_data[[#This Row],[employed]]-worker_data[[#This Row],[spent_amount]]</f>
        <v>0</v>
      </c>
      <c r="F504">
        <v>2.4213999999999999E-9</v>
      </c>
      <c r="G504">
        <v>0</v>
      </c>
      <c r="H504">
        <v>0</v>
      </c>
      <c r="I504" s="7" t="s">
        <v>40</v>
      </c>
      <c r="J504">
        <v>0</v>
      </c>
    </row>
    <row r="505" spans="1:10" x14ac:dyDescent="0.25">
      <c r="A505">
        <v>504</v>
      </c>
      <c r="B505">
        <v>94700100</v>
      </c>
      <c r="C505" s="7" t="s">
        <v>39</v>
      </c>
      <c r="D505">
        <v>0</v>
      </c>
      <c r="E505" s="7">
        <f>worker_data[[#This Row],[employed]]-worker_data[[#This Row],[spent_amount]]</f>
        <v>0</v>
      </c>
      <c r="F505">
        <v>2.3245499999999998E-9</v>
      </c>
      <c r="G505">
        <v>0</v>
      </c>
      <c r="H505">
        <v>0</v>
      </c>
      <c r="I505" s="7" t="s">
        <v>40</v>
      </c>
      <c r="J505">
        <v>0</v>
      </c>
    </row>
    <row r="506" spans="1:10" x14ac:dyDescent="0.25">
      <c r="A506">
        <v>505</v>
      </c>
      <c r="B506">
        <v>454194356</v>
      </c>
      <c r="C506" s="7" t="s">
        <v>39</v>
      </c>
      <c r="D506">
        <v>0</v>
      </c>
      <c r="E506" s="7">
        <f>worker_data[[#This Row],[employed]]-worker_data[[#This Row],[spent_amount]]</f>
        <v>0</v>
      </c>
      <c r="F506">
        <v>2.23157E-9</v>
      </c>
      <c r="G506">
        <v>0</v>
      </c>
      <c r="H506">
        <v>0</v>
      </c>
      <c r="I506" s="7" t="s">
        <v>40</v>
      </c>
      <c r="J506">
        <v>0</v>
      </c>
    </row>
    <row r="507" spans="1:10" x14ac:dyDescent="0.25">
      <c r="A507">
        <v>506</v>
      </c>
      <c r="B507">
        <v>154439856</v>
      </c>
      <c r="C507" s="7" t="s">
        <v>39</v>
      </c>
      <c r="D507">
        <v>0</v>
      </c>
      <c r="E507" s="7">
        <f>worker_data[[#This Row],[employed]]-worker_data[[#This Row],[spent_amount]]</f>
        <v>0</v>
      </c>
      <c r="F507">
        <v>2.1422999999999999E-9</v>
      </c>
      <c r="G507">
        <v>0</v>
      </c>
      <c r="H507">
        <v>0</v>
      </c>
      <c r="I507" s="7" t="s">
        <v>40</v>
      </c>
      <c r="J507">
        <v>0</v>
      </c>
    </row>
    <row r="508" spans="1:10" x14ac:dyDescent="0.25">
      <c r="A508">
        <v>507</v>
      </c>
      <c r="B508">
        <v>653951407</v>
      </c>
      <c r="C508" s="7" t="s">
        <v>39</v>
      </c>
      <c r="D508">
        <v>0</v>
      </c>
      <c r="E508" s="7">
        <f>worker_data[[#This Row],[employed]]-worker_data[[#This Row],[spent_amount]]</f>
        <v>0</v>
      </c>
      <c r="F508">
        <v>2.05661E-9</v>
      </c>
      <c r="G508">
        <v>0</v>
      </c>
      <c r="H508">
        <v>0</v>
      </c>
      <c r="I508" s="7" t="s">
        <v>40</v>
      </c>
      <c r="J508">
        <v>0</v>
      </c>
    </row>
    <row r="509" spans="1:10" x14ac:dyDescent="0.25">
      <c r="A509">
        <v>508</v>
      </c>
      <c r="B509">
        <v>690051493</v>
      </c>
      <c r="C509" s="7" t="s">
        <v>39</v>
      </c>
      <c r="D509">
        <v>0</v>
      </c>
      <c r="E509" s="7">
        <f>worker_data[[#This Row],[employed]]-worker_data[[#This Row],[spent_amount]]</f>
        <v>0</v>
      </c>
      <c r="F509">
        <v>1.9743499999999999E-9</v>
      </c>
      <c r="G509">
        <v>0</v>
      </c>
      <c r="H509">
        <v>0</v>
      </c>
      <c r="I509" s="7" t="s">
        <v>40</v>
      </c>
      <c r="J509">
        <v>0</v>
      </c>
    </row>
    <row r="510" spans="1:10" x14ac:dyDescent="0.25">
      <c r="A510">
        <v>509</v>
      </c>
      <c r="B510">
        <v>936972540</v>
      </c>
      <c r="C510" s="7" t="s">
        <v>39</v>
      </c>
      <c r="D510">
        <v>0</v>
      </c>
      <c r="E510" s="7">
        <f>worker_data[[#This Row],[employed]]-worker_data[[#This Row],[spent_amount]]</f>
        <v>0</v>
      </c>
      <c r="F510">
        <v>1.8953699999999998E-9</v>
      </c>
      <c r="G510">
        <v>0</v>
      </c>
      <c r="H510">
        <v>0</v>
      </c>
      <c r="I510" s="7" t="s">
        <v>40</v>
      </c>
      <c r="J510">
        <v>0</v>
      </c>
    </row>
    <row r="511" spans="1:10" x14ac:dyDescent="0.25">
      <c r="A511">
        <v>510</v>
      </c>
      <c r="B511">
        <v>831486472</v>
      </c>
      <c r="C511" s="7" t="s">
        <v>39</v>
      </c>
      <c r="D511">
        <v>0</v>
      </c>
      <c r="E511" s="7">
        <f>worker_data[[#This Row],[employed]]-worker_data[[#This Row],[spent_amount]]</f>
        <v>0</v>
      </c>
      <c r="F511">
        <v>1.8195600000000001E-9</v>
      </c>
      <c r="G511">
        <v>0</v>
      </c>
      <c r="H511">
        <v>0</v>
      </c>
      <c r="I511" s="7" t="s">
        <v>40</v>
      </c>
      <c r="J511">
        <v>0</v>
      </c>
    </row>
    <row r="512" spans="1:10" x14ac:dyDescent="0.25">
      <c r="A512">
        <v>511</v>
      </c>
      <c r="B512">
        <v>42920728</v>
      </c>
      <c r="C512" s="7" t="s">
        <v>39</v>
      </c>
      <c r="D512">
        <v>0</v>
      </c>
      <c r="E512" s="7">
        <f>worker_data[[#This Row],[employed]]-worker_data[[#This Row],[spent_amount]]</f>
        <v>0</v>
      </c>
      <c r="F512">
        <v>1.74678E-9</v>
      </c>
      <c r="G512">
        <v>0</v>
      </c>
      <c r="H512">
        <v>0</v>
      </c>
      <c r="I512" s="7" t="s">
        <v>40</v>
      </c>
      <c r="J512">
        <v>0</v>
      </c>
    </row>
    <row r="513" spans="1:10" x14ac:dyDescent="0.25">
      <c r="A513">
        <v>512</v>
      </c>
      <c r="B513">
        <v>666336386</v>
      </c>
      <c r="C513" s="7" t="s">
        <v>39</v>
      </c>
      <c r="D513">
        <v>0</v>
      </c>
      <c r="E513" s="7">
        <f>worker_data[[#This Row],[employed]]-worker_data[[#This Row],[spent_amount]]</f>
        <v>0</v>
      </c>
      <c r="F513">
        <v>1.6769000000000001E-9</v>
      </c>
      <c r="G513">
        <v>0</v>
      </c>
      <c r="H513">
        <v>0</v>
      </c>
      <c r="I513" s="7" t="s">
        <v>40</v>
      </c>
      <c r="J513">
        <v>0</v>
      </c>
    </row>
    <row r="514" spans="1:10" x14ac:dyDescent="0.25">
      <c r="A514">
        <v>513</v>
      </c>
      <c r="B514">
        <v>172042607</v>
      </c>
      <c r="C514" s="7" t="s">
        <v>39</v>
      </c>
      <c r="D514">
        <v>0</v>
      </c>
      <c r="E514" s="7">
        <f>worker_data[[#This Row],[employed]]-worker_data[[#This Row],[spent_amount]]</f>
        <v>0</v>
      </c>
      <c r="F514">
        <v>1.60983E-9</v>
      </c>
      <c r="G514">
        <v>0</v>
      </c>
      <c r="H514">
        <v>0</v>
      </c>
      <c r="I514" s="7" t="s">
        <v>40</v>
      </c>
      <c r="J514">
        <v>0</v>
      </c>
    </row>
    <row r="515" spans="1:10" x14ac:dyDescent="0.25">
      <c r="A515">
        <v>514</v>
      </c>
      <c r="B515">
        <v>184679498</v>
      </c>
      <c r="C515" s="7" t="s">
        <v>39</v>
      </c>
      <c r="D515">
        <v>0</v>
      </c>
      <c r="E515" s="7">
        <f>worker_data[[#This Row],[employed]]-worker_data[[#This Row],[spent_amount]]</f>
        <v>0</v>
      </c>
      <c r="F515">
        <v>1.54544E-9</v>
      </c>
      <c r="G515">
        <v>0</v>
      </c>
      <c r="H515">
        <v>0</v>
      </c>
      <c r="I515" s="7" t="s">
        <v>40</v>
      </c>
      <c r="J515">
        <v>0</v>
      </c>
    </row>
    <row r="516" spans="1:10" x14ac:dyDescent="0.25">
      <c r="A516">
        <v>515</v>
      </c>
      <c r="B516">
        <v>494247720</v>
      </c>
      <c r="C516" s="7" t="s">
        <v>39</v>
      </c>
      <c r="D516">
        <v>0</v>
      </c>
      <c r="E516" s="7">
        <f>worker_data[[#This Row],[employed]]-worker_data[[#This Row],[spent_amount]]</f>
        <v>0</v>
      </c>
      <c r="F516">
        <v>1.4836200000000001E-9</v>
      </c>
      <c r="G516">
        <v>0</v>
      </c>
      <c r="H516">
        <v>0</v>
      </c>
      <c r="I516" s="7" t="s">
        <v>40</v>
      </c>
      <c r="J516">
        <v>0</v>
      </c>
    </row>
    <row r="517" spans="1:10" x14ac:dyDescent="0.25">
      <c r="A517">
        <v>516</v>
      </c>
      <c r="B517">
        <v>236952320</v>
      </c>
      <c r="C517" s="7" t="s">
        <v>39</v>
      </c>
      <c r="D517">
        <v>0</v>
      </c>
      <c r="E517" s="7">
        <f>worker_data[[#This Row],[employed]]-worker_data[[#This Row],[spent_amount]]</f>
        <v>0</v>
      </c>
      <c r="F517">
        <v>1.4242700000000001E-9</v>
      </c>
      <c r="G517">
        <v>0</v>
      </c>
      <c r="H517">
        <v>0</v>
      </c>
      <c r="I517" s="7" t="s">
        <v>40</v>
      </c>
      <c r="J517">
        <v>0</v>
      </c>
    </row>
    <row r="518" spans="1:10" x14ac:dyDescent="0.25">
      <c r="A518">
        <v>517</v>
      </c>
      <c r="B518">
        <v>242745223</v>
      </c>
      <c r="C518" s="7" t="s">
        <v>39</v>
      </c>
      <c r="D518">
        <v>0</v>
      </c>
      <c r="E518" s="7">
        <f>worker_data[[#This Row],[employed]]-worker_data[[#This Row],[spent_amount]]</f>
        <v>0</v>
      </c>
      <c r="F518">
        <v>1.3673E-9</v>
      </c>
      <c r="G518">
        <v>0</v>
      </c>
      <c r="H518">
        <v>0</v>
      </c>
      <c r="I518" s="7" t="s">
        <v>40</v>
      </c>
      <c r="J518">
        <v>0</v>
      </c>
    </row>
    <row r="519" spans="1:10" x14ac:dyDescent="0.25">
      <c r="A519">
        <v>518</v>
      </c>
      <c r="B519">
        <v>764888647</v>
      </c>
      <c r="C519" s="7" t="s">
        <v>39</v>
      </c>
      <c r="D519">
        <v>0</v>
      </c>
      <c r="E519" s="7">
        <f>worker_data[[#This Row],[employed]]-worker_data[[#This Row],[spent_amount]]</f>
        <v>0</v>
      </c>
      <c r="F519">
        <v>1.3126100000000001E-9</v>
      </c>
      <c r="G519">
        <v>0</v>
      </c>
      <c r="H519">
        <v>0</v>
      </c>
      <c r="I519" s="7" t="s">
        <v>40</v>
      </c>
      <c r="J519">
        <v>0</v>
      </c>
    </row>
    <row r="520" spans="1:10" x14ac:dyDescent="0.25">
      <c r="A520">
        <v>519</v>
      </c>
      <c r="B520">
        <v>724807039</v>
      </c>
      <c r="C520" s="7" t="s">
        <v>39</v>
      </c>
      <c r="D520">
        <v>0</v>
      </c>
      <c r="E520" s="7">
        <f>worker_data[[#This Row],[employed]]-worker_data[[#This Row],[spent_amount]]</f>
        <v>0</v>
      </c>
      <c r="F520">
        <v>1.2601099999999999E-9</v>
      </c>
      <c r="G520">
        <v>0</v>
      </c>
      <c r="H520">
        <v>0</v>
      </c>
      <c r="I520" s="7" t="s">
        <v>40</v>
      </c>
      <c r="J520">
        <v>0</v>
      </c>
    </row>
    <row r="521" spans="1:10" x14ac:dyDescent="0.25">
      <c r="A521">
        <v>520</v>
      </c>
      <c r="B521">
        <v>230556942</v>
      </c>
      <c r="C521" s="7" t="s">
        <v>39</v>
      </c>
      <c r="D521">
        <v>0</v>
      </c>
      <c r="E521" s="7">
        <f>worker_data[[#This Row],[employed]]-worker_data[[#This Row],[spent_amount]]</f>
        <v>0</v>
      </c>
      <c r="F521">
        <v>1.2097000000000001E-9</v>
      </c>
      <c r="G521">
        <v>0</v>
      </c>
      <c r="H521">
        <v>0</v>
      </c>
      <c r="I521" s="7" t="s">
        <v>40</v>
      </c>
      <c r="J521">
        <v>0</v>
      </c>
    </row>
    <row r="522" spans="1:10" x14ac:dyDescent="0.25">
      <c r="A522">
        <v>521</v>
      </c>
      <c r="B522">
        <v>732193093</v>
      </c>
      <c r="C522" s="7" t="s">
        <v>39</v>
      </c>
      <c r="D522">
        <v>0</v>
      </c>
      <c r="E522" s="7">
        <f>worker_data[[#This Row],[employed]]-worker_data[[#This Row],[spent_amount]]</f>
        <v>0</v>
      </c>
      <c r="F522">
        <v>1.16131E-9</v>
      </c>
      <c r="G522">
        <v>0</v>
      </c>
      <c r="H522">
        <v>0</v>
      </c>
      <c r="I522" s="7" t="s">
        <v>40</v>
      </c>
      <c r="J522">
        <v>0</v>
      </c>
    </row>
    <row r="523" spans="1:10" x14ac:dyDescent="0.25">
      <c r="A523">
        <v>522</v>
      </c>
      <c r="B523">
        <v>858471147</v>
      </c>
      <c r="C523" s="7" t="s">
        <v>39</v>
      </c>
      <c r="D523">
        <v>0</v>
      </c>
      <c r="E523" s="7">
        <f>worker_data[[#This Row],[employed]]-worker_data[[#This Row],[spent_amount]]</f>
        <v>0</v>
      </c>
      <c r="F523">
        <v>1.11486E-9</v>
      </c>
      <c r="G523">
        <v>0</v>
      </c>
      <c r="H523">
        <v>0</v>
      </c>
      <c r="I523" s="7" t="s">
        <v>40</v>
      </c>
      <c r="J523">
        <v>0</v>
      </c>
    </row>
    <row r="524" spans="1:10" x14ac:dyDescent="0.25">
      <c r="A524">
        <v>523</v>
      </c>
      <c r="B524">
        <v>513162854</v>
      </c>
      <c r="C524" s="7" t="s">
        <v>39</v>
      </c>
      <c r="D524">
        <v>0</v>
      </c>
      <c r="E524" s="7">
        <f>worker_data[[#This Row],[employed]]-worker_data[[#This Row],[spent_amount]]</f>
        <v>0</v>
      </c>
      <c r="F524">
        <v>1.0702700000000001E-9</v>
      </c>
      <c r="G524">
        <v>0</v>
      </c>
      <c r="H524">
        <v>0</v>
      </c>
      <c r="I524" s="7" t="s">
        <v>40</v>
      </c>
      <c r="J524">
        <v>0</v>
      </c>
    </row>
    <row r="525" spans="1:10" x14ac:dyDescent="0.25">
      <c r="A525">
        <v>524</v>
      </c>
      <c r="B525">
        <v>243851301</v>
      </c>
      <c r="C525" s="7" t="s">
        <v>39</v>
      </c>
      <c r="D525">
        <v>0</v>
      </c>
      <c r="E525" s="7">
        <f>worker_data[[#This Row],[employed]]-worker_data[[#This Row],[spent_amount]]</f>
        <v>0</v>
      </c>
      <c r="F525">
        <v>1.0274600000000001E-9</v>
      </c>
      <c r="G525">
        <v>0</v>
      </c>
      <c r="H525">
        <v>0</v>
      </c>
      <c r="I525" s="7" t="s">
        <v>40</v>
      </c>
      <c r="J525">
        <v>0</v>
      </c>
    </row>
    <row r="526" spans="1:10" x14ac:dyDescent="0.25">
      <c r="A526">
        <v>525</v>
      </c>
      <c r="B526">
        <v>205104923</v>
      </c>
      <c r="C526" s="7" t="s">
        <v>39</v>
      </c>
      <c r="D526">
        <v>0</v>
      </c>
      <c r="E526" s="7">
        <f>worker_data[[#This Row],[employed]]-worker_data[[#This Row],[spent_amount]]</f>
        <v>0</v>
      </c>
      <c r="F526">
        <v>9.8635800000000008E-10</v>
      </c>
      <c r="G526">
        <v>0</v>
      </c>
      <c r="H526">
        <v>0</v>
      </c>
      <c r="I526" s="7" t="s">
        <v>40</v>
      </c>
      <c r="J526">
        <v>0</v>
      </c>
    </row>
    <row r="527" spans="1:10" x14ac:dyDescent="0.25">
      <c r="A527">
        <v>526</v>
      </c>
      <c r="B527">
        <v>392499222</v>
      </c>
      <c r="C527" s="7" t="s">
        <v>39</v>
      </c>
      <c r="D527">
        <v>0</v>
      </c>
      <c r="E527" s="7">
        <f>worker_data[[#This Row],[employed]]-worker_data[[#This Row],[spent_amount]]</f>
        <v>0</v>
      </c>
      <c r="F527">
        <v>9.4690300000000003E-10</v>
      </c>
      <c r="G527">
        <v>0</v>
      </c>
      <c r="H527">
        <v>0</v>
      </c>
      <c r="I527" s="7" t="s">
        <v>40</v>
      </c>
      <c r="J527">
        <v>0</v>
      </c>
    </row>
    <row r="528" spans="1:10" x14ac:dyDescent="0.25">
      <c r="A528">
        <v>527</v>
      </c>
      <c r="B528">
        <v>299966278</v>
      </c>
      <c r="C528" s="7" t="s">
        <v>39</v>
      </c>
      <c r="D528">
        <v>0</v>
      </c>
      <c r="E528" s="7">
        <f>worker_data[[#This Row],[employed]]-worker_data[[#This Row],[spent_amount]]</f>
        <v>0</v>
      </c>
      <c r="F528">
        <v>9.0902699999999999E-10</v>
      </c>
      <c r="G528">
        <v>0</v>
      </c>
      <c r="H528">
        <v>0</v>
      </c>
      <c r="I528" s="7" t="s">
        <v>40</v>
      </c>
      <c r="J528">
        <v>0</v>
      </c>
    </row>
    <row r="529" spans="1:10" x14ac:dyDescent="0.25">
      <c r="A529">
        <v>528</v>
      </c>
      <c r="B529">
        <v>73289958</v>
      </c>
      <c r="C529" s="7" t="s">
        <v>39</v>
      </c>
      <c r="D529">
        <v>0</v>
      </c>
      <c r="E529" s="7">
        <f>worker_data[[#This Row],[employed]]-worker_data[[#This Row],[spent_amount]]</f>
        <v>0</v>
      </c>
      <c r="F529">
        <v>8.7266600000000001E-10</v>
      </c>
      <c r="G529">
        <v>0</v>
      </c>
      <c r="H529">
        <v>0</v>
      </c>
      <c r="I529" s="7" t="s">
        <v>40</v>
      </c>
      <c r="J529">
        <v>0</v>
      </c>
    </row>
    <row r="530" spans="1:10" x14ac:dyDescent="0.25">
      <c r="A530">
        <v>529</v>
      </c>
      <c r="B530">
        <v>894240782</v>
      </c>
      <c r="C530" s="7" t="s">
        <v>39</v>
      </c>
      <c r="D530">
        <v>0</v>
      </c>
      <c r="E530" s="7">
        <f>worker_data[[#This Row],[employed]]-worker_data[[#This Row],[spent_amount]]</f>
        <v>0</v>
      </c>
      <c r="F530">
        <v>8.37759E-10</v>
      </c>
      <c r="G530">
        <v>0</v>
      </c>
      <c r="H530">
        <v>0</v>
      </c>
      <c r="I530" s="7" t="s">
        <v>40</v>
      </c>
      <c r="J530">
        <v>0</v>
      </c>
    </row>
    <row r="531" spans="1:10" x14ac:dyDescent="0.25">
      <c r="A531">
        <v>530</v>
      </c>
      <c r="B531">
        <v>20219139</v>
      </c>
      <c r="C531" s="7" t="s">
        <v>39</v>
      </c>
      <c r="D531">
        <v>0</v>
      </c>
      <c r="E531" s="7">
        <f>worker_data[[#This Row],[employed]]-worker_data[[#This Row],[spent_amount]]</f>
        <v>0</v>
      </c>
      <c r="F531">
        <v>8.0424899999999998E-10</v>
      </c>
      <c r="G531">
        <v>0</v>
      </c>
      <c r="H531">
        <v>0</v>
      </c>
      <c r="I531" s="7" t="s">
        <v>40</v>
      </c>
      <c r="J531">
        <v>0</v>
      </c>
    </row>
    <row r="532" spans="1:10" x14ac:dyDescent="0.25">
      <c r="A532">
        <v>531</v>
      </c>
      <c r="B532">
        <v>163730078</v>
      </c>
      <c r="C532" s="7" t="s">
        <v>39</v>
      </c>
      <c r="D532">
        <v>0</v>
      </c>
      <c r="E532" s="7">
        <f>worker_data[[#This Row],[employed]]-worker_data[[#This Row],[spent_amount]]</f>
        <v>0</v>
      </c>
      <c r="F532">
        <v>7.7207899999999998E-10</v>
      </c>
      <c r="G532">
        <v>0</v>
      </c>
      <c r="H532">
        <v>0</v>
      </c>
      <c r="I532" s="7" t="s">
        <v>40</v>
      </c>
      <c r="J532">
        <v>0</v>
      </c>
    </row>
    <row r="533" spans="1:10" x14ac:dyDescent="0.25">
      <c r="A533">
        <v>532</v>
      </c>
      <c r="B533">
        <v>423895455</v>
      </c>
      <c r="C533" s="7" t="s">
        <v>39</v>
      </c>
      <c r="D533">
        <v>0</v>
      </c>
      <c r="E533" s="7">
        <f>worker_data[[#This Row],[employed]]-worker_data[[#This Row],[spent_amount]]</f>
        <v>0</v>
      </c>
      <c r="F533">
        <v>7.4119599999999995E-10</v>
      </c>
      <c r="G533">
        <v>0</v>
      </c>
      <c r="H533">
        <v>0</v>
      </c>
      <c r="I533" s="7" t="s">
        <v>40</v>
      </c>
      <c r="J533">
        <v>0</v>
      </c>
    </row>
    <row r="534" spans="1:10" x14ac:dyDescent="0.25">
      <c r="A534">
        <v>533</v>
      </c>
      <c r="B534">
        <v>835631296</v>
      </c>
      <c r="C534" s="7" t="s">
        <v>39</v>
      </c>
      <c r="D534">
        <v>0</v>
      </c>
      <c r="E534" s="7">
        <f>worker_data[[#This Row],[employed]]-worker_data[[#This Row],[spent_amount]]</f>
        <v>0</v>
      </c>
      <c r="F534">
        <v>7.1154799999999997E-10</v>
      </c>
      <c r="G534">
        <v>0</v>
      </c>
      <c r="H534">
        <v>0</v>
      </c>
      <c r="I534" s="7" t="s">
        <v>40</v>
      </c>
      <c r="J534">
        <v>0</v>
      </c>
    </row>
    <row r="535" spans="1:10" x14ac:dyDescent="0.25">
      <c r="A535">
        <v>534</v>
      </c>
      <c r="B535">
        <v>654858300</v>
      </c>
      <c r="C535" s="7" t="s">
        <v>39</v>
      </c>
      <c r="D535">
        <v>0</v>
      </c>
      <c r="E535" s="7">
        <f>worker_data[[#This Row],[employed]]-worker_data[[#This Row],[spent_amount]]</f>
        <v>0</v>
      </c>
      <c r="F535">
        <v>6.8308600000000003E-10</v>
      </c>
      <c r="G535">
        <v>0</v>
      </c>
      <c r="H535">
        <v>0</v>
      </c>
      <c r="I535" s="7" t="s">
        <v>40</v>
      </c>
      <c r="J535">
        <v>0</v>
      </c>
    </row>
    <row r="536" spans="1:10" x14ac:dyDescent="0.25">
      <c r="A536">
        <v>535</v>
      </c>
      <c r="B536">
        <v>833074052</v>
      </c>
      <c r="C536" s="7" t="s">
        <v>39</v>
      </c>
      <c r="D536">
        <v>0</v>
      </c>
      <c r="E536" s="7">
        <f>worker_data[[#This Row],[employed]]-worker_data[[#This Row],[spent_amount]]</f>
        <v>0</v>
      </c>
      <c r="F536">
        <v>6.5576300000000004E-10</v>
      </c>
      <c r="G536">
        <v>0</v>
      </c>
      <c r="H536">
        <v>0</v>
      </c>
      <c r="I536" s="7" t="s">
        <v>40</v>
      </c>
      <c r="J536">
        <v>0</v>
      </c>
    </row>
    <row r="537" spans="1:10" x14ac:dyDescent="0.25">
      <c r="A537">
        <v>536</v>
      </c>
      <c r="B537">
        <v>703504162</v>
      </c>
      <c r="C537" s="7" t="s">
        <v>39</v>
      </c>
      <c r="D537">
        <v>0</v>
      </c>
      <c r="E537" s="7">
        <f>worker_data[[#This Row],[employed]]-worker_data[[#This Row],[spent_amount]]</f>
        <v>0</v>
      </c>
      <c r="F537">
        <v>6.2953200000000001E-10</v>
      </c>
      <c r="G537">
        <v>0</v>
      </c>
      <c r="H537">
        <v>0</v>
      </c>
      <c r="I537" s="7" t="s">
        <v>40</v>
      </c>
      <c r="J537">
        <v>0</v>
      </c>
    </row>
    <row r="538" spans="1:10" x14ac:dyDescent="0.25">
      <c r="A538">
        <v>537</v>
      </c>
      <c r="B538">
        <v>57864621</v>
      </c>
      <c r="C538" s="7" t="s">
        <v>39</v>
      </c>
      <c r="D538">
        <v>0</v>
      </c>
      <c r="E538" s="7">
        <f>worker_data[[#This Row],[employed]]-worker_data[[#This Row],[spent_amount]]</f>
        <v>0</v>
      </c>
      <c r="F538">
        <v>6.0435099999999999E-10</v>
      </c>
      <c r="G538">
        <v>0</v>
      </c>
      <c r="H538">
        <v>0</v>
      </c>
      <c r="I538" s="7" t="s">
        <v>40</v>
      </c>
      <c r="J538">
        <v>0</v>
      </c>
    </row>
    <row r="539" spans="1:10" x14ac:dyDescent="0.25">
      <c r="A539">
        <v>538</v>
      </c>
      <c r="B539">
        <v>652601678</v>
      </c>
      <c r="C539" s="7" t="s">
        <v>39</v>
      </c>
      <c r="D539">
        <v>0</v>
      </c>
      <c r="E539" s="7">
        <f>worker_data[[#This Row],[employed]]-worker_data[[#This Row],[spent_amount]]</f>
        <v>0</v>
      </c>
      <c r="F539">
        <v>5.8017700000000003E-10</v>
      </c>
      <c r="G539">
        <v>0</v>
      </c>
      <c r="H539">
        <v>0</v>
      </c>
      <c r="I539" s="7" t="s">
        <v>40</v>
      </c>
      <c r="J539">
        <v>0</v>
      </c>
    </row>
    <row r="540" spans="1:10" x14ac:dyDescent="0.25">
      <c r="A540">
        <v>539</v>
      </c>
      <c r="B540">
        <v>374604819</v>
      </c>
      <c r="C540" s="7" t="s">
        <v>39</v>
      </c>
      <c r="D540">
        <v>0</v>
      </c>
      <c r="E540" s="7">
        <f>worker_data[[#This Row],[employed]]-worker_data[[#This Row],[spent_amount]]</f>
        <v>0</v>
      </c>
      <c r="F540">
        <v>5.5696999999999999E-10</v>
      </c>
      <c r="G540">
        <v>0</v>
      </c>
      <c r="H540">
        <v>0</v>
      </c>
      <c r="I540" s="7" t="s">
        <v>40</v>
      </c>
      <c r="J540">
        <v>0</v>
      </c>
    </row>
    <row r="541" spans="1:10" x14ac:dyDescent="0.25">
      <c r="A541">
        <v>540</v>
      </c>
      <c r="B541">
        <v>691232818</v>
      </c>
      <c r="C541" s="7" t="s">
        <v>39</v>
      </c>
      <c r="D541">
        <v>0</v>
      </c>
      <c r="E541" s="7">
        <f>worker_data[[#This Row],[employed]]-worker_data[[#This Row],[spent_amount]]</f>
        <v>0</v>
      </c>
      <c r="F541">
        <v>5.3469100000000005E-10</v>
      </c>
      <c r="G541">
        <v>0</v>
      </c>
      <c r="H541">
        <v>0</v>
      </c>
      <c r="I541" s="7" t="s">
        <v>40</v>
      </c>
      <c r="J541">
        <v>0</v>
      </c>
    </row>
    <row r="542" spans="1:10" x14ac:dyDescent="0.25">
      <c r="A542">
        <v>541</v>
      </c>
      <c r="B542">
        <v>484947485</v>
      </c>
      <c r="C542" s="7" t="s">
        <v>39</v>
      </c>
      <c r="D542">
        <v>0</v>
      </c>
      <c r="E542" s="7">
        <f>worker_data[[#This Row],[employed]]-worker_data[[#This Row],[spent_amount]]</f>
        <v>0</v>
      </c>
      <c r="F542">
        <v>5.13303E-10</v>
      </c>
      <c r="G542">
        <v>0</v>
      </c>
      <c r="H542">
        <v>0</v>
      </c>
      <c r="I542" s="7" t="s">
        <v>40</v>
      </c>
      <c r="J542">
        <v>0</v>
      </c>
    </row>
    <row r="543" spans="1:10" x14ac:dyDescent="0.25">
      <c r="A543">
        <v>542</v>
      </c>
      <c r="B543">
        <v>395702996</v>
      </c>
      <c r="C543" s="7" t="s">
        <v>39</v>
      </c>
      <c r="D543">
        <v>0</v>
      </c>
      <c r="E543" s="7">
        <f>worker_data[[#This Row],[employed]]-worker_data[[#This Row],[spent_amount]]</f>
        <v>0</v>
      </c>
      <c r="F543">
        <v>4.9277099999999995E-10</v>
      </c>
      <c r="G543">
        <v>0</v>
      </c>
      <c r="H543">
        <v>0</v>
      </c>
      <c r="I543" s="7" t="s">
        <v>40</v>
      </c>
      <c r="J543">
        <v>0</v>
      </c>
    </row>
    <row r="544" spans="1:10" x14ac:dyDescent="0.25">
      <c r="A544">
        <v>543</v>
      </c>
      <c r="B544">
        <v>625420719</v>
      </c>
      <c r="C544" s="7" t="s">
        <v>39</v>
      </c>
      <c r="D544">
        <v>0</v>
      </c>
      <c r="E544" s="7">
        <f>worker_data[[#This Row],[employed]]-worker_data[[#This Row],[spent_amount]]</f>
        <v>0</v>
      </c>
      <c r="F544">
        <v>4.7306000000000002E-10</v>
      </c>
      <c r="G544">
        <v>0</v>
      </c>
      <c r="H544">
        <v>0</v>
      </c>
      <c r="I544" s="7" t="s">
        <v>40</v>
      </c>
      <c r="J544">
        <v>0</v>
      </c>
    </row>
    <row r="545" spans="1:10" x14ac:dyDescent="0.25">
      <c r="A545">
        <v>544</v>
      </c>
      <c r="B545">
        <v>706313679</v>
      </c>
      <c r="C545" s="7" t="s">
        <v>39</v>
      </c>
      <c r="D545">
        <v>0</v>
      </c>
      <c r="E545" s="7">
        <f>worker_data[[#This Row],[employed]]-worker_data[[#This Row],[spent_amount]]</f>
        <v>0</v>
      </c>
      <c r="F545">
        <v>4.5413799999999998E-10</v>
      </c>
      <c r="G545">
        <v>0</v>
      </c>
      <c r="H545">
        <v>0</v>
      </c>
      <c r="I545" s="7" t="s">
        <v>40</v>
      </c>
      <c r="J545">
        <v>0</v>
      </c>
    </row>
    <row r="546" spans="1:10" x14ac:dyDescent="0.25">
      <c r="A546">
        <v>545</v>
      </c>
      <c r="B546">
        <v>450469365</v>
      </c>
      <c r="C546" s="7" t="s">
        <v>39</v>
      </c>
      <c r="D546">
        <v>0</v>
      </c>
      <c r="E546" s="7">
        <f>worker_data[[#This Row],[employed]]-worker_data[[#This Row],[spent_amount]]</f>
        <v>0</v>
      </c>
      <c r="F546">
        <v>4.3597200000000001E-10</v>
      </c>
      <c r="G546">
        <v>0</v>
      </c>
      <c r="H546">
        <v>0</v>
      </c>
      <c r="I546" s="7" t="s">
        <v>40</v>
      </c>
      <c r="J546">
        <v>0</v>
      </c>
    </row>
    <row r="547" spans="1:10" x14ac:dyDescent="0.25">
      <c r="A547">
        <v>546</v>
      </c>
      <c r="B547">
        <v>185310551</v>
      </c>
      <c r="C547" s="7" t="s">
        <v>39</v>
      </c>
      <c r="D547">
        <v>0</v>
      </c>
      <c r="E547" s="7">
        <f>worker_data[[#This Row],[employed]]-worker_data[[#This Row],[spent_amount]]</f>
        <v>0</v>
      </c>
      <c r="F547">
        <v>4.1853399999999998E-10</v>
      </c>
      <c r="G547">
        <v>0</v>
      </c>
      <c r="H547">
        <v>0</v>
      </c>
      <c r="I547" s="7" t="s">
        <v>40</v>
      </c>
      <c r="J547">
        <v>0</v>
      </c>
    </row>
    <row r="548" spans="1:10" x14ac:dyDescent="0.25">
      <c r="A548">
        <v>547</v>
      </c>
      <c r="B548">
        <v>642266846</v>
      </c>
      <c r="C548" s="7" t="s">
        <v>39</v>
      </c>
      <c r="D548">
        <v>0</v>
      </c>
      <c r="E548" s="7">
        <f>worker_data[[#This Row],[employed]]-worker_data[[#This Row],[spent_amount]]</f>
        <v>0</v>
      </c>
      <c r="F548">
        <v>4.0179199999999998E-10</v>
      </c>
      <c r="G548">
        <v>0</v>
      </c>
      <c r="H548">
        <v>0</v>
      </c>
      <c r="I548" s="7" t="s">
        <v>40</v>
      </c>
      <c r="J548">
        <v>0</v>
      </c>
    </row>
    <row r="549" spans="1:10" x14ac:dyDescent="0.25">
      <c r="A549">
        <v>548</v>
      </c>
      <c r="B549">
        <v>104149848</v>
      </c>
      <c r="C549" s="7" t="s">
        <v>39</v>
      </c>
      <c r="D549">
        <v>0</v>
      </c>
      <c r="E549" s="7">
        <f>worker_data[[#This Row],[employed]]-worker_data[[#This Row],[spent_amount]]</f>
        <v>0</v>
      </c>
      <c r="F549">
        <v>3.85721E-10</v>
      </c>
      <c r="G549">
        <v>0</v>
      </c>
      <c r="H549">
        <v>0</v>
      </c>
      <c r="I549" s="7" t="s">
        <v>40</v>
      </c>
      <c r="J549">
        <v>0</v>
      </c>
    </row>
    <row r="550" spans="1:10" x14ac:dyDescent="0.25">
      <c r="A550">
        <v>549</v>
      </c>
      <c r="B550">
        <v>147134192</v>
      </c>
      <c r="C550" s="7" t="s">
        <v>39</v>
      </c>
      <c r="D550">
        <v>0</v>
      </c>
      <c r="E550" s="7">
        <f>worker_data[[#This Row],[employed]]-worker_data[[#This Row],[spent_amount]]</f>
        <v>0</v>
      </c>
      <c r="F550">
        <v>3.7029199999999999E-10</v>
      </c>
      <c r="G550">
        <v>0</v>
      </c>
      <c r="H550">
        <v>0</v>
      </c>
      <c r="I550" s="7" t="s">
        <v>40</v>
      </c>
      <c r="J550">
        <v>0</v>
      </c>
    </row>
    <row r="551" spans="1:10" x14ac:dyDescent="0.25">
      <c r="A551">
        <v>550</v>
      </c>
      <c r="B551">
        <v>840371924</v>
      </c>
      <c r="C551" s="7" t="s">
        <v>39</v>
      </c>
      <c r="D551">
        <v>0</v>
      </c>
      <c r="E551" s="7">
        <f>worker_data[[#This Row],[employed]]-worker_data[[#This Row],[spent_amount]]</f>
        <v>0</v>
      </c>
      <c r="F551">
        <v>3.5548E-10</v>
      </c>
      <c r="G551">
        <v>0</v>
      </c>
      <c r="H551">
        <v>0</v>
      </c>
      <c r="I551" s="7" t="s">
        <v>40</v>
      </c>
      <c r="J551">
        <v>0</v>
      </c>
    </row>
    <row r="552" spans="1:10" x14ac:dyDescent="0.25">
      <c r="A552">
        <v>551</v>
      </c>
      <c r="B552">
        <v>997494178</v>
      </c>
      <c r="C552" s="7" t="s">
        <v>39</v>
      </c>
      <c r="D552">
        <v>0</v>
      </c>
      <c r="E552" s="7">
        <f>worker_data[[#This Row],[employed]]-worker_data[[#This Row],[spent_amount]]</f>
        <v>0</v>
      </c>
      <c r="F552">
        <v>3.4126099999999998E-10</v>
      </c>
      <c r="G552">
        <v>0</v>
      </c>
      <c r="H552">
        <v>0</v>
      </c>
      <c r="I552" s="7" t="s">
        <v>40</v>
      </c>
      <c r="J552">
        <v>0</v>
      </c>
    </row>
    <row r="553" spans="1:10" x14ac:dyDescent="0.25">
      <c r="A553">
        <v>552</v>
      </c>
      <c r="B553">
        <v>966987220</v>
      </c>
      <c r="C553" s="7" t="s">
        <v>39</v>
      </c>
      <c r="D553">
        <v>0</v>
      </c>
      <c r="E553" s="7">
        <f>worker_data[[#This Row],[employed]]-worker_data[[#This Row],[spent_amount]]</f>
        <v>0</v>
      </c>
      <c r="F553">
        <v>3.2761000000000002E-10</v>
      </c>
      <c r="G553">
        <v>0</v>
      </c>
      <c r="H553">
        <v>0</v>
      </c>
      <c r="I553" s="7" t="s">
        <v>40</v>
      </c>
      <c r="J553">
        <v>0</v>
      </c>
    </row>
    <row r="554" spans="1:10" x14ac:dyDescent="0.25">
      <c r="A554">
        <v>553</v>
      </c>
      <c r="B554">
        <v>782146069</v>
      </c>
      <c r="C554" s="7" t="s">
        <v>39</v>
      </c>
      <c r="D554">
        <v>0</v>
      </c>
      <c r="E554" s="7">
        <f>worker_data[[#This Row],[employed]]-worker_data[[#This Row],[spent_amount]]</f>
        <v>0</v>
      </c>
      <c r="F554">
        <v>3.14506E-10</v>
      </c>
      <c r="G554">
        <v>0</v>
      </c>
      <c r="H554">
        <v>0</v>
      </c>
      <c r="I554" s="7" t="s">
        <v>40</v>
      </c>
      <c r="J554">
        <v>0</v>
      </c>
    </row>
    <row r="555" spans="1:10" x14ac:dyDescent="0.25">
      <c r="A555">
        <v>554</v>
      </c>
      <c r="B555">
        <v>47520730</v>
      </c>
      <c r="C555" s="7" t="s">
        <v>39</v>
      </c>
      <c r="D555">
        <v>0</v>
      </c>
      <c r="E555" s="7">
        <f>worker_data[[#This Row],[employed]]-worker_data[[#This Row],[spent_amount]]</f>
        <v>0</v>
      </c>
      <c r="F555">
        <v>3.0192599999999998E-10</v>
      </c>
      <c r="G555">
        <v>0</v>
      </c>
      <c r="H555">
        <v>0</v>
      </c>
      <c r="I555" s="7" t="s">
        <v>40</v>
      </c>
      <c r="J555">
        <v>0</v>
      </c>
    </row>
    <row r="556" spans="1:10" x14ac:dyDescent="0.25">
      <c r="A556">
        <v>555</v>
      </c>
      <c r="B556">
        <v>304009755</v>
      </c>
      <c r="C556" s="7" t="s">
        <v>39</v>
      </c>
      <c r="D556">
        <v>0</v>
      </c>
      <c r="E556" s="7">
        <f>worker_data[[#This Row],[employed]]-worker_data[[#This Row],[spent_amount]]</f>
        <v>0</v>
      </c>
      <c r="F556">
        <v>2.8984899999999998E-10</v>
      </c>
      <c r="G556">
        <v>0</v>
      </c>
      <c r="H556">
        <v>0</v>
      </c>
      <c r="I556" s="7" t="s">
        <v>40</v>
      </c>
      <c r="J556">
        <v>0</v>
      </c>
    </row>
    <row r="557" spans="1:10" x14ac:dyDescent="0.25">
      <c r="A557">
        <v>556</v>
      </c>
      <c r="B557">
        <v>306670589</v>
      </c>
      <c r="C557" s="7" t="s">
        <v>39</v>
      </c>
      <c r="D557">
        <v>0</v>
      </c>
      <c r="E557" s="7">
        <f>worker_data[[#This Row],[employed]]-worker_data[[#This Row],[spent_amount]]</f>
        <v>0</v>
      </c>
      <c r="F557">
        <v>2.7825499999999999E-10</v>
      </c>
      <c r="G557">
        <v>0</v>
      </c>
      <c r="H557">
        <v>0</v>
      </c>
      <c r="I557" s="7" t="s">
        <v>40</v>
      </c>
      <c r="J557">
        <v>0</v>
      </c>
    </row>
    <row r="558" spans="1:10" x14ac:dyDescent="0.25">
      <c r="A558">
        <v>557</v>
      </c>
      <c r="B558">
        <v>17435906</v>
      </c>
      <c r="C558" s="7" t="s">
        <v>39</v>
      </c>
      <c r="D558">
        <v>0</v>
      </c>
      <c r="E558" s="7">
        <f>worker_data[[#This Row],[employed]]-worker_data[[#This Row],[spent_amount]]</f>
        <v>0</v>
      </c>
      <c r="F558">
        <v>2.67125E-10</v>
      </c>
      <c r="G558">
        <v>0</v>
      </c>
      <c r="H558">
        <v>0</v>
      </c>
      <c r="I558" s="7" t="s">
        <v>40</v>
      </c>
      <c r="J558">
        <v>0</v>
      </c>
    </row>
    <row r="559" spans="1:10" x14ac:dyDescent="0.25">
      <c r="A559">
        <v>558</v>
      </c>
      <c r="B559">
        <v>920793874</v>
      </c>
      <c r="C559" s="7" t="s">
        <v>39</v>
      </c>
      <c r="D559">
        <v>0</v>
      </c>
      <c r="E559" s="7">
        <f>worker_data[[#This Row],[employed]]-worker_data[[#This Row],[spent_amount]]</f>
        <v>0</v>
      </c>
      <c r="F559">
        <v>2.5644E-10</v>
      </c>
      <c r="G559">
        <v>0</v>
      </c>
      <c r="H559">
        <v>0</v>
      </c>
      <c r="I559" s="7" t="s">
        <v>40</v>
      </c>
      <c r="J559">
        <v>0</v>
      </c>
    </row>
    <row r="560" spans="1:10" x14ac:dyDescent="0.25">
      <c r="A560">
        <v>559</v>
      </c>
      <c r="B560">
        <v>250454009</v>
      </c>
      <c r="C560" s="7" t="s">
        <v>39</v>
      </c>
      <c r="D560">
        <v>0</v>
      </c>
      <c r="E560" s="7">
        <f>worker_data[[#This Row],[employed]]-worker_data[[#This Row],[spent_amount]]</f>
        <v>0</v>
      </c>
      <c r="F560">
        <v>2.4618199999999999E-10</v>
      </c>
      <c r="G560">
        <v>0</v>
      </c>
      <c r="H560">
        <v>0</v>
      </c>
      <c r="I560" s="7" t="s">
        <v>40</v>
      </c>
      <c r="J560">
        <v>0</v>
      </c>
    </row>
    <row r="561" spans="1:10" x14ac:dyDescent="0.25">
      <c r="A561">
        <v>560</v>
      </c>
      <c r="B561">
        <v>689824482</v>
      </c>
      <c r="C561" s="7" t="s">
        <v>39</v>
      </c>
      <c r="D561">
        <v>0</v>
      </c>
      <c r="E561" s="7">
        <f>worker_data[[#This Row],[employed]]-worker_data[[#This Row],[spent_amount]]</f>
        <v>0</v>
      </c>
      <c r="F561">
        <v>2.3633499999999999E-10</v>
      </c>
      <c r="G561">
        <v>0</v>
      </c>
      <c r="H561">
        <v>0</v>
      </c>
      <c r="I561" s="7" t="s">
        <v>40</v>
      </c>
      <c r="J561">
        <v>0</v>
      </c>
    </row>
    <row r="562" spans="1:10" x14ac:dyDescent="0.25">
      <c r="A562">
        <v>561</v>
      </c>
      <c r="B562">
        <v>396321386</v>
      </c>
      <c r="C562" s="7" t="s">
        <v>39</v>
      </c>
      <c r="D562">
        <v>0</v>
      </c>
      <c r="E562" s="7">
        <f>worker_data[[#This Row],[employed]]-worker_data[[#This Row],[spent_amount]]</f>
        <v>0</v>
      </c>
      <c r="F562">
        <v>2.26881E-10</v>
      </c>
      <c r="G562">
        <v>0</v>
      </c>
      <c r="H562">
        <v>0</v>
      </c>
      <c r="I562" s="7" t="s">
        <v>40</v>
      </c>
      <c r="J562">
        <v>0</v>
      </c>
    </row>
    <row r="563" spans="1:10" x14ac:dyDescent="0.25">
      <c r="A563">
        <v>562</v>
      </c>
      <c r="B563">
        <v>641156914</v>
      </c>
      <c r="C563" s="7" t="s">
        <v>39</v>
      </c>
      <c r="D563">
        <v>0</v>
      </c>
      <c r="E563" s="7">
        <f>worker_data[[#This Row],[employed]]-worker_data[[#This Row],[spent_amount]]</f>
        <v>0</v>
      </c>
      <c r="F563">
        <v>2.1780600000000001E-10</v>
      </c>
      <c r="G563">
        <v>0</v>
      </c>
      <c r="H563">
        <v>0</v>
      </c>
      <c r="I563" s="7" t="s">
        <v>40</v>
      </c>
      <c r="J563">
        <v>0</v>
      </c>
    </row>
    <row r="564" spans="1:10" x14ac:dyDescent="0.25">
      <c r="A564">
        <v>563</v>
      </c>
      <c r="B564">
        <v>154114664</v>
      </c>
      <c r="C564" s="7" t="s">
        <v>39</v>
      </c>
      <c r="D564">
        <v>0</v>
      </c>
      <c r="E564" s="7">
        <f>worker_data[[#This Row],[employed]]-worker_data[[#This Row],[spent_amount]]</f>
        <v>0</v>
      </c>
      <c r="F564">
        <v>2.0909400000000001E-10</v>
      </c>
      <c r="G564">
        <v>0</v>
      </c>
      <c r="H564">
        <v>0</v>
      </c>
      <c r="I564" s="7" t="s">
        <v>40</v>
      </c>
      <c r="J564">
        <v>0</v>
      </c>
    </row>
    <row r="565" spans="1:10" x14ac:dyDescent="0.25">
      <c r="A565">
        <v>564</v>
      </c>
      <c r="B565">
        <v>139461457</v>
      </c>
      <c r="C565" s="7" t="s">
        <v>39</v>
      </c>
      <c r="D565">
        <v>0</v>
      </c>
      <c r="E565" s="7">
        <f>worker_data[[#This Row],[employed]]-worker_data[[#This Row],[spent_amount]]</f>
        <v>0</v>
      </c>
      <c r="F565">
        <v>2.0072999999999999E-10</v>
      </c>
      <c r="G565">
        <v>0</v>
      </c>
      <c r="H565">
        <v>0</v>
      </c>
      <c r="I565" s="7" t="s">
        <v>40</v>
      </c>
      <c r="J565">
        <v>0</v>
      </c>
    </row>
    <row r="566" spans="1:10" x14ac:dyDescent="0.25">
      <c r="A566">
        <v>565</v>
      </c>
      <c r="B566">
        <v>682017030</v>
      </c>
      <c r="C566" s="7" t="s">
        <v>39</v>
      </c>
      <c r="D566">
        <v>0</v>
      </c>
      <c r="E566" s="7">
        <f>worker_data[[#This Row],[employed]]-worker_data[[#This Row],[spent_amount]]</f>
        <v>0</v>
      </c>
      <c r="F566">
        <v>1.92701E-10</v>
      </c>
      <c r="G566">
        <v>0</v>
      </c>
      <c r="H566">
        <v>0</v>
      </c>
      <c r="I566" s="7" t="s">
        <v>40</v>
      </c>
      <c r="J566">
        <v>0</v>
      </c>
    </row>
    <row r="567" spans="1:10" x14ac:dyDescent="0.25">
      <c r="A567">
        <v>566</v>
      </c>
      <c r="B567">
        <v>413719600</v>
      </c>
      <c r="C567" s="7" t="s">
        <v>39</v>
      </c>
      <c r="D567">
        <v>0</v>
      </c>
      <c r="E567" s="7">
        <f>worker_data[[#This Row],[employed]]-worker_data[[#This Row],[spent_amount]]</f>
        <v>0</v>
      </c>
      <c r="F567">
        <v>1.84993E-10</v>
      </c>
      <c r="G567">
        <v>0</v>
      </c>
      <c r="H567">
        <v>0</v>
      </c>
      <c r="I567" s="7" t="s">
        <v>40</v>
      </c>
      <c r="J567">
        <v>0</v>
      </c>
    </row>
    <row r="568" spans="1:10" x14ac:dyDescent="0.25">
      <c r="A568">
        <v>567</v>
      </c>
      <c r="B568">
        <v>427793256</v>
      </c>
      <c r="C568" s="7" t="s">
        <v>39</v>
      </c>
      <c r="D568">
        <v>0</v>
      </c>
      <c r="E568" s="7">
        <f>worker_data[[#This Row],[employed]]-worker_data[[#This Row],[spent_amount]]</f>
        <v>0</v>
      </c>
      <c r="F568">
        <v>1.77593E-10</v>
      </c>
      <c r="G568">
        <v>0</v>
      </c>
      <c r="H568">
        <v>0</v>
      </c>
      <c r="I568" s="7" t="s">
        <v>40</v>
      </c>
      <c r="J568">
        <v>0</v>
      </c>
    </row>
    <row r="569" spans="1:10" x14ac:dyDescent="0.25">
      <c r="A569">
        <v>568</v>
      </c>
      <c r="B569">
        <v>850796978</v>
      </c>
      <c r="C569" s="7" t="s">
        <v>39</v>
      </c>
      <c r="D569">
        <v>0</v>
      </c>
      <c r="E569" s="7">
        <f>worker_data[[#This Row],[employed]]-worker_data[[#This Row],[spent_amount]]</f>
        <v>0</v>
      </c>
      <c r="F569">
        <v>1.7048899999999999E-10</v>
      </c>
      <c r="G569">
        <v>0</v>
      </c>
      <c r="H569">
        <v>0</v>
      </c>
      <c r="I569" s="7" t="s">
        <v>40</v>
      </c>
      <c r="J569">
        <v>0</v>
      </c>
    </row>
    <row r="570" spans="1:10" x14ac:dyDescent="0.25">
      <c r="A570">
        <v>569</v>
      </c>
      <c r="B570">
        <v>795318923</v>
      </c>
      <c r="C570" s="7" t="s">
        <v>39</v>
      </c>
      <c r="D570">
        <v>0</v>
      </c>
      <c r="E570" s="7">
        <f>worker_data[[#This Row],[employed]]-worker_data[[#This Row],[spent_amount]]</f>
        <v>0</v>
      </c>
      <c r="F570">
        <v>1.6366999999999999E-10</v>
      </c>
      <c r="G570">
        <v>0</v>
      </c>
      <c r="H570">
        <v>0</v>
      </c>
      <c r="I570" s="7" t="s">
        <v>40</v>
      </c>
      <c r="J570">
        <v>0</v>
      </c>
    </row>
    <row r="571" spans="1:10" x14ac:dyDescent="0.25">
      <c r="A571">
        <v>570</v>
      </c>
      <c r="B571">
        <v>741589086</v>
      </c>
      <c r="C571" s="7" t="s">
        <v>39</v>
      </c>
      <c r="D571">
        <v>0</v>
      </c>
      <c r="E571" s="7">
        <f>worker_data[[#This Row],[employed]]-worker_data[[#This Row],[spent_amount]]</f>
        <v>0</v>
      </c>
      <c r="F571">
        <v>1.57123E-10</v>
      </c>
      <c r="G571">
        <v>0</v>
      </c>
      <c r="H571">
        <v>0</v>
      </c>
      <c r="I571" s="7" t="s">
        <v>40</v>
      </c>
      <c r="J571">
        <v>0</v>
      </c>
    </row>
    <row r="572" spans="1:10" x14ac:dyDescent="0.25">
      <c r="A572">
        <v>571</v>
      </c>
      <c r="B572">
        <v>53622919</v>
      </c>
      <c r="C572" s="7" t="s">
        <v>39</v>
      </c>
      <c r="D572">
        <v>0</v>
      </c>
      <c r="E572" s="7">
        <f>worker_data[[#This Row],[employed]]-worker_data[[#This Row],[spent_amount]]</f>
        <v>0</v>
      </c>
      <c r="F572">
        <v>1.50838E-10</v>
      </c>
      <c r="G572">
        <v>0</v>
      </c>
      <c r="H572">
        <v>0</v>
      </c>
      <c r="I572" s="7" t="s">
        <v>40</v>
      </c>
      <c r="J572">
        <v>0</v>
      </c>
    </row>
    <row r="573" spans="1:10" x14ac:dyDescent="0.25">
      <c r="A573">
        <v>572</v>
      </c>
      <c r="B573">
        <v>40947491</v>
      </c>
      <c r="C573" s="7" t="s">
        <v>39</v>
      </c>
      <c r="D573">
        <v>0</v>
      </c>
      <c r="E573" s="7">
        <f>worker_data[[#This Row],[employed]]-worker_data[[#This Row],[spent_amount]]</f>
        <v>0</v>
      </c>
      <c r="F573">
        <v>1.44805E-10</v>
      </c>
      <c r="G573">
        <v>0</v>
      </c>
      <c r="H573">
        <v>0</v>
      </c>
      <c r="I573" s="7" t="s">
        <v>40</v>
      </c>
      <c r="J573">
        <v>0</v>
      </c>
    </row>
    <row r="574" spans="1:10" x14ac:dyDescent="0.25">
      <c r="A574">
        <v>573</v>
      </c>
      <c r="B574">
        <v>649284530</v>
      </c>
      <c r="C574" s="7" t="s">
        <v>39</v>
      </c>
      <c r="D574">
        <v>0</v>
      </c>
      <c r="E574" s="7">
        <f>worker_data[[#This Row],[employed]]-worker_data[[#This Row],[spent_amount]]</f>
        <v>0</v>
      </c>
      <c r="F574">
        <v>1.3901200000000001E-10</v>
      </c>
      <c r="G574">
        <v>0</v>
      </c>
      <c r="H574">
        <v>0</v>
      </c>
      <c r="I574" s="7" t="s">
        <v>40</v>
      </c>
      <c r="J574">
        <v>0</v>
      </c>
    </row>
    <row r="575" spans="1:10" x14ac:dyDescent="0.25">
      <c r="A575">
        <v>574</v>
      </c>
      <c r="B575">
        <v>400874929</v>
      </c>
      <c r="C575" s="7" t="s">
        <v>39</v>
      </c>
      <c r="D575">
        <v>0</v>
      </c>
      <c r="E575" s="7">
        <f>worker_data[[#This Row],[employed]]-worker_data[[#This Row],[spent_amount]]</f>
        <v>0</v>
      </c>
      <c r="F575">
        <v>1.3345200000000001E-10</v>
      </c>
      <c r="G575">
        <v>0</v>
      </c>
      <c r="H575">
        <v>0</v>
      </c>
      <c r="I575" s="7" t="s">
        <v>40</v>
      </c>
      <c r="J575">
        <v>0</v>
      </c>
    </row>
    <row r="576" spans="1:10" x14ac:dyDescent="0.25">
      <c r="A576">
        <v>575</v>
      </c>
      <c r="B576">
        <v>794368455</v>
      </c>
      <c r="C576" s="7" t="s">
        <v>39</v>
      </c>
      <c r="D576">
        <v>0</v>
      </c>
      <c r="E576" s="7">
        <f>worker_data[[#This Row],[employed]]-worker_data[[#This Row],[spent_amount]]</f>
        <v>0</v>
      </c>
      <c r="F576">
        <v>1.2811399999999999E-10</v>
      </c>
      <c r="G576">
        <v>0</v>
      </c>
      <c r="H576">
        <v>0</v>
      </c>
      <c r="I576" s="7" t="s">
        <v>40</v>
      </c>
      <c r="J576">
        <v>0</v>
      </c>
    </row>
    <row r="577" spans="1:10" x14ac:dyDescent="0.25">
      <c r="A577">
        <v>576</v>
      </c>
      <c r="B577">
        <v>74650589</v>
      </c>
      <c r="C577" s="7" t="s">
        <v>39</v>
      </c>
      <c r="D577">
        <v>0</v>
      </c>
      <c r="E577" s="7">
        <f>worker_data[[#This Row],[employed]]-worker_data[[#This Row],[spent_amount]]</f>
        <v>0</v>
      </c>
      <c r="F577">
        <v>1.22989E-10</v>
      </c>
      <c r="G577">
        <v>0</v>
      </c>
      <c r="H577">
        <v>0</v>
      </c>
      <c r="I577" s="7" t="s">
        <v>40</v>
      </c>
      <c r="J577">
        <v>0</v>
      </c>
    </row>
    <row r="578" spans="1:10" x14ac:dyDescent="0.25">
      <c r="A578">
        <v>577</v>
      </c>
      <c r="B578">
        <v>167736248</v>
      </c>
      <c r="C578" s="7" t="s">
        <v>39</v>
      </c>
      <c r="D578">
        <v>0</v>
      </c>
      <c r="E578" s="7">
        <f>worker_data[[#This Row],[employed]]-worker_data[[#This Row],[spent_amount]]</f>
        <v>0</v>
      </c>
      <c r="F578">
        <v>1.1807000000000001E-10</v>
      </c>
      <c r="G578">
        <v>0</v>
      </c>
      <c r="H578">
        <v>0</v>
      </c>
      <c r="I578" s="7" t="s">
        <v>40</v>
      </c>
      <c r="J578">
        <v>0</v>
      </c>
    </row>
    <row r="579" spans="1:10" x14ac:dyDescent="0.25">
      <c r="A579">
        <v>578</v>
      </c>
      <c r="B579">
        <v>466144085</v>
      </c>
      <c r="C579" s="7" t="s">
        <v>39</v>
      </c>
      <c r="D579">
        <v>0</v>
      </c>
      <c r="E579" s="7">
        <f>worker_data[[#This Row],[employed]]-worker_data[[#This Row],[spent_amount]]</f>
        <v>0</v>
      </c>
      <c r="F579">
        <v>1.13347E-10</v>
      </c>
      <c r="G579">
        <v>0</v>
      </c>
      <c r="H579">
        <v>0</v>
      </c>
      <c r="I579" s="7" t="s">
        <v>40</v>
      </c>
      <c r="J579">
        <v>0</v>
      </c>
    </row>
    <row r="580" spans="1:10" x14ac:dyDescent="0.25">
      <c r="A580">
        <v>579</v>
      </c>
      <c r="B580">
        <v>163100630</v>
      </c>
      <c r="C580" s="7" t="s">
        <v>39</v>
      </c>
      <c r="D580">
        <v>0</v>
      </c>
      <c r="E580" s="7">
        <f>worker_data[[#This Row],[employed]]-worker_data[[#This Row],[spent_amount]]</f>
        <v>0</v>
      </c>
      <c r="F580">
        <v>1.08813E-10</v>
      </c>
      <c r="G580">
        <v>0</v>
      </c>
      <c r="H580">
        <v>0</v>
      </c>
      <c r="I580" s="7" t="s">
        <v>40</v>
      </c>
      <c r="J580">
        <v>0</v>
      </c>
    </row>
    <row r="581" spans="1:10" x14ac:dyDescent="0.25">
      <c r="A581">
        <v>580</v>
      </c>
      <c r="B581">
        <v>50386655</v>
      </c>
      <c r="C581" s="7" t="s">
        <v>39</v>
      </c>
      <c r="D581">
        <v>0</v>
      </c>
      <c r="E581" s="7">
        <f>worker_data[[#This Row],[employed]]-worker_data[[#This Row],[spent_amount]]</f>
        <v>0</v>
      </c>
      <c r="F581">
        <v>1.04461E-10</v>
      </c>
      <c r="G581">
        <v>0</v>
      </c>
      <c r="H581">
        <v>0</v>
      </c>
      <c r="I581" s="7" t="s">
        <v>40</v>
      </c>
      <c r="J581">
        <v>0</v>
      </c>
    </row>
    <row r="582" spans="1:10" x14ac:dyDescent="0.25">
      <c r="A582">
        <v>581</v>
      </c>
      <c r="B582">
        <v>292758604</v>
      </c>
      <c r="C582" s="7" t="s">
        <v>39</v>
      </c>
      <c r="D582">
        <v>0</v>
      </c>
      <c r="E582" s="7">
        <f>worker_data[[#This Row],[employed]]-worker_data[[#This Row],[spent_amount]]</f>
        <v>0</v>
      </c>
      <c r="F582">
        <v>1.0028200000000001E-10</v>
      </c>
      <c r="G582">
        <v>0</v>
      </c>
      <c r="H582">
        <v>0</v>
      </c>
      <c r="I582" s="7" t="s">
        <v>40</v>
      </c>
      <c r="J582">
        <v>0</v>
      </c>
    </row>
    <row r="583" spans="1:10" x14ac:dyDescent="0.25">
      <c r="A583">
        <v>582</v>
      </c>
      <c r="B583">
        <v>744934638</v>
      </c>
      <c r="C583" s="7" t="s">
        <v>39</v>
      </c>
      <c r="D583">
        <v>0</v>
      </c>
      <c r="E583" s="7">
        <f>worker_data[[#This Row],[employed]]-worker_data[[#This Row],[spent_amount]]</f>
        <v>0</v>
      </c>
      <c r="F583">
        <v>9.6270800000000004E-11</v>
      </c>
      <c r="G583">
        <v>0</v>
      </c>
      <c r="H583">
        <v>0</v>
      </c>
      <c r="I583" s="7" t="s">
        <v>40</v>
      </c>
      <c r="J583">
        <v>0</v>
      </c>
    </row>
    <row r="584" spans="1:10" x14ac:dyDescent="0.25">
      <c r="A584">
        <v>583</v>
      </c>
      <c r="B584">
        <v>107829282</v>
      </c>
      <c r="C584" s="7" t="s">
        <v>39</v>
      </c>
      <c r="D584">
        <v>0</v>
      </c>
      <c r="E584" s="7">
        <f>worker_data[[#This Row],[employed]]-worker_data[[#This Row],[spent_amount]]</f>
        <v>0</v>
      </c>
      <c r="F584">
        <v>9.2420000000000002E-11</v>
      </c>
      <c r="G584">
        <v>0</v>
      </c>
      <c r="H584">
        <v>0</v>
      </c>
      <c r="I584" s="7" t="s">
        <v>40</v>
      </c>
      <c r="J584">
        <v>0</v>
      </c>
    </row>
    <row r="585" spans="1:10" x14ac:dyDescent="0.25">
      <c r="A585">
        <v>584</v>
      </c>
      <c r="B585">
        <v>186276170</v>
      </c>
      <c r="C585" s="7" t="s">
        <v>39</v>
      </c>
      <c r="D585">
        <v>0</v>
      </c>
      <c r="E585" s="7">
        <f>worker_data[[#This Row],[employed]]-worker_data[[#This Row],[spent_amount]]</f>
        <v>0</v>
      </c>
      <c r="F585">
        <v>8.8723200000000004E-11</v>
      </c>
      <c r="G585">
        <v>0</v>
      </c>
      <c r="H585">
        <v>0</v>
      </c>
      <c r="I585" s="7" t="s">
        <v>40</v>
      </c>
      <c r="J585">
        <v>0</v>
      </c>
    </row>
    <row r="586" spans="1:10" x14ac:dyDescent="0.25">
      <c r="A586">
        <v>585</v>
      </c>
      <c r="B586">
        <v>115593516</v>
      </c>
      <c r="C586" s="7" t="s">
        <v>39</v>
      </c>
      <c r="D586">
        <v>0</v>
      </c>
      <c r="E586" s="7">
        <f>worker_data[[#This Row],[employed]]-worker_data[[#This Row],[spent_amount]]</f>
        <v>0</v>
      </c>
      <c r="F586">
        <v>8.5174300000000002E-11</v>
      </c>
      <c r="G586">
        <v>0</v>
      </c>
      <c r="H586">
        <v>0</v>
      </c>
      <c r="I586" s="7" t="s">
        <v>40</v>
      </c>
      <c r="J586">
        <v>0</v>
      </c>
    </row>
    <row r="587" spans="1:10" x14ac:dyDescent="0.25">
      <c r="A587">
        <v>586</v>
      </c>
      <c r="B587">
        <v>193699344</v>
      </c>
      <c r="C587" s="7" t="s">
        <v>39</v>
      </c>
      <c r="D587">
        <v>1</v>
      </c>
      <c r="E587" s="7">
        <f>worker_data[[#This Row],[employed]]-worker_data[[#This Row],[spent_amount]]</f>
        <v>1</v>
      </c>
      <c r="F587">
        <v>0.04</v>
      </c>
      <c r="G587">
        <v>0</v>
      </c>
      <c r="H587">
        <v>1</v>
      </c>
      <c r="I587" s="7" t="s">
        <v>149</v>
      </c>
      <c r="J587">
        <v>0</v>
      </c>
    </row>
    <row r="588" spans="1:10" x14ac:dyDescent="0.25">
      <c r="A588">
        <v>587</v>
      </c>
      <c r="B588">
        <v>446024289</v>
      </c>
      <c r="C588" s="7" t="s">
        <v>39</v>
      </c>
      <c r="D588">
        <v>2</v>
      </c>
      <c r="E588" s="7">
        <f>worker_data[[#This Row],[employed]]-worker_data[[#This Row],[spent_amount]]</f>
        <v>1</v>
      </c>
      <c r="F588">
        <v>7.8399999999999997E-2</v>
      </c>
      <c r="G588">
        <v>0</v>
      </c>
      <c r="H588">
        <v>1</v>
      </c>
      <c r="I588" s="7" t="s">
        <v>149</v>
      </c>
      <c r="J588">
        <v>0.09</v>
      </c>
    </row>
    <row r="589" spans="1:10" x14ac:dyDescent="0.25">
      <c r="A589">
        <v>588</v>
      </c>
      <c r="B589">
        <v>694452899</v>
      </c>
      <c r="C589" s="7" t="s">
        <v>39</v>
      </c>
      <c r="D589">
        <v>3</v>
      </c>
      <c r="E589" s="7">
        <f>worker_data[[#This Row],[employed]]-worker_data[[#This Row],[spent_amount]]</f>
        <v>1</v>
      </c>
      <c r="F589">
        <v>0.11526400000000001</v>
      </c>
      <c r="G589">
        <v>0</v>
      </c>
      <c r="H589">
        <v>1</v>
      </c>
      <c r="I589" s="7" t="s">
        <v>149</v>
      </c>
      <c r="J589">
        <v>0.1784</v>
      </c>
    </row>
    <row r="590" spans="1:10" x14ac:dyDescent="0.25">
      <c r="A590">
        <v>589</v>
      </c>
      <c r="B590">
        <v>500954632</v>
      </c>
      <c r="C590" s="7" t="s">
        <v>39</v>
      </c>
      <c r="D590">
        <v>2.7347399999999999</v>
      </c>
      <c r="E590" s="7">
        <f>worker_data[[#This Row],[employed]]-worker_data[[#This Row],[spent_amount]]</f>
        <v>-0.265264</v>
      </c>
      <c r="F590">
        <v>0.110653</v>
      </c>
      <c r="G590">
        <v>0.265264</v>
      </c>
      <c r="H590">
        <v>0</v>
      </c>
      <c r="I590" s="7" t="s">
        <v>40</v>
      </c>
      <c r="J590">
        <v>0.265264</v>
      </c>
    </row>
    <row r="591" spans="1:10" x14ac:dyDescent="0.25">
      <c r="A591">
        <v>590</v>
      </c>
      <c r="B591">
        <v>911195647</v>
      </c>
      <c r="C591" s="7" t="s">
        <v>39</v>
      </c>
      <c r="D591">
        <v>2.7347399999999999</v>
      </c>
      <c r="E591" s="7">
        <f>worker_data[[#This Row],[employed]]-worker_data[[#This Row],[spent_amount]]</f>
        <v>0</v>
      </c>
      <c r="F591">
        <v>0.106227</v>
      </c>
      <c r="G591">
        <v>0</v>
      </c>
      <c r="H591">
        <v>0</v>
      </c>
      <c r="I591" s="7" t="s">
        <v>40</v>
      </c>
      <c r="J591">
        <v>0.24739</v>
      </c>
    </row>
    <row r="592" spans="1:10" x14ac:dyDescent="0.25">
      <c r="A592">
        <v>591</v>
      </c>
      <c r="B592">
        <v>914136103</v>
      </c>
      <c r="C592" s="7" t="s">
        <v>39</v>
      </c>
      <c r="D592">
        <v>2.7347399999999999</v>
      </c>
      <c r="E592" s="7">
        <f>worker_data[[#This Row],[employed]]-worker_data[[#This Row],[spent_amount]]</f>
        <v>0</v>
      </c>
      <c r="F592">
        <v>0.101978</v>
      </c>
      <c r="G592">
        <v>0</v>
      </c>
      <c r="H592">
        <v>0</v>
      </c>
      <c r="I592" s="7" t="s">
        <v>40</v>
      </c>
      <c r="J592">
        <v>0.24296400000000001</v>
      </c>
    </row>
    <row r="593" spans="1:10" x14ac:dyDescent="0.25">
      <c r="A593">
        <v>592</v>
      </c>
      <c r="B593">
        <v>234375272</v>
      </c>
      <c r="C593" s="7" t="s">
        <v>39</v>
      </c>
      <c r="D593">
        <v>2.7347399999999999</v>
      </c>
      <c r="E593" s="7">
        <f>worker_data[[#This Row],[employed]]-worker_data[[#This Row],[spent_amount]]</f>
        <v>0</v>
      </c>
      <c r="F593">
        <v>9.7899100000000003E-2</v>
      </c>
      <c r="G593">
        <v>0</v>
      </c>
      <c r="H593">
        <v>0</v>
      </c>
      <c r="I593" s="7" t="s">
        <v>40</v>
      </c>
      <c r="J593">
        <v>0.23871500000000001</v>
      </c>
    </row>
    <row r="594" spans="1:10" x14ac:dyDescent="0.25">
      <c r="A594">
        <v>593</v>
      </c>
      <c r="B594">
        <v>215198456</v>
      </c>
      <c r="C594" s="7" t="s">
        <v>39</v>
      </c>
      <c r="D594">
        <v>2.7347399999999999</v>
      </c>
      <c r="E594" s="7">
        <f>worker_data[[#This Row],[employed]]-worker_data[[#This Row],[spent_amount]]</f>
        <v>0</v>
      </c>
      <c r="F594">
        <v>9.39831E-2</v>
      </c>
      <c r="G594">
        <v>0</v>
      </c>
      <c r="H594">
        <v>0</v>
      </c>
      <c r="I594" s="7" t="s">
        <v>40</v>
      </c>
      <c r="J594">
        <v>0.23463600000000001</v>
      </c>
    </row>
    <row r="595" spans="1:10" x14ac:dyDescent="0.25">
      <c r="A595">
        <v>594</v>
      </c>
      <c r="B595">
        <v>64295982</v>
      </c>
      <c r="C595" s="7" t="s">
        <v>39</v>
      </c>
      <c r="D595">
        <v>2.7347399999999999</v>
      </c>
      <c r="E595" s="7">
        <f>worker_data[[#This Row],[employed]]-worker_data[[#This Row],[spent_amount]]</f>
        <v>0</v>
      </c>
      <c r="F595">
        <v>9.0223800000000007E-2</v>
      </c>
      <c r="G595">
        <v>0</v>
      </c>
      <c r="H595">
        <v>0</v>
      </c>
      <c r="I595" s="7" t="s">
        <v>40</v>
      </c>
      <c r="J595">
        <v>0.23072000000000001</v>
      </c>
    </row>
    <row r="596" spans="1:10" x14ac:dyDescent="0.25">
      <c r="A596">
        <v>595</v>
      </c>
      <c r="B596">
        <v>199707554</v>
      </c>
      <c r="C596" s="7" t="s">
        <v>39</v>
      </c>
      <c r="D596">
        <v>2.7347399999999999</v>
      </c>
      <c r="E596" s="7">
        <f>worker_data[[#This Row],[employed]]-worker_data[[#This Row],[spent_amount]]</f>
        <v>0</v>
      </c>
      <c r="F596">
        <v>8.6614800000000006E-2</v>
      </c>
      <c r="G596">
        <v>0</v>
      </c>
      <c r="H596">
        <v>0</v>
      </c>
      <c r="I596" s="7" t="s">
        <v>40</v>
      </c>
      <c r="J596">
        <v>0.226961</v>
      </c>
    </row>
    <row r="597" spans="1:10" x14ac:dyDescent="0.25">
      <c r="A597">
        <v>596</v>
      </c>
      <c r="B597">
        <v>723323844</v>
      </c>
      <c r="C597" s="7" t="s">
        <v>39</v>
      </c>
      <c r="D597">
        <v>2.7347399999999999</v>
      </c>
      <c r="E597" s="7">
        <f>worker_data[[#This Row],[employed]]-worker_data[[#This Row],[spent_amount]]</f>
        <v>0</v>
      </c>
      <c r="F597">
        <v>8.3150199999999994E-2</v>
      </c>
      <c r="G597">
        <v>0</v>
      </c>
      <c r="H597">
        <v>0</v>
      </c>
      <c r="I597" s="7" t="s">
        <v>40</v>
      </c>
      <c r="J597">
        <v>0.22335199999999999</v>
      </c>
    </row>
    <row r="598" spans="1:10" x14ac:dyDescent="0.25">
      <c r="A598">
        <v>597</v>
      </c>
      <c r="B598">
        <v>567701316</v>
      </c>
      <c r="C598" s="7" t="s">
        <v>39</v>
      </c>
      <c r="D598">
        <v>2.7347399999999999</v>
      </c>
      <c r="E598" s="7">
        <f>worker_data[[#This Row],[employed]]-worker_data[[#This Row],[spent_amount]]</f>
        <v>0</v>
      </c>
      <c r="F598">
        <v>7.9824199999999998E-2</v>
      </c>
      <c r="G598">
        <v>0</v>
      </c>
      <c r="H598">
        <v>0</v>
      </c>
      <c r="I598" s="7" t="s">
        <v>40</v>
      </c>
      <c r="J598">
        <v>0.219887</v>
      </c>
    </row>
    <row r="599" spans="1:10" x14ac:dyDescent="0.25">
      <c r="A599">
        <v>598</v>
      </c>
      <c r="B599">
        <v>542740875</v>
      </c>
      <c r="C599" s="7" t="s">
        <v>39</v>
      </c>
      <c r="D599">
        <v>2.7347399999999999</v>
      </c>
      <c r="E599" s="7">
        <f>worker_data[[#This Row],[employed]]-worker_data[[#This Row],[spent_amount]]</f>
        <v>0</v>
      </c>
      <c r="F599">
        <v>7.6631299999999999E-2</v>
      </c>
      <c r="G599">
        <v>0</v>
      </c>
      <c r="H599">
        <v>0</v>
      </c>
      <c r="I599" s="7" t="s">
        <v>40</v>
      </c>
      <c r="J599">
        <v>0.216561</v>
      </c>
    </row>
    <row r="600" spans="1:10" x14ac:dyDescent="0.25">
      <c r="A600">
        <v>599</v>
      </c>
      <c r="B600">
        <v>416745890</v>
      </c>
      <c r="C600" s="7" t="s">
        <v>39</v>
      </c>
      <c r="D600">
        <v>2.7347399999999999</v>
      </c>
      <c r="E600" s="7">
        <f>worker_data[[#This Row],[employed]]-worker_data[[#This Row],[spent_amount]]</f>
        <v>0</v>
      </c>
      <c r="F600">
        <v>7.3566000000000006E-2</v>
      </c>
      <c r="G600">
        <v>0</v>
      </c>
      <c r="H600">
        <v>0</v>
      </c>
      <c r="I600" s="7" t="s">
        <v>40</v>
      </c>
      <c r="J600">
        <v>0.213368</v>
      </c>
    </row>
    <row r="601" spans="1:10" x14ac:dyDescent="0.25">
      <c r="A601">
        <v>600</v>
      </c>
      <c r="B601">
        <v>657282236</v>
      </c>
      <c r="C601" s="7" t="s">
        <v>39</v>
      </c>
      <c r="D601">
        <v>2.5244300000000002</v>
      </c>
      <c r="E601" s="7">
        <f>worker_data[[#This Row],[employed]]-worker_data[[#This Row],[spent_amount]]</f>
        <v>-0.21030299999999999</v>
      </c>
      <c r="F601">
        <v>7.0623400000000003E-2</v>
      </c>
      <c r="G601">
        <v>0.21030299999999999</v>
      </c>
      <c r="H601">
        <v>0</v>
      </c>
      <c r="I601" s="7" t="s">
        <v>40</v>
      </c>
      <c r="J601">
        <v>0.21030299999999999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A03B-4D7B-4036-9D36-2F0FCF71858E}">
  <dimension ref="A1:G601"/>
  <sheetViews>
    <sheetView topLeftCell="A63" workbookViewId="0">
      <selection activeCell="I68" sqref="I68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4" bestFit="1" customWidth="1"/>
    <col min="4" max="4" width="12" bestFit="1" customWidth="1"/>
    <col min="5" max="5" width="16.7109375" bestFit="1" customWidth="1"/>
    <col min="6" max="6" width="16.28515625" bestFit="1" customWidth="1"/>
    <col min="7" max="7" width="12" bestFit="1" customWidth="1"/>
  </cols>
  <sheetData>
    <row r="1" spans="1:7" x14ac:dyDescent="0.25">
      <c r="A1" t="s">
        <v>0</v>
      </c>
      <c r="B1" t="s">
        <v>46</v>
      </c>
      <c r="C1" t="s">
        <v>47</v>
      </c>
      <c r="D1" t="s">
        <v>33</v>
      </c>
      <c r="E1" t="s">
        <v>34</v>
      </c>
      <c r="F1" t="s">
        <v>35</v>
      </c>
      <c r="G1" t="s">
        <v>38</v>
      </c>
    </row>
    <row r="2" spans="1:7" x14ac:dyDescent="0.25">
      <c r="A2">
        <v>1</v>
      </c>
      <c r="B2">
        <v>568513272</v>
      </c>
      <c r="C2" s="7" t="s">
        <v>48</v>
      </c>
      <c r="D2">
        <v>0.15</v>
      </c>
      <c r="E2">
        <v>1.91703</v>
      </c>
      <c r="F2">
        <v>5.06811E-2</v>
      </c>
      <c r="G2">
        <v>0.15</v>
      </c>
    </row>
    <row r="3" spans="1:7" x14ac:dyDescent="0.25">
      <c r="A3">
        <v>2</v>
      </c>
      <c r="B3">
        <v>116381266</v>
      </c>
      <c r="C3" s="7" t="s">
        <v>48</v>
      </c>
      <c r="D3">
        <v>0.146532</v>
      </c>
      <c r="E3">
        <v>2.0490699999999999</v>
      </c>
      <c r="F3">
        <v>5.9796799999999997E-2</v>
      </c>
      <c r="G3">
        <v>0.146532</v>
      </c>
    </row>
    <row r="4" spans="1:7" x14ac:dyDescent="0.25">
      <c r="A4">
        <v>3</v>
      </c>
      <c r="B4">
        <v>561622615</v>
      </c>
      <c r="C4" s="7" t="s">
        <v>48</v>
      </c>
      <c r="D4">
        <v>0.16225000000000001</v>
      </c>
      <c r="E4">
        <v>1.8868199999999999</v>
      </c>
      <c r="F4">
        <v>5.7404900000000002E-2</v>
      </c>
      <c r="G4">
        <v>0.16225000000000001</v>
      </c>
    </row>
    <row r="5" spans="1:7" x14ac:dyDescent="0.25">
      <c r="A5">
        <v>4</v>
      </c>
      <c r="B5">
        <v>580265595</v>
      </c>
      <c r="C5" s="7" t="s">
        <v>48</v>
      </c>
      <c r="D5">
        <v>0.15174599999999999</v>
      </c>
      <c r="E5">
        <v>1.73509</v>
      </c>
      <c r="F5">
        <v>5.5109400000000003E-2</v>
      </c>
      <c r="G5">
        <v>0.15174599999999999</v>
      </c>
    </row>
    <row r="6" spans="1:7" x14ac:dyDescent="0.25">
      <c r="A6">
        <v>5</v>
      </c>
      <c r="B6">
        <v>92974295</v>
      </c>
      <c r="C6" s="7" t="s">
        <v>48</v>
      </c>
      <c r="D6">
        <v>0.14186399999999999</v>
      </c>
      <c r="E6">
        <v>1.59412</v>
      </c>
      <c r="F6">
        <v>5.2940800000000003E-2</v>
      </c>
      <c r="G6">
        <v>0.14186399999999999</v>
      </c>
    </row>
    <row r="7" spans="1:7" x14ac:dyDescent="0.25">
      <c r="A7">
        <v>6</v>
      </c>
      <c r="B7">
        <v>844295000</v>
      </c>
      <c r="C7" s="7" t="s">
        <v>48</v>
      </c>
      <c r="D7">
        <v>0.13264699999999999</v>
      </c>
      <c r="E7">
        <v>1.5945800000000001</v>
      </c>
      <c r="F7">
        <v>5.0841699999999997E-2</v>
      </c>
      <c r="G7">
        <v>0</v>
      </c>
    </row>
    <row r="8" spans="1:7" x14ac:dyDescent="0.25">
      <c r="A8">
        <v>7</v>
      </c>
      <c r="B8">
        <v>461579371</v>
      </c>
      <c r="C8" s="7" t="s">
        <v>48</v>
      </c>
      <c r="D8">
        <v>0.13057099999999999</v>
      </c>
      <c r="E8">
        <v>1.46448</v>
      </c>
      <c r="F8">
        <v>4.8826700000000001E-2</v>
      </c>
      <c r="G8">
        <v>0.13057099999999999</v>
      </c>
    </row>
    <row r="9" spans="1:7" x14ac:dyDescent="0.25">
      <c r="A9">
        <v>8</v>
      </c>
      <c r="B9">
        <v>924166741</v>
      </c>
      <c r="C9" s="7" t="s">
        <v>48</v>
      </c>
      <c r="D9">
        <v>0.12205100000000001</v>
      </c>
      <c r="E9">
        <v>1.34291</v>
      </c>
      <c r="F9">
        <v>4.6892799999999998E-2</v>
      </c>
      <c r="G9">
        <v>0.12205100000000001</v>
      </c>
    </row>
    <row r="10" spans="1:7" x14ac:dyDescent="0.25">
      <c r="A10">
        <v>9</v>
      </c>
      <c r="B10">
        <v>656175618</v>
      </c>
      <c r="C10" s="7" t="s">
        <v>48</v>
      </c>
      <c r="D10">
        <v>0.114038</v>
      </c>
      <c r="E10">
        <v>2.1918099999999998</v>
      </c>
      <c r="F10">
        <v>8.3534800000000006E-2</v>
      </c>
      <c r="G10">
        <v>0.114038</v>
      </c>
    </row>
    <row r="11" spans="1:7" x14ac:dyDescent="0.25">
      <c r="A11">
        <v>10</v>
      </c>
      <c r="B11">
        <v>290272111</v>
      </c>
      <c r="C11" s="7" t="s">
        <v>48</v>
      </c>
      <c r="D11">
        <v>0.19312499999999999</v>
      </c>
      <c r="E11">
        <v>1.9997799999999999</v>
      </c>
      <c r="F11">
        <v>8.0237299999999998E-2</v>
      </c>
      <c r="G11">
        <v>0.19312499999999999</v>
      </c>
    </row>
    <row r="12" spans="1:7" x14ac:dyDescent="0.25">
      <c r="A12">
        <v>11</v>
      </c>
      <c r="B12">
        <v>3764035</v>
      </c>
      <c r="C12" s="7" t="s">
        <v>48</v>
      </c>
      <c r="D12">
        <v>0.180226</v>
      </c>
      <c r="E12">
        <v>1.8198000000000001</v>
      </c>
      <c r="F12">
        <v>7.7037499999999995E-2</v>
      </c>
      <c r="G12">
        <v>0.180226</v>
      </c>
    </row>
    <row r="13" spans="1:7" x14ac:dyDescent="0.25">
      <c r="A13">
        <v>12</v>
      </c>
      <c r="B13">
        <v>121302646</v>
      </c>
      <c r="C13" s="7" t="s">
        <v>48</v>
      </c>
      <c r="D13">
        <v>0.16802800000000001</v>
      </c>
      <c r="E13">
        <v>1.8200400000000001</v>
      </c>
      <c r="F13">
        <v>7.3965699999999995E-2</v>
      </c>
      <c r="G13">
        <v>0</v>
      </c>
    </row>
    <row r="14" spans="1:7" x14ac:dyDescent="0.25">
      <c r="A14">
        <v>13</v>
      </c>
      <c r="B14">
        <v>238110832</v>
      </c>
      <c r="C14" s="7" t="s">
        <v>48</v>
      </c>
      <c r="D14">
        <v>0.164968</v>
      </c>
      <c r="E14">
        <v>1.6553199999999999</v>
      </c>
      <c r="F14">
        <v>7.1016700000000002E-2</v>
      </c>
      <c r="G14">
        <v>0.164968</v>
      </c>
    </row>
    <row r="15" spans="1:7" x14ac:dyDescent="0.25">
      <c r="A15">
        <v>14</v>
      </c>
      <c r="B15">
        <v>961221646</v>
      </c>
      <c r="C15" s="7" t="s">
        <v>48</v>
      </c>
      <c r="D15">
        <v>0.153783</v>
      </c>
      <c r="E15">
        <v>1.50177</v>
      </c>
      <c r="F15">
        <v>6.8185700000000002E-2</v>
      </c>
      <c r="G15">
        <v>0.153783</v>
      </c>
    </row>
    <row r="16" spans="1:7" x14ac:dyDescent="0.25">
      <c r="A16">
        <v>15</v>
      </c>
      <c r="B16">
        <v>831476582</v>
      </c>
      <c r="C16" s="7" t="s">
        <v>48</v>
      </c>
      <c r="D16">
        <v>0.14327400000000001</v>
      </c>
      <c r="E16">
        <v>1.5020100000000001</v>
      </c>
      <c r="F16">
        <v>6.5467800000000007E-2</v>
      </c>
      <c r="G16">
        <v>0</v>
      </c>
    </row>
    <row r="17" spans="1:7" x14ac:dyDescent="0.25">
      <c r="A17">
        <v>16</v>
      </c>
      <c r="B17">
        <v>104392272</v>
      </c>
      <c r="C17" s="7" t="s">
        <v>48</v>
      </c>
      <c r="D17">
        <v>0.140569</v>
      </c>
      <c r="E17">
        <v>1.36168</v>
      </c>
      <c r="F17">
        <v>6.2858700000000003E-2</v>
      </c>
      <c r="G17">
        <v>0.140569</v>
      </c>
    </row>
    <row r="18" spans="1:7" x14ac:dyDescent="0.25">
      <c r="A18">
        <v>17</v>
      </c>
      <c r="B18">
        <v>916001675</v>
      </c>
      <c r="C18" s="7" t="s">
        <v>48</v>
      </c>
      <c r="D18">
        <v>0.130943</v>
      </c>
      <c r="E18">
        <v>1.23098</v>
      </c>
      <c r="F18">
        <v>6.0353900000000002E-2</v>
      </c>
      <c r="G18">
        <v>0.130943</v>
      </c>
    </row>
    <row r="19" spans="1:7" x14ac:dyDescent="0.25">
      <c r="A19">
        <v>18</v>
      </c>
      <c r="B19">
        <v>936052797</v>
      </c>
      <c r="C19" s="7" t="s">
        <v>48</v>
      </c>
      <c r="D19">
        <v>0.121903</v>
      </c>
      <c r="E19">
        <v>1.10931</v>
      </c>
      <c r="F19">
        <v>5.7949199999999999E-2</v>
      </c>
      <c r="G19">
        <v>0.121903</v>
      </c>
    </row>
    <row r="20" spans="1:7" x14ac:dyDescent="0.25">
      <c r="A20">
        <v>19</v>
      </c>
      <c r="B20">
        <v>77616671</v>
      </c>
      <c r="C20" s="7" t="s">
        <v>48</v>
      </c>
      <c r="D20">
        <v>0.113415</v>
      </c>
      <c r="E20">
        <v>1.4916</v>
      </c>
      <c r="F20">
        <v>7.5459100000000001E-2</v>
      </c>
      <c r="G20">
        <v>0.113415</v>
      </c>
    </row>
    <row r="21" spans="1:7" x14ac:dyDescent="0.25">
      <c r="A21">
        <v>20</v>
      </c>
      <c r="B21">
        <v>680394204</v>
      </c>
      <c r="C21" s="7" t="s">
        <v>48</v>
      </c>
      <c r="D21">
        <v>0.15003900000000001</v>
      </c>
      <c r="E21">
        <v>1.3431</v>
      </c>
      <c r="F21">
        <v>7.25026E-2</v>
      </c>
      <c r="G21">
        <v>0.15003900000000001</v>
      </c>
    </row>
    <row r="22" spans="1:7" x14ac:dyDescent="0.25">
      <c r="A22">
        <v>21</v>
      </c>
      <c r="B22">
        <v>658983578</v>
      </c>
      <c r="C22" s="7" t="s">
        <v>48</v>
      </c>
      <c r="D22">
        <v>0.139658</v>
      </c>
      <c r="E22">
        <v>1.2041500000000001</v>
      </c>
      <c r="F22">
        <v>6.9630600000000001E-2</v>
      </c>
      <c r="G22">
        <v>0.139658</v>
      </c>
    </row>
    <row r="23" spans="1:7" x14ac:dyDescent="0.25">
      <c r="A23">
        <v>22</v>
      </c>
      <c r="B23">
        <v>211060894</v>
      </c>
      <c r="C23" s="7" t="s">
        <v>48</v>
      </c>
      <c r="D23">
        <v>0.12983800000000001</v>
      </c>
      <c r="E23">
        <v>1.07467</v>
      </c>
      <c r="F23">
        <v>6.6859699999999994E-2</v>
      </c>
      <c r="G23">
        <v>0.12983800000000001</v>
      </c>
    </row>
    <row r="24" spans="1:7" x14ac:dyDescent="0.25">
      <c r="A24">
        <v>23</v>
      </c>
      <c r="B24">
        <v>770567819</v>
      </c>
      <c r="C24" s="7" t="s">
        <v>48</v>
      </c>
      <c r="D24">
        <v>0.12059300000000001</v>
      </c>
      <c r="E24">
        <v>0.95480600000000004</v>
      </c>
      <c r="F24">
        <v>6.4214499999999994E-2</v>
      </c>
      <c r="G24">
        <v>0.12059300000000001</v>
      </c>
    </row>
    <row r="25" spans="1:7" x14ac:dyDescent="0.25">
      <c r="A25">
        <v>24</v>
      </c>
      <c r="B25">
        <v>501229029</v>
      </c>
      <c r="C25" s="7" t="s">
        <v>48</v>
      </c>
      <c r="D25">
        <v>0.111955</v>
      </c>
      <c r="E25">
        <v>0.84406899999999996</v>
      </c>
      <c r="F25">
        <v>6.1694699999999998E-2</v>
      </c>
      <c r="G25">
        <v>0.111955</v>
      </c>
    </row>
    <row r="26" spans="1:7" x14ac:dyDescent="0.25">
      <c r="A26">
        <v>25</v>
      </c>
      <c r="B26">
        <v>276334154</v>
      </c>
      <c r="C26" s="7" t="s">
        <v>48</v>
      </c>
      <c r="D26">
        <v>0.103898</v>
      </c>
      <c r="E26">
        <v>0.74100100000000002</v>
      </c>
      <c r="F26">
        <v>5.9260100000000003E-2</v>
      </c>
      <c r="G26">
        <v>0.103898</v>
      </c>
    </row>
    <row r="27" spans="1:7" x14ac:dyDescent="0.25">
      <c r="A27">
        <v>26</v>
      </c>
      <c r="B27">
        <v>502571959</v>
      </c>
      <c r="C27" s="7" t="s">
        <v>48</v>
      </c>
      <c r="D27">
        <v>9.6310199999999999E-2</v>
      </c>
      <c r="E27">
        <v>0.64707999999999999</v>
      </c>
      <c r="F27">
        <v>5.69852E-2</v>
      </c>
      <c r="G27">
        <v>9.6310199999999999E-2</v>
      </c>
    </row>
    <row r="28" spans="1:7" x14ac:dyDescent="0.25">
      <c r="A28">
        <v>27</v>
      </c>
      <c r="B28">
        <v>131486380</v>
      </c>
      <c r="C28" s="7" t="s">
        <v>48</v>
      </c>
      <c r="D28">
        <v>8.9339199999999994E-2</v>
      </c>
      <c r="E28">
        <v>0.55774000000000001</v>
      </c>
      <c r="F28">
        <v>5.4705799999999999E-2</v>
      </c>
      <c r="G28">
        <v>8.9339199999999994E-2</v>
      </c>
    </row>
    <row r="29" spans="1:7" x14ac:dyDescent="0.25">
      <c r="A29">
        <v>28</v>
      </c>
      <c r="B29">
        <v>811259257</v>
      </c>
      <c r="C29" s="7" t="s">
        <v>48</v>
      </c>
      <c r="D29">
        <v>8.2592899999999997E-2</v>
      </c>
      <c r="E29">
        <v>0.47739300000000001</v>
      </c>
      <c r="F29">
        <v>5.2607399999999999E-2</v>
      </c>
      <c r="G29">
        <v>8.2592899999999997E-2</v>
      </c>
    </row>
    <row r="30" spans="1:7" x14ac:dyDescent="0.25">
      <c r="A30">
        <v>29</v>
      </c>
      <c r="B30">
        <v>802722953</v>
      </c>
      <c r="C30" s="7" t="s">
        <v>48</v>
      </c>
      <c r="D30">
        <v>7.6477000000000003E-2</v>
      </c>
      <c r="E30">
        <v>0.40091599999999999</v>
      </c>
      <c r="F30">
        <v>5.0503100000000002E-2</v>
      </c>
      <c r="G30">
        <v>7.6477000000000003E-2</v>
      </c>
    </row>
    <row r="31" spans="1:7" x14ac:dyDescent="0.25">
      <c r="A31">
        <v>30</v>
      </c>
      <c r="B31">
        <v>61986554</v>
      </c>
      <c r="C31" s="7" t="s">
        <v>48</v>
      </c>
      <c r="D31">
        <v>7.0548899999999998E-2</v>
      </c>
      <c r="E31">
        <v>0.33153700000000003</v>
      </c>
      <c r="F31">
        <v>4.8529799999999998E-2</v>
      </c>
      <c r="G31">
        <v>7.0548899999999998E-2</v>
      </c>
    </row>
    <row r="32" spans="1:7" x14ac:dyDescent="0.25">
      <c r="A32">
        <v>31</v>
      </c>
      <c r="B32">
        <v>238863426</v>
      </c>
      <c r="C32" s="7" t="s">
        <v>48</v>
      </c>
      <c r="D32">
        <v>6.5106700000000003E-2</v>
      </c>
      <c r="E32">
        <v>0.26949299999999998</v>
      </c>
      <c r="F32">
        <v>4.6711099999999998E-2</v>
      </c>
      <c r="G32">
        <v>6.5106700000000003E-2</v>
      </c>
    </row>
    <row r="33" spans="1:7" x14ac:dyDescent="0.25">
      <c r="A33">
        <v>32</v>
      </c>
      <c r="B33">
        <v>56500805</v>
      </c>
      <c r="C33" s="7" t="s">
        <v>48</v>
      </c>
      <c r="D33">
        <v>6.0185799999999998E-2</v>
      </c>
      <c r="E33">
        <v>0.50685000000000002</v>
      </c>
      <c r="F33">
        <v>5.67444E-2</v>
      </c>
      <c r="G33">
        <v>6.0185799999999998E-2</v>
      </c>
    </row>
    <row r="34" spans="1:7" x14ac:dyDescent="0.25">
      <c r="A34">
        <v>33</v>
      </c>
      <c r="B34">
        <v>578502809</v>
      </c>
      <c r="C34" s="7" t="s">
        <v>48</v>
      </c>
      <c r="D34">
        <v>8.2086900000000004E-2</v>
      </c>
      <c r="E34">
        <v>0.424763</v>
      </c>
      <c r="F34">
        <v>5.4474599999999998E-2</v>
      </c>
      <c r="G34">
        <v>8.2086900000000004E-2</v>
      </c>
    </row>
    <row r="35" spans="1:7" x14ac:dyDescent="0.25">
      <c r="A35">
        <v>34</v>
      </c>
      <c r="B35">
        <v>798280695</v>
      </c>
      <c r="C35" s="7" t="s">
        <v>48</v>
      </c>
      <c r="D35">
        <v>7.5712699999999994E-2</v>
      </c>
      <c r="E35">
        <v>0.34999000000000002</v>
      </c>
      <c r="F35">
        <v>5.2333200000000003E-2</v>
      </c>
      <c r="G35">
        <v>7.5712699999999994E-2</v>
      </c>
    </row>
    <row r="36" spans="1:7" x14ac:dyDescent="0.25">
      <c r="A36">
        <v>35</v>
      </c>
      <c r="B36">
        <v>963350314</v>
      </c>
      <c r="C36" s="7" t="s">
        <v>48</v>
      </c>
      <c r="D36">
        <v>6.9832699999999998E-2</v>
      </c>
      <c r="E36">
        <v>0.28471800000000003</v>
      </c>
      <c r="F36">
        <v>5.0422300000000003E-2</v>
      </c>
      <c r="G36">
        <v>6.9832699999999998E-2</v>
      </c>
    </row>
    <row r="37" spans="1:7" x14ac:dyDescent="0.25">
      <c r="A37">
        <v>36</v>
      </c>
      <c r="B37">
        <v>519322908</v>
      </c>
      <c r="C37" s="7" t="s">
        <v>48</v>
      </c>
      <c r="D37">
        <v>6.4658199999999999E-2</v>
      </c>
      <c r="E37">
        <v>0.22006000000000001</v>
      </c>
      <c r="F37">
        <v>4.8405400000000001E-2</v>
      </c>
      <c r="G37">
        <v>6.4658199999999999E-2</v>
      </c>
    </row>
    <row r="38" spans="1:7" x14ac:dyDescent="0.25">
      <c r="A38">
        <v>37</v>
      </c>
      <c r="B38">
        <v>26405910</v>
      </c>
      <c r="C38" s="7" t="s">
        <v>48</v>
      </c>
      <c r="D38">
        <v>5.94084E-2</v>
      </c>
      <c r="E38">
        <v>0.22006000000000001</v>
      </c>
      <c r="F38">
        <v>4.6469200000000002E-2</v>
      </c>
      <c r="G38">
        <v>0</v>
      </c>
    </row>
    <row r="39" spans="1:7" x14ac:dyDescent="0.25">
      <c r="A39">
        <v>38</v>
      </c>
      <c r="B39">
        <v>789979588</v>
      </c>
      <c r="C39" s="7" t="s">
        <v>48</v>
      </c>
      <c r="D39">
        <v>5.7472200000000001E-2</v>
      </c>
      <c r="E39">
        <v>0.164521</v>
      </c>
      <c r="F39">
        <v>4.46878E-2</v>
      </c>
      <c r="G39">
        <v>5.7472200000000001E-2</v>
      </c>
    </row>
    <row r="40" spans="1:7" x14ac:dyDescent="0.25">
      <c r="A40">
        <v>39</v>
      </c>
      <c r="B40">
        <v>258068337</v>
      </c>
      <c r="C40" s="7" t="s">
        <v>48</v>
      </c>
      <c r="D40">
        <v>5.2913799999999997E-2</v>
      </c>
      <c r="E40">
        <v>0.65700199999999997</v>
      </c>
      <c r="F40">
        <v>6.4716099999999999E-2</v>
      </c>
      <c r="G40">
        <v>5.2913799999999997E-2</v>
      </c>
    </row>
    <row r="41" spans="1:7" x14ac:dyDescent="0.25">
      <c r="A41">
        <v>40</v>
      </c>
      <c r="B41">
        <v>882293954</v>
      </c>
      <c r="C41" s="7" t="s">
        <v>48</v>
      </c>
      <c r="D41">
        <v>9.7566200000000006E-2</v>
      </c>
      <c r="E41">
        <v>0.55943600000000004</v>
      </c>
      <c r="F41">
        <v>6.2127399999999999E-2</v>
      </c>
      <c r="G41">
        <v>9.7566200000000006E-2</v>
      </c>
    </row>
    <row r="42" spans="1:7" x14ac:dyDescent="0.25">
      <c r="A42">
        <v>41</v>
      </c>
      <c r="B42">
        <v>696091386</v>
      </c>
      <c r="C42" s="7" t="s">
        <v>48</v>
      </c>
      <c r="D42">
        <v>9.0099200000000004E-2</v>
      </c>
      <c r="E42">
        <v>0.47360099999999999</v>
      </c>
      <c r="F42">
        <v>5.9812900000000002E-2</v>
      </c>
      <c r="G42">
        <v>9.0099200000000004E-2</v>
      </c>
    </row>
    <row r="43" spans="1:7" x14ac:dyDescent="0.25">
      <c r="A43">
        <v>42</v>
      </c>
      <c r="B43">
        <v>139397762</v>
      </c>
      <c r="C43" s="7" t="s">
        <v>48</v>
      </c>
      <c r="D43">
        <v>8.3492899999999995E-2</v>
      </c>
      <c r="E43">
        <v>0.396038</v>
      </c>
      <c r="F43">
        <v>5.7657600000000003E-2</v>
      </c>
      <c r="G43">
        <v>8.3492899999999995E-2</v>
      </c>
    </row>
    <row r="44" spans="1:7" x14ac:dyDescent="0.25">
      <c r="A44">
        <v>43</v>
      </c>
      <c r="B44">
        <v>404803651</v>
      </c>
      <c r="C44" s="7" t="s">
        <v>48</v>
      </c>
      <c r="D44">
        <v>7.7459500000000001E-2</v>
      </c>
      <c r="E44">
        <v>0.323764</v>
      </c>
      <c r="F44">
        <v>5.5558700000000003E-2</v>
      </c>
      <c r="G44">
        <v>7.7459500000000001E-2</v>
      </c>
    </row>
    <row r="45" spans="1:7" x14ac:dyDescent="0.25">
      <c r="A45">
        <v>44</v>
      </c>
      <c r="B45">
        <v>711004912</v>
      </c>
      <c r="C45" s="7" t="s">
        <v>48</v>
      </c>
      <c r="D45">
        <v>7.1746900000000002E-2</v>
      </c>
      <c r="E45">
        <v>0.25656400000000001</v>
      </c>
      <c r="F45">
        <v>5.3518200000000002E-2</v>
      </c>
      <c r="G45">
        <v>7.1746900000000002E-2</v>
      </c>
    </row>
    <row r="46" spans="1:7" x14ac:dyDescent="0.25">
      <c r="A46">
        <v>45</v>
      </c>
      <c r="B46">
        <v>213932851</v>
      </c>
      <c r="C46" s="7" t="s">
        <v>48</v>
      </c>
      <c r="D46">
        <v>6.63464E-2</v>
      </c>
      <c r="E46">
        <v>0.202013</v>
      </c>
      <c r="F46">
        <v>5.1849300000000001E-2</v>
      </c>
      <c r="G46">
        <v>6.63464E-2</v>
      </c>
    </row>
    <row r="47" spans="1:7" x14ac:dyDescent="0.25">
      <c r="A47">
        <v>46</v>
      </c>
      <c r="B47">
        <v>124159291</v>
      </c>
      <c r="C47" s="7" t="s">
        <v>48</v>
      </c>
      <c r="D47">
        <v>6.1949999999999998E-2</v>
      </c>
      <c r="E47">
        <v>0.1497</v>
      </c>
      <c r="F47">
        <v>5.0160799999999998E-2</v>
      </c>
      <c r="G47">
        <v>6.1949999999999998E-2</v>
      </c>
    </row>
    <row r="48" spans="1:7" x14ac:dyDescent="0.25">
      <c r="A48">
        <v>47</v>
      </c>
      <c r="B48">
        <v>579575343</v>
      </c>
      <c r="C48" s="7" t="s">
        <v>48</v>
      </c>
      <c r="D48">
        <v>5.7645799999999997E-2</v>
      </c>
      <c r="E48">
        <v>9.2053800000000005E-2</v>
      </c>
      <c r="F48">
        <v>4.81544E-2</v>
      </c>
      <c r="G48">
        <v>5.7645799999999997E-2</v>
      </c>
    </row>
    <row r="49" spans="1:7" x14ac:dyDescent="0.25">
      <c r="A49">
        <v>48</v>
      </c>
      <c r="B49">
        <v>116845730</v>
      </c>
      <c r="C49" s="7" t="s">
        <v>48</v>
      </c>
      <c r="D49">
        <v>5.2757100000000001E-2</v>
      </c>
      <c r="E49">
        <v>9.6004599999999995E-2</v>
      </c>
      <c r="F49">
        <v>4.6386200000000002E-2</v>
      </c>
      <c r="G49">
        <v>0</v>
      </c>
    </row>
    <row r="50" spans="1:7" x14ac:dyDescent="0.25">
      <c r="A50">
        <v>49</v>
      </c>
      <c r="B50">
        <v>524959716</v>
      </c>
      <c r="C50" s="7" t="s">
        <v>48</v>
      </c>
      <c r="D50">
        <v>5.11864E-2</v>
      </c>
      <c r="E50">
        <v>4.48181E-2</v>
      </c>
      <c r="F50">
        <v>4.4530800000000002E-2</v>
      </c>
      <c r="G50">
        <v>5.11864E-2</v>
      </c>
    </row>
    <row r="51" spans="1:7" x14ac:dyDescent="0.25">
      <c r="A51">
        <v>50</v>
      </c>
      <c r="B51">
        <v>757509101</v>
      </c>
      <c r="C51" s="7" t="s">
        <v>48</v>
      </c>
      <c r="D51">
        <v>4.48181E-2</v>
      </c>
      <c r="E51">
        <v>0.46976800000000002</v>
      </c>
      <c r="F51">
        <v>6.1540299999999999E-2</v>
      </c>
      <c r="G51">
        <v>4.48181E-2</v>
      </c>
    </row>
    <row r="52" spans="1:7" x14ac:dyDescent="0.25">
      <c r="A52">
        <v>51</v>
      </c>
      <c r="B52">
        <v>752074527</v>
      </c>
      <c r="C52" s="7" t="s">
        <v>48</v>
      </c>
      <c r="D52">
        <v>8.5028699999999999E-2</v>
      </c>
      <c r="E52">
        <v>0.39418199999999998</v>
      </c>
      <c r="F52">
        <v>5.9456299999999997E-2</v>
      </c>
      <c r="G52">
        <v>8.5028699999999999E-2</v>
      </c>
    </row>
    <row r="53" spans="1:7" x14ac:dyDescent="0.25">
      <c r="A53">
        <v>52</v>
      </c>
      <c r="B53">
        <v>731272528</v>
      </c>
      <c r="C53" s="7" t="s">
        <v>48</v>
      </c>
      <c r="D53">
        <v>7.91655E-2</v>
      </c>
      <c r="E53">
        <v>0.317222</v>
      </c>
      <c r="F53">
        <v>5.7166300000000003E-2</v>
      </c>
      <c r="G53">
        <v>7.91655E-2</v>
      </c>
    </row>
    <row r="54" spans="1:7" x14ac:dyDescent="0.25">
      <c r="A54">
        <v>53</v>
      </c>
      <c r="B54">
        <v>936623480</v>
      </c>
      <c r="C54" s="7" t="s">
        <v>48</v>
      </c>
      <c r="D54">
        <v>7.3027499999999995E-2</v>
      </c>
      <c r="E54">
        <v>0.25283699999999998</v>
      </c>
      <c r="F54">
        <v>5.5225400000000001E-2</v>
      </c>
      <c r="G54">
        <v>7.3027499999999995E-2</v>
      </c>
    </row>
    <row r="55" spans="1:7" x14ac:dyDescent="0.25">
      <c r="A55">
        <v>54</v>
      </c>
      <c r="B55">
        <v>695622944</v>
      </c>
      <c r="C55" s="7" t="s">
        <v>48</v>
      </c>
      <c r="D55">
        <v>6.7867200000000003E-2</v>
      </c>
      <c r="E55">
        <v>0.19242600000000001</v>
      </c>
      <c r="F55">
        <v>5.3314599999999997E-2</v>
      </c>
      <c r="G55">
        <v>6.7867200000000003E-2</v>
      </c>
    </row>
    <row r="56" spans="1:7" x14ac:dyDescent="0.25">
      <c r="A56">
        <v>55</v>
      </c>
      <c r="B56">
        <v>820378914</v>
      </c>
      <c r="C56" s="7" t="s">
        <v>48</v>
      </c>
      <c r="D56">
        <v>6.2935900000000003E-2</v>
      </c>
      <c r="E56">
        <v>0.12948999999999999</v>
      </c>
      <c r="F56">
        <v>5.1181999999999998E-2</v>
      </c>
      <c r="G56">
        <v>6.2935900000000003E-2</v>
      </c>
    </row>
    <row r="57" spans="1:7" x14ac:dyDescent="0.25">
      <c r="A57">
        <v>56</v>
      </c>
      <c r="B57">
        <v>49883617</v>
      </c>
      <c r="C57" s="7" t="s">
        <v>48</v>
      </c>
      <c r="D57">
        <v>5.7656499999999999E-2</v>
      </c>
      <c r="E57">
        <v>7.1833900000000006E-2</v>
      </c>
      <c r="F57">
        <v>4.9134700000000003E-2</v>
      </c>
      <c r="G57">
        <v>5.7656499999999999E-2</v>
      </c>
    </row>
    <row r="58" spans="1:7" x14ac:dyDescent="0.25">
      <c r="A58">
        <v>57</v>
      </c>
      <c r="B58">
        <v>327204046</v>
      </c>
      <c r="C58" s="7" t="s">
        <v>48</v>
      </c>
      <c r="D58">
        <v>5.27264E-2</v>
      </c>
      <c r="E58">
        <v>1.9107499999999999E-2</v>
      </c>
      <c r="F58">
        <v>4.71694E-2</v>
      </c>
      <c r="G58">
        <v>5.27264E-2</v>
      </c>
    </row>
    <row r="59" spans="1:7" x14ac:dyDescent="0.25">
      <c r="A59">
        <v>58</v>
      </c>
      <c r="B59">
        <v>737990378</v>
      </c>
      <c r="C59" s="7" t="s">
        <v>48</v>
      </c>
      <c r="D59">
        <v>1.9107499999999999E-2</v>
      </c>
      <c r="E59">
        <v>0</v>
      </c>
      <c r="F59">
        <v>4.5282599999999999E-2</v>
      </c>
      <c r="G59">
        <v>1.9107499999999999E-2</v>
      </c>
    </row>
    <row r="60" spans="1:7" x14ac:dyDescent="0.25">
      <c r="A60">
        <v>59</v>
      </c>
      <c r="B60">
        <v>605582596</v>
      </c>
      <c r="C60" s="7" t="s">
        <v>48</v>
      </c>
      <c r="D60">
        <v>0</v>
      </c>
      <c r="E60">
        <v>0</v>
      </c>
      <c r="F60">
        <v>4.3471299999999997E-2</v>
      </c>
      <c r="G60">
        <v>0</v>
      </c>
    </row>
    <row r="61" spans="1:7" x14ac:dyDescent="0.25">
      <c r="A61">
        <v>60</v>
      </c>
      <c r="B61">
        <v>577084075</v>
      </c>
      <c r="C61" s="7" t="s">
        <v>48</v>
      </c>
      <c r="D61">
        <v>0</v>
      </c>
      <c r="E61">
        <v>7.2414899999999997E-3</v>
      </c>
      <c r="F61">
        <v>4.20221E-2</v>
      </c>
      <c r="G61">
        <v>0</v>
      </c>
    </row>
    <row r="62" spans="1:7" x14ac:dyDescent="0.25">
      <c r="A62">
        <v>61</v>
      </c>
      <c r="B62">
        <v>578649092</v>
      </c>
      <c r="C62" s="7" t="s">
        <v>48</v>
      </c>
      <c r="D62">
        <v>7.2414899999999997E-3</v>
      </c>
      <c r="E62">
        <v>0</v>
      </c>
      <c r="F62">
        <v>4.0341200000000001E-2</v>
      </c>
      <c r="G62">
        <v>7.2414899999999997E-3</v>
      </c>
    </row>
    <row r="63" spans="1:7" x14ac:dyDescent="0.25">
      <c r="A63">
        <v>62</v>
      </c>
      <c r="B63">
        <v>454409803</v>
      </c>
      <c r="C63" s="7" t="s">
        <v>48</v>
      </c>
      <c r="D63">
        <v>0</v>
      </c>
      <c r="E63">
        <v>0</v>
      </c>
      <c r="F63">
        <v>3.8727600000000001E-2</v>
      </c>
      <c r="G63">
        <v>0</v>
      </c>
    </row>
    <row r="64" spans="1:7" x14ac:dyDescent="0.25">
      <c r="A64">
        <v>63</v>
      </c>
      <c r="B64">
        <v>9834243</v>
      </c>
      <c r="C64" s="7" t="s">
        <v>48</v>
      </c>
      <c r="D64">
        <v>0</v>
      </c>
      <c r="E64">
        <v>0</v>
      </c>
      <c r="F64">
        <v>3.7178500000000003E-2</v>
      </c>
      <c r="G64">
        <v>0</v>
      </c>
    </row>
    <row r="65" spans="1:7" x14ac:dyDescent="0.25">
      <c r="A65">
        <v>64</v>
      </c>
      <c r="B65">
        <v>481639408</v>
      </c>
      <c r="C65" s="7" t="s">
        <v>48</v>
      </c>
      <c r="D65">
        <v>0</v>
      </c>
      <c r="E65">
        <v>8.4332299999999999E-3</v>
      </c>
      <c r="F65">
        <v>3.6028600000000001E-2</v>
      </c>
      <c r="G65">
        <v>0</v>
      </c>
    </row>
    <row r="66" spans="1:7" x14ac:dyDescent="0.25">
      <c r="A66">
        <v>65</v>
      </c>
      <c r="B66">
        <v>64469925</v>
      </c>
      <c r="C66" s="7" t="s">
        <v>48</v>
      </c>
      <c r="D66">
        <v>8.4332299999999999E-3</v>
      </c>
      <c r="E66">
        <v>0</v>
      </c>
      <c r="F66">
        <v>3.45875E-2</v>
      </c>
      <c r="G66">
        <v>8.4332299999999999E-3</v>
      </c>
    </row>
    <row r="67" spans="1:7" x14ac:dyDescent="0.25">
      <c r="A67">
        <v>66</v>
      </c>
      <c r="B67">
        <v>576255941</v>
      </c>
      <c r="C67" s="7" t="s">
        <v>48</v>
      </c>
      <c r="D67">
        <v>0</v>
      </c>
      <c r="E67">
        <v>5.4109500000000001E-4</v>
      </c>
      <c r="F67">
        <v>3.3225600000000001E-2</v>
      </c>
      <c r="G67">
        <v>0</v>
      </c>
    </row>
    <row r="68" spans="1:7" x14ac:dyDescent="0.25">
      <c r="A68">
        <v>67</v>
      </c>
      <c r="B68">
        <v>97464052</v>
      </c>
      <c r="C68" s="7" t="s">
        <v>48</v>
      </c>
      <c r="D68">
        <v>5.4109500000000001E-4</v>
      </c>
      <c r="E68">
        <v>5.4109500000000001E-4</v>
      </c>
      <c r="F68">
        <v>3.1896599999999997E-2</v>
      </c>
      <c r="G68">
        <v>0</v>
      </c>
    </row>
    <row r="69" spans="1:7" x14ac:dyDescent="0.25">
      <c r="A69">
        <v>68</v>
      </c>
      <c r="B69">
        <v>838240484</v>
      </c>
      <c r="C69" s="7" t="s">
        <v>48</v>
      </c>
      <c r="D69">
        <v>5.4109500000000001E-4</v>
      </c>
      <c r="E69">
        <v>0</v>
      </c>
      <c r="F69">
        <v>3.06208E-2</v>
      </c>
      <c r="G69">
        <v>5.4109500000000001E-4</v>
      </c>
    </row>
    <row r="70" spans="1:7" x14ac:dyDescent="0.25">
      <c r="A70">
        <v>69</v>
      </c>
      <c r="B70">
        <v>802090407</v>
      </c>
      <c r="C70" s="7" t="s">
        <v>48</v>
      </c>
      <c r="D70">
        <v>0</v>
      </c>
      <c r="E70">
        <v>0</v>
      </c>
      <c r="F70">
        <v>2.9395899999999999E-2</v>
      </c>
      <c r="G70">
        <v>0</v>
      </c>
    </row>
    <row r="71" spans="1:7" x14ac:dyDescent="0.25">
      <c r="A71">
        <v>70</v>
      </c>
      <c r="B71">
        <v>432857668</v>
      </c>
      <c r="C71" s="7" t="s">
        <v>48</v>
      </c>
      <c r="D71">
        <v>0</v>
      </c>
      <c r="E71">
        <v>0</v>
      </c>
      <c r="F71">
        <v>2.8220100000000001E-2</v>
      </c>
      <c r="G71">
        <v>0</v>
      </c>
    </row>
    <row r="72" spans="1:7" x14ac:dyDescent="0.25">
      <c r="A72">
        <v>71</v>
      </c>
      <c r="B72">
        <v>862982991</v>
      </c>
      <c r="C72" s="7" t="s">
        <v>48</v>
      </c>
      <c r="D72">
        <v>0</v>
      </c>
      <c r="E72">
        <v>4.4302700000000003E-4</v>
      </c>
      <c r="F72">
        <v>2.7109000000000001E-2</v>
      </c>
      <c r="G72">
        <v>0</v>
      </c>
    </row>
    <row r="73" spans="1:7" x14ac:dyDescent="0.25">
      <c r="A73">
        <v>72</v>
      </c>
      <c r="B73">
        <v>506005329</v>
      </c>
      <c r="C73" s="7" t="s">
        <v>48</v>
      </c>
      <c r="D73">
        <v>0</v>
      </c>
      <c r="E73">
        <v>0</v>
      </c>
      <c r="F73">
        <v>2.6024599999999998E-2</v>
      </c>
      <c r="G73">
        <v>0</v>
      </c>
    </row>
    <row r="74" spans="1:7" x14ac:dyDescent="0.25">
      <c r="A74">
        <v>73</v>
      </c>
      <c r="B74">
        <v>506080158</v>
      </c>
      <c r="C74" s="7" t="s">
        <v>48</v>
      </c>
      <c r="D74">
        <v>0</v>
      </c>
      <c r="E74">
        <v>0</v>
      </c>
      <c r="F74">
        <v>2.4983700000000001E-2</v>
      </c>
      <c r="G74">
        <v>0</v>
      </c>
    </row>
    <row r="75" spans="1:7" x14ac:dyDescent="0.25">
      <c r="A75">
        <v>74</v>
      </c>
      <c r="B75">
        <v>837796974</v>
      </c>
      <c r="C75" s="7" t="s">
        <v>48</v>
      </c>
      <c r="D75">
        <v>0</v>
      </c>
      <c r="E75">
        <v>6.5406400000000003E-3</v>
      </c>
      <c r="F75">
        <v>2.4245900000000001E-2</v>
      </c>
      <c r="G75">
        <v>0</v>
      </c>
    </row>
    <row r="76" spans="1:7" x14ac:dyDescent="0.25">
      <c r="A76">
        <v>75</v>
      </c>
      <c r="B76">
        <v>300223173</v>
      </c>
      <c r="C76" s="7" t="s">
        <v>48</v>
      </c>
      <c r="D76">
        <v>0</v>
      </c>
      <c r="E76">
        <v>0</v>
      </c>
      <c r="F76">
        <v>2.3276100000000001E-2</v>
      </c>
      <c r="G76">
        <v>0</v>
      </c>
    </row>
    <row r="77" spans="1:7" x14ac:dyDescent="0.25">
      <c r="A77">
        <v>76</v>
      </c>
      <c r="B77">
        <v>766130737</v>
      </c>
      <c r="C77" s="7" t="s">
        <v>48</v>
      </c>
      <c r="D77">
        <v>0</v>
      </c>
      <c r="E77">
        <v>0</v>
      </c>
      <c r="F77">
        <v>2.23451E-2</v>
      </c>
      <c r="G77">
        <v>0</v>
      </c>
    </row>
    <row r="78" spans="1:7" x14ac:dyDescent="0.25">
      <c r="A78">
        <v>77</v>
      </c>
      <c r="B78">
        <v>490787890</v>
      </c>
      <c r="C78" s="7" t="s">
        <v>48</v>
      </c>
      <c r="D78">
        <v>0</v>
      </c>
      <c r="E78">
        <v>0</v>
      </c>
      <c r="F78">
        <v>2.14513E-2</v>
      </c>
      <c r="G78">
        <v>0</v>
      </c>
    </row>
    <row r="79" spans="1:7" x14ac:dyDescent="0.25">
      <c r="A79">
        <v>78</v>
      </c>
      <c r="B79">
        <v>186812278</v>
      </c>
      <c r="C79" s="7" t="s">
        <v>48</v>
      </c>
      <c r="D79">
        <v>0</v>
      </c>
      <c r="E79">
        <v>0</v>
      </c>
      <c r="F79">
        <v>2.0593199999999999E-2</v>
      </c>
      <c r="G79">
        <v>0</v>
      </c>
    </row>
    <row r="80" spans="1:7" x14ac:dyDescent="0.25">
      <c r="A80">
        <v>79</v>
      </c>
      <c r="B80">
        <v>702691503</v>
      </c>
      <c r="C80" s="7" t="s">
        <v>48</v>
      </c>
      <c r="D80">
        <v>0</v>
      </c>
      <c r="E80">
        <v>0</v>
      </c>
      <c r="F80">
        <v>1.9769499999999999E-2</v>
      </c>
      <c r="G80">
        <v>0</v>
      </c>
    </row>
    <row r="81" spans="1:7" x14ac:dyDescent="0.25">
      <c r="A81">
        <v>80</v>
      </c>
      <c r="B81">
        <v>302667780</v>
      </c>
      <c r="C81" s="7" t="s">
        <v>48</v>
      </c>
      <c r="D81">
        <v>0</v>
      </c>
      <c r="E81">
        <v>0</v>
      </c>
      <c r="F81">
        <v>1.8978700000000001E-2</v>
      </c>
      <c r="G81">
        <v>0</v>
      </c>
    </row>
    <row r="82" spans="1:7" x14ac:dyDescent="0.25">
      <c r="A82">
        <v>81</v>
      </c>
      <c r="B82">
        <v>91319182</v>
      </c>
      <c r="C82" s="7" t="s">
        <v>48</v>
      </c>
      <c r="D82">
        <v>0</v>
      </c>
      <c r="E82">
        <v>0</v>
      </c>
      <c r="F82">
        <v>1.82195E-2</v>
      </c>
      <c r="G82">
        <v>0</v>
      </c>
    </row>
    <row r="83" spans="1:7" x14ac:dyDescent="0.25">
      <c r="A83">
        <v>82</v>
      </c>
      <c r="B83">
        <v>402367222</v>
      </c>
      <c r="C83" s="7" t="s">
        <v>48</v>
      </c>
      <c r="D83">
        <v>0</v>
      </c>
      <c r="E83">
        <v>0</v>
      </c>
      <c r="F83">
        <v>1.7490800000000001E-2</v>
      </c>
      <c r="G83">
        <v>0</v>
      </c>
    </row>
    <row r="84" spans="1:7" x14ac:dyDescent="0.25">
      <c r="A84">
        <v>83</v>
      </c>
      <c r="B84">
        <v>79197749</v>
      </c>
      <c r="C84" s="7" t="s">
        <v>48</v>
      </c>
      <c r="D84">
        <v>0</v>
      </c>
      <c r="E84">
        <v>0</v>
      </c>
      <c r="F84">
        <v>1.67911E-2</v>
      </c>
      <c r="G84">
        <v>0</v>
      </c>
    </row>
    <row r="85" spans="1:7" x14ac:dyDescent="0.25">
      <c r="A85">
        <v>84</v>
      </c>
      <c r="B85">
        <v>704068245</v>
      </c>
      <c r="C85" s="7" t="s">
        <v>48</v>
      </c>
      <c r="D85">
        <v>0</v>
      </c>
      <c r="E85">
        <v>1.51173E-2</v>
      </c>
      <c r="F85">
        <v>1.6724200000000002E-2</v>
      </c>
      <c r="G85">
        <v>0</v>
      </c>
    </row>
    <row r="86" spans="1:7" x14ac:dyDescent="0.25">
      <c r="A86">
        <v>85</v>
      </c>
      <c r="B86">
        <v>422263071</v>
      </c>
      <c r="C86" s="7" t="s">
        <v>48</v>
      </c>
      <c r="D86">
        <v>0</v>
      </c>
      <c r="E86">
        <v>0</v>
      </c>
      <c r="F86">
        <v>1.6055199999999999E-2</v>
      </c>
      <c r="G86">
        <v>0</v>
      </c>
    </row>
    <row r="87" spans="1:7" x14ac:dyDescent="0.25">
      <c r="A87">
        <v>86</v>
      </c>
      <c r="B87">
        <v>459418317</v>
      </c>
      <c r="C87" s="7" t="s">
        <v>48</v>
      </c>
      <c r="D87">
        <v>0</v>
      </c>
      <c r="E87">
        <v>0</v>
      </c>
      <c r="F87">
        <v>1.5413E-2</v>
      </c>
      <c r="G87">
        <v>0</v>
      </c>
    </row>
    <row r="88" spans="1:7" x14ac:dyDescent="0.25">
      <c r="A88">
        <v>87</v>
      </c>
      <c r="B88">
        <v>341241262</v>
      </c>
      <c r="C88" s="7" t="s">
        <v>48</v>
      </c>
      <c r="D88">
        <v>0</v>
      </c>
      <c r="E88">
        <v>0</v>
      </c>
      <c r="F88">
        <v>1.4796500000000001E-2</v>
      </c>
      <c r="G88">
        <v>0</v>
      </c>
    </row>
    <row r="89" spans="1:7" x14ac:dyDescent="0.25">
      <c r="A89">
        <v>88</v>
      </c>
      <c r="B89">
        <v>962936925</v>
      </c>
      <c r="C89" s="7" t="s">
        <v>48</v>
      </c>
      <c r="D89">
        <v>0</v>
      </c>
      <c r="E89">
        <v>0</v>
      </c>
      <c r="F89">
        <v>1.42046E-2</v>
      </c>
      <c r="G89">
        <v>0</v>
      </c>
    </row>
    <row r="90" spans="1:7" x14ac:dyDescent="0.25">
      <c r="A90">
        <v>89</v>
      </c>
      <c r="B90">
        <v>870353475</v>
      </c>
      <c r="C90" s="7" t="s">
        <v>48</v>
      </c>
      <c r="D90">
        <v>0</v>
      </c>
      <c r="E90">
        <v>0</v>
      </c>
      <c r="F90">
        <v>1.36364E-2</v>
      </c>
      <c r="G90">
        <v>0</v>
      </c>
    </row>
    <row r="91" spans="1:7" x14ac:dyDescent="0.25">
      <c r="A91">
        <v>90</v>
      </c>
      <c r="B91">
        <v>445570690</v>
      </c>
      <c r="C91" s="7" t="s">
        <v>48</v>
      </c>
      <c r="D91">
        <v>0</v>
      </c>
      <c r="E91">
        <v>0</v>
      </c>
      <c r="F91">
        <v>1.3091E-2</v>
      </c>
      <c r="G91">
        <v>0</v>
      </c>
    </row>
    <row r="92" spans="1:7" x14ac:dyDescent="0.25">
      <c r="A92">
        <v>91</v>
      </c>
      <c r="B92">
        <v>125574090</v>
      </c>
      <c r="C92" s="7" t="s">
        <v>48</v>
      </c>
      <c r="D92">
        <v>0</v>
      </c>
      <c r="E92">
        <v>0</v>
      </c>
      <c r="F92">
        <v>1.25673E-2</v>
      </c>
      <c r="G92">
        <v>0</v>
      </c>
    </row>
    <row r="93" spans="1:7" x14ac:dyDescent="0.25">
      <c r="A93">
        <v>92</v>
      </c>
      <c r="B93">
        <v>62447300</v>
      </c>
      <c r="C93" s="7" t="s">
        <v>48</v>
      </c>
      <c r="D93">
        <v>0</v>
      </c>
      <c r="E93">
        <v>0</v>
      </c>
      <c r="F93">
        <v>1.2064699999999999E-2</v>
      </c>
      <c r="G93">
        <v>0</v>
      </c>
    </row>
    <row r="94" spans="1:7" x14ac:dyDescent="0.25">
      <c r="A94">
        <v>93</v>
      </c>
      <c r="B94">
        <v>861976170</v>
      </c>
      <c r="C94" s="7" t="s">
        <v>48</v>
      </c>
      <c r="D94">
        <v>0</v>
      </c>
      <c r="E94">
        <v>0</v>
      </c>
      <c r="F94">
        <v>1.15821E-2</v>
      </c>
      <c r="G94">
        <v>0</v>
      </c>
    </row>
    <row r="95" spans="1:7" x14ac:dyDescent="0.25">
      <c r="A95">
        <v>94</v>
      </c>
      <c r="B95">
        <v>130599393</v>
      </c>
      <c r="C95" s="7" t="s">
        <v>48</v>
      </c>
      <c r="D95">
        <v>0</v>
      </c>
      <c r="E95">
        <v>0</v>
      </c>
      <c r="F95">
        <v>1.11188E-2</v>
      </c>
      <c r="G95">
        <v>0</v>
      </c>
    </row>
    <row r="96" spans="1:7" x14ac:dyDescent="0.25">
      <c r="A96">
        <v>95</v>
      </c>
      <c r="B96">
        <v>606449881</v>
      </c>
      <c r="C96" s="7" t="s">
        <v>48</v>
      </c>
      <c r="D96">
        <v>0</v>
      </c>
      <c r="E96">
        <v>0</v>
      </c>
      <c r="F96">
        <v>1.0673999999999999E-2</v>
      </c>
      <c r="G96">
        <v>0</v>
      </c>
    </row>
    <row r="97" spans="1:7" x14ac:dyDescent="0.25">
      <c r="A97">
        <v>96</v>
      </c>
      <c r="B97">
        <v>933213130</v>
      </c>
      <c r="C97" s="7" t="s">
        <v>48</v>
      </c>
      <c r="D97">
        <v>0</v>
      </c>
      <c r="E97">
        <v>0</v>
      </c>
      <c r="F97">
        <v>1.02471E-2</v>
      </c>
      <c r="G97">
        <v>0</v>
      </c>
    </row>
    <row r="98" spans="1:7" x14ac:dyDescent="0.25">
      <c r="A98">
        <v>97</v>
      </c>
      <c r="B98">
        <v>841486551</v>
      </c>
      <c r="C98" s="7" t="s">
        <v>48</v>
      </c>
      <c r="D98">
        <v>0</v>
      </c>
      <c r="E98">
        <v>0</v>
      </c>
      <c r="F98">
        <v>9.8371900000000009E-3</v>
      </c>
      <c r="G98">
        <v>0</v>
      </c>
    </row>
    <row r="99" spans="1:7" x14ac:dyDescent="0.25">
      <c r="A99">
        <v>98</v>
      </c>
      <c r="B99">
        <v>15594369</v>
      </c>
      <c r="C99" s="7" t="s">
        <v>48</v>
      </c>
      <c r="D99">
        <v>0</v>
      </c>
      <c r="E99">
        <v>0</v>
      </c>
      <c r="F99">
        <v>9.4436999999999993E-3</v>
      </c>
      <c r="G99">
        <v>0</v>
      </c>
    </row>
    <row r="100" spans="1:7" x14ac:dyDescent="0.25">
      <c r="A100">
        <v>99</v>
      </c>
      <c r="B100">
        <v>768189608</v>
      </c>
      <c r="C100" s="7" t="s">
        <v>48</v>
      </c>
      <c r="D100">
        <v>0</v>
      </c>
      <c r="E100">
        <v>0</v>
      </c>
      <c r="F100">
        <v>9.0659499999999997E-3</v>
      </c>
      <c r="G100">
        <v>0</v>
      </c>
    </row>
    <row r="101" spans="1:7" x14ac:dyDescent="0.25">
      <c r="A101">
        <v>100</v>
      </c>
      <c r="B101">
        <v>911298003</v>
      </c>
      <c r="C101" s="7" t="s">
        <v>48</v>
      </c>
      <c r="D101">
        <v>0</v>
      </c>
      <c r="E101">
        <v>0</v>
      </c>
      <c r="F101">
        <v>8.7033100000000006E-3</v>
      </c>
      <c r="G101">
        <v>0</v>
      </c>
    </row>
    <row r="102" spans="1:7" x14ac:dyDescent="0.25">
      <c r="A102">
        <v>101</v>
      </c>
      <c r="B102">
        <v>637640609</v>
      </c>
      <c r="C102" s="7" t="s">
        <v>48</v>
      </c>
      <c r="D102">
        <v>0</v>
      </c>
      <c r="E102">
        <v>0</v>
      </c>
      <c r="F102">
        <v>8.3551800000000002E-3</v>
      </c>
      <c r="G102">
        <v>0</v>
      </c>
    </row>
    <row r="103" spans="1:7" x14ac:dyDescent="0.25">
      <c r="A103">
        <v>102</v>
      </c>
      <c r="B103">
        <v>742098497</v>
      </c>
      <c r="C103" s="7" t="s">
        <v>48</v>
      </c>
      <c r="D103">
        <v>0</v>
      </c>
      <c r="E103">
        <v>0</v>
      </c>
      <c r="F103">
        <v>8.0209700000000005E-3</v>
      </c>
      <c r="G103">
        <v>0</v>
      </c>
    </row>
    <row r="104" spans="1:7" x14ac:dyDescent="0.25">
      <c r="A104">
        <v>103</v>
      </c>
      <c r="B104">
        <v>874457708</v>
      </c>
      <c r="C104" s="7" t="s">
        <v>48</v>
      </c>
      <c r="D104">
        <v>0</v>
      </c>
      <c r="E104">
        <v>0</v>
      </c>
      <c r="F104">
        <v>7.7001400000000003E-3</v>
      </c>
      <c r="G104">
        <v>0</v>
      </c>
    </row>
    <row r="105" spans="1:7" x14ac:dyDescent="0.25">
      <c r="A105">
        <v>104</v>
      </c>
      <c r="B105">
        <v>80630140</v>
      </c>
      <c r="C105" s="7" t="s">
        <v>48</v>
      </c>
      <c r="D105">
        <v>0</v>
      </c>
      <c r="E105">
        <v>0</v>
      </c>
      <c r="F105">
        <v>7.3921300000000002E-3</v>
      </c>
      <c r="G105">
        <v>0</v>
      </c>
    </row>
    <row r="106" spans="1:7" x14ac:dyDescent="0.25">
      <c r="A106">
        <v>105</v>
      </c>
      <c r="B106">
        <v>682691133</v>
      </c>
      <c r="C106" s="7" t="s">
        <v>48</v>
      </c>
      <c r="D106">
        <v>0</v>
      </c>
      <c r="E106">
        <v>0</v>
      </c>
      <c r="F106">
        <v>7.0964399999999999E-3</v>
      </c>
      <c r="G106">
        <v>0</v>
      </c>
    </row>
    <row r="107" spans="1:7" x14ac:dyDescent="0.25">
      <c r="A107">
        <v>106</v>
      </c>
      <c r="B107">
        <v>427865688</v>
      </c>
      <c r="C107" s="7" t="s">
        <v>48</v>
      </c>
      <c r="D107">
        <v>0</v>
      </c>
      <c r="E107">
        <v>0</v>
      </c>
      <c r="F107">
        <v>6.8125900000000003E-3</v>
      </c>
      <c r="G107">
        <v>0</v>
      </c>
    </row>
    <row r="108" spans="1:7" x14ac:dyDescent="0.25">
      <c r="A108">
        <v>107</v>
      </c>
      <c r="B108">
        <v>166444688</v>
      </c>
      <c r="C108" s="7" t="s">
        <v>48</v>
      </c>
      <c r="D108">
        <v>0</v>
      </c>
      <c r="E108">
        <v>0</v>
      </c>
      <c r="F108">
        <v>6.5400800000000002E-3</v>
      </c>
      <c r="G108">
        <v>0</v>
      </c>
    </row>
    <row r="109" spans="1:7" x14ac:dyDescent="0.25">
      <c r="A109">
        <v>108</v>
      </c>
      <c r="B109">
        <v>153095289</v>
      </c>
      <c r="C109" s="7" t="s">
        <v>48</v>
      </c>
      <c r="D109">
        <v>0</v>
      </c>
      <c r="E109">
        <v>0</v>
      </c>
      <c r="F109">
        <v>6.2784800000000003E-3</v>
      </c>
      <c r="G109">
        <v>0</v>
      </c>
    </row>
    <row r="110" spans="1:7" x14ac:dyDescent="0.25">
      <c r="A110">
        <v>109</v>
      </c>
      <c r="B110">
        <v>501975820</v>
      </c>
      <c r="C110" s="7" t="s">
        <v>48</v>
      </c>
      <c r="D110">
        <v>0</v>
      </c>
      <c r="E110">
        <v>0</v>
      </c>
      <c r="F110">
        <v>6.02734E-3</v>
      </c>
      <c r="G110">
        <v>0</v>
      </c>
    </row>
    <row r="111" spans="1:7" x14ac:dyDescent="0.25">
      <c r="A111">
        <v>110</v>
      </c>
      <c r="B111">
        <v>17106968</v>
      </c>
      <c r="C111" s="7" t="s">
        <v>48</v>
      </c>
      <c r="D111">
        <v>0</v>
      </c>
      <c r="E111">
        <v>0</v>
      </c>
      <c r="F111">
        <v>5.7862499999999997E-3</v>
      </c>
      <c r="G111">
        <v>0</v>
      </c>
    </row>
    <row r="112" spans="1:7" x14ac:dyDescent="0.25">
      <c r="A112">
        <v>111</v>
      </c>
      <c r="B112">
        <v>593269862</v>
      </c>
      <c r="C112" s="7" t="s">
        <v>48</v>
      </c>
      <c r="D112">
        <v>0</v>
      </c>
      <c r="E112">
        <v>0</v>
      </c>
      <c r="F112">
        <v>5.5548000000000004E-3</v>
      </c>
      <c r="G112">
        <v>0</v>
      </c>
    </row>
    <row r="113" spans="1:7" x14ac:dyDescent="0.25">
      <c r="A113">
        <v>112</v>
      </c>
      <c r="B113">
        <v>992393856</v>
      </c>
      <c r="C113" s="7" t="s">
        <v>48</v>
      </c>
      <c r="D113">
        <v>0</v>
      </c>
      <c r="E113">
        <v>0</v>
      </c>
      <c r="F113">
        <v>5.3325999999999998E-3</v>
      </c>
      <c r="G113">
        <v>0</v>
      </c>
    </row>
    <row r="114" spans="1:7" x14ac:dyDescent="0.25">
      <c r="A114">
        <v>113</v>
      </c>
      <c r="B114">
        <v>816240382</v>
      </c>
      <c r="C114" s="7" t="s">
        <v>48</v>
      </c>
      <c r="D114">
        <v>0</v>
      </c>
      <c r="E114">
        <v>0</v>
      </c>
      <c r="F114">
        <v>5.1193000000000002E-3</v>
      </c>
      <c r="G114">
        <v>0</v>
      </c>
    </row>
    <row r="115" spans="1:7" x14ac:dyDescent="0.25">
      <c r="A115">
        <v>114</v>
      </c>
      <c r="B115">
        <v>91888968</v>
      </c>
      <c r="C115" s="7" t="s">
        <v>48</v>
      </c>
      <c r="D115">
        <v>0</v>
      </c>
      <c r="E115">
        <v>0</v>
      </c>
      <c r="F115">
        <v>4.9145300000000003E-3</v>
      </c>
      <c r="G115">
        <v>0</v>
      </c>
    </row>
    <row r="116" spans="1:7" x14ac:dyDescent="0.25">
      <c r="A116">
        <v>115</v>
      </c>
      <c r="B116">
        <v>471092618</v>
      </c>
      <c r="C116" s="7" t="s">
        <v>48</v>
      </c>
      <c r="D116">
        <v>0</v>
      </c>
      <c r="E116">
        <v>0</v>
      </c>
      <c r="F116">
        <v>4.7179500000000003E-3</v>
      </c>
      <c r="G116">
        <v>0</v>
      </c>
    </row>
    <row r="117" spans="1:7" x14ac:dyDescent="0.25">
      <c r="A117">
        <v>116</v>
      </c>
      <c r="B117">
        <v>317043351</v>
      </c>
      <c r="C117" s="7" t="s">
        <v>48</v>
      </c>
      <c r="D117">
        <v>0</v>
      </c>
      <c r="E117">
        <v>0</v>
      </c>
      <c r="F117">
        <v>4.5292300000000004E-3</v>
      </c>
      <c r="G117">
        <v>0</v>
      </c>
    </row>
    <row r="118" spans="1:7" x14ac:dyDescent="0.25">
      <c r="A118">
        <v>117</v>
      </c>
      <c r="B118">
        <v>805962990</v>
      </c>
      <c r="C118" s="7" t="s">
        <v>48</v>
      </c>
      <c r="D118">
        <v>0</v>
      </c>
      <c r="E118">
        <v>0</v>
      </c>
      <c r="F118">
        <v>4.3480599999999999E-3</v>
      </c>
      <c r="G118">
        <v>0</v>
      </c>
    </row>
    <row r="119" spans="1:7" x14ac:dyDescent="0.25">
      <c r="A119">
        <v>118</v>
      </c>
      <c r="B119">
        <v>920954217</v>
      </c>
      <c r="C119" s="7" t="s">
        <v>48</v>
      </c>
      <c r="D119">
        <v>0</v>
      </c>
      <c r="E119">
        <v>0</v>
      </c>
      <c r="F119">
        <v>4.1741399999999998E-3</v>
      </c>
      <c r="G119">
        <v>0</v>
      </c>
    </row>
    <row r="120" spans="1:7" x14ac:dyDescent="0.25">
      <c r="A120">
        <v>119</v>
      </c>
      <c r="B120">
        <v>856769218</v>
      </c>
      <c r="C120" s="7" t="s">
        <v>48</v>
      </c>
      <c r="D120">
        <v>0</v>
      </c>
      <c r="E120">
        <v>0</v>
      </c>
      <c r="F120">
        <v>4.00717E-3</v>
      </c>
      <c r="G120">
        <v>0</v>
      </c>
    </row>
    <row r="121" spans="1:7" x14ac:dyDescent="0.25">
      <c r="A121">
        <v>120</v>
      </c>
      <c r="B121">
        <v>796631172</v>
      </c>
      <c r="C121" s="7" t="s">
        <v>48</v>
      </c>
      <c r="D121">
        <v>0</v>
      </c>
      <c r="E121">
        <v>0</v>
      </c>
      <c r="F121">
        <v>3.8468899999999999E-3</v>
      </c>
      <c r="G121">
        <v>0</v>
      </c>
    </row>
    <row r="122" spans="1:7" x14ac:dyDescent="0.25">
      <c r="A122">
        <v>121</v>
      </c>
      <c r="B122">
        <v>714076111</v>
      </c>
      <c r="C122" s="7" t="s">
        <v>48</v>
      </c>
      <c r="D122">
        <v>0</v>
      </c>
      <c r="E122">
        <v>0</v>
      </c>
      <c r="F122">
        <v>3.69301E-3</v>
      </c>
      <c r="G122">
        <v>0</v>
      </c>
    </row>
    <row r="123" spans="1:7" x14ac:dyDescent="0.25">
      <c r="A123">
        <v>122</v>
      </c>
      <c r="B123">
        <v>97631309</v>
      </c>
      <c r="C123" s="7" t="s">
        <v>48</v>
      </c>
      <c r="D123">
        <v>0</v>
      </c>
      <c r="E123">
        <v>0</v>
      </c>
      <c r="F123">
        <v>3.54529E-3</v>
      </c>
      <c r="G123">
        <v>0</v>
      </c>
    </row>
    <row r="124" spans="1:7" x14ac:dyDescent="0.25">
      <c r="A124">
        <v>123</v>
      </c>
      <c r="B124">
        <v>450675632</v>
      </c>
      <c r="C124" s="7" t="s">
        <v>48</v>
      </c>
      <c r="D124">
        <v>0</v>
      </c>
      <c r="E124">
        <v>0</v>
      </c>
      <c r="F124">
        <v>3.40348E-3</v>
      </c>
      <c r="G124">
        <v>0</v>
      </c>
    </row>
    <row r="125" spans="1:7" x14ac:dyDescent="0.25">
      <c r="A125">
        <v>124</v>
      </c>
      <c r="B125">
        <v>200322327</v>
      </c>
      <c r="C125" s="7" t="s">
        <v>48</v>
      </c>
      <c r="D125">
        <v>0</v>
      </c>
      <c r="E125">
        <v>0</v>
      </c>
      <c r="F125">
        <v>3.2673400000000001E-3</v>
      </c>
      <c r="G125">
        <v>0</v>
      </c>
    </row>
    <row r="126" spans="1:7" x14ac:dyDescent="0.25">
      <c r="A126">
        <v>125</v>
      </c>
      <c r="B126">
        <v>139257017</v>
      </c>
      <c r="C126" s="7" t="s">
        <v>48</v>
      </c>
      <c r="D126">
        <v>0</v>
      </c>
      <c r="E126">
        <v>0</v>
      </c>
      <c r="F126">
        <v>3.1366499999999999E-3</v>
      </c>
      <c r="G126">
        <v>0</v>
      </c>
    </row>
    <row r="127" spans="1:7" x14ac:dyDescent="0.25">
      <c r="A127">
        <v>126</v>
      </c>
      <c r="B127">
        <v>707597789</v>
      </c>
      <c r="C127" s="7" t="s">
        <v>48</v>
      </c>
      <c r="D127">
        <v>0</v>
      </c>
      <c r="E127">
        <v>0</v>
      </c>
      <c r="F127">
        <v>3.01118E-3</v>
      </c>
      <c r="G127">
        <v>0</v>
      </c>
    </row>
    <row r="128" spans="1:7" x14ac:dyDescent="0.25">
      <c r="A128">
        <v>127</v>
      </c>
      <c r="B128">
        <v>698675811</v>
      </c>
      <c r="C128" s="7" t="s">
        <v>48</v>
      </c>
      <c r="D128">
        <v>0</v>
      </c>
      <c r="E128">
        <v>0</v>
      </c>
      <c r="F128">
        <v>2.8907300000000002E-3</v>
      </c>
      <c r="G128">
        <v>0</v>
      </c>
    </row>
    <row r="129" spans="1:7" x14ac:dyDescent="0.25">
      <c r="A129">
        <v>128</v>
      </c>
      <c r="B129">
        <v>889808781</v>
      </c>
      <c r="C129" s="7" t="s">
        <v>48</v>
      </c>
      <c r="D129">
        <v>0</v>
      </c>
      <c r="E129">
        <v>0</v>
      </c>
      <c r="F129">
        <v>2.7751E-3</v>
      </c>
      <c r="G129">
        <v>0</v>
      </c>
    </row>
    <row r="130" spans="1:7" x14ac:dyDescent="0.25">
      <c r="A130">
        <v>129</v>
      </c>
      <c r="B130">
        <v>166225787</v>
      </c>
      <c r="C130" s="7" t="s">
        <v>48</v>
      </c>
      <c r="D130">
        <v>0</v>
      </c>
      <c r="E130">
        <v>0</v>
      </c>
      <c r="F130">
        <v>2.6641E-3</v>
      </c>
      <c r="G130">
        <v>0</v>
      </c>
    </row>
    <row r="131" spans="1:7" x14ac:dyDescent="0.25">
      <c r="A131">
        <v>130</v>
      </c>
      <c r="B131">
        <v>79692009</v>
      </c>
      <c r="C131" s="7" t="s">
        <v>48</v>
      </c>
      <c r="D131">
        <v>0</v>
      </c>
      <c r="E131">
        <v>0</v>
      </c>
      <c r="F131">
        <v>2.5575400000000001E-3</v>
      </c>
      <c r="G131">
        <v>0</v>
      </c>
    </row>
    <row r="132" spans="1:7" x14ac:dyDescent="0.25">
      <c r="A132">
        <v>131</v>
      </c>
      <c r="B132">
        <v>700289104</v>
      </c>
      <c r="C132" s="7" t="s">
        <v>48</v>
      </c>
      <c r="D132">
        <v>0</v>
      </c>
      <c r="E132">
        <v>0</v>
      </c>
      <c r="F132">
        <v>2.4552300000000001E-3</v>
      </c>
      <c r="G132">
        <v>0</v>
      </c>
    </row>
    <row r="133" spans="1:7" x14ac:dyDescent="0.25">
      <c r="A133">
        <v>132</v>
      </c>
      <c r="B133">
        <v>786519094</v>
      </c>
      <c r="C133" s="7" t="s">
        <v>48</v>
      </c>
      <c r="D133">
        <v>0</v>
      </c>
      <c r="E133">
        <v>0</v>
      </c>
      <c r="F133">
        <v>2.35702E-3</v>
      </c>
      <c r="G133">
        <v>0</v>
      </c>
    </row>
    <row r="134" spans="1:7" x14ac:dyDescent="0.25">
      <c r="A134">
        <v>133</v>
      </c>
      <c r="B134">
        <v>817579004</v>
      </c>
      <c r="C134" s="7" t="s">
        <v>48</v>
      </c>
      <c r="D134">
        <v>0</v>
      </c>
      <c r="E134">
        <v>0</v>
      </c>
      <c r="F134">
        <v>2.2627400000000001E-3</v>
      </c>
      <c r="G134">
        <v>0</v>
      </c>
    </row>
    <row r="135" spans="1:7" x14ac:dyDescent="0.25">
      <c r="A135">
        <v>134</v>
      </c>
      <c r="B135">
        <v>862707412</v>
      </c>
      <c r="C135" s="7" t="s">
        <v>48</v>
      </c>
      <c r="D135">
        <v>0</v>
      </c>
      <c r="E135">
        <v>0</v>
      </c>
      <c r="F135">
        <v>2.1722299999999998E-3</v>
      </c>
      <c r="G135">
        <v>0</v>
      </c>
    </row>
    <row r="136" spans="1:7" x14ac:dyDescent="0.25">
      <c r="A136">
        <v>135</v>
      </c>
      <c r="B136">
        <v>608022599</v>
      </c>
      <c r="C136" s="7" t="s">
        <v>48</v>
      </c>
      <c r="D136">
        <v>0</v>
      </c>
      <c r="E136">
        <v>0</v>
      </c>
      <c r="F136">
        <v>2.0853400000000002E-3</v>
      </c>
      <c r="G136">
        <v>0</v>
      </c>
    </row>
    <row r="137" spans="1:7" x14ac:dyDescent="0.25">
      <c r="A137">
        <v>136</v>
      </c>
      <c r="B137">
        <v>183592588</v>
      </c>
      <c r="C137" s="7" t="s">
        <v>48</v>
      </c>
      <c r="D137">
        <v>0</v>
      </c>
      <c r="E137">
        <v>0</v>
      </c>
      <c r="F137">
        <v>2.0019299999999999E-3</v>
      </c>
      <c r="G137">
        <v>0</v>
      </c>
    </row>
    <row r="138" spans="1:7" x14ac:dyDescent="0.25">
      <c r="A138">
        <v>137</v>
      </c>
      <c r="B138">
        <v>624743927</v>
      </c>
      <c r="C138" s="7" t="s">
        <v>48</v>
      </c>
      <c r="D138">
        <v>0</v>
      </c>
      <c r="E138">
        <v>0</v>
      </c>
      <c r="F138">
        <v>1.9218499999999999E-3</v>
      </c>
      <c r="G138">
        <v>0</v>
      </c>
    </row>
    <row r="139" spans="1:7" x14ac:dyDescent="0.25">
      <c r="A139">
        <v>138</v>
      </c>
      <c r="B139">
        <v>290088913</v>
      </c>
      <c r="C139" s="7" t="s">
        <v>48</v>
      </c>
      <c r="D139">
        <v>0</v>
      </c>
      <c r="E139">
        <v>0</v>
      </c>
      <c r="F139">
        <v>1.84498E-3</v>
      </c>
      <c r="G139">
        <v>0</v>
      </c>
    </row>
    <row r="140" spans="1:7" x14ac:dyDescent="0.25">
      <c r="A140">
        <v>139</v>
      </c>
      <c r="B140">
        <v>130908304</v>
      </c>
      <c r="C140" s="7" t="s">
        <v>48</v>
      </c>
      <c r="D140">
        <v>0</v>
      </c>
      <c r="E140">
        <v>0</v>
      </c>
      <c r="F140">
        <v>1.77118E-3</v>
      </c>
      <c r="G140">
        <v>0</v>
      </c>
    </row>
    <row r="141" spans="1:7" x14ac:dyDescent="0.25">
      <c r="A141">
        <v>140</v>
      </c>
      <c r="B141">
        <v>196763317</v>
      </c>
      <c r="C141" s="7" t="s">
        <v>48</v>
      </c>
      <c r="D141">
        <v>0</v>
      </c>
      <c r="E141">
        <v>0</v>
      </c>
      <c r="F141">
        <v>1.7003299999999999E-3</v>
      </c>
      <c r="G141">
        <v>0</v>
      </c>
    </row>
    <row r="142" spans="1:7" x14ac:dyDescent="0.25">
      <c r="A142">
        <v>141</v>
      </c>
      <c r="B142">
        <v>384506102</v>
      </c>
      <c r="C142" s="7" t="s">
        <v>48</v>
      </c>
      <c r="D142">
        <v>0</v>
      </c>
      <c r="E142">
        <v>0</v>
      </c>
      <c r="F142">
        <v>1.63232E-3</v>
      </c>
      <c r="G142">
        <v>0</v>
      </c>
    </row>
    <row r="143" spans="1:7" x14ac:dyDescent="0.25">
      <c r="A143">
        <v>142</v>
      </c>
      <c r="B143">
        <v>249204111</v>
      </c>
      <c r="C143" s="7" t="s">
        <v>48</v>
      </c>
      <c r="D143">
        <v>0</v>
      </c>
      <c r="E143">
        <v>0</v>
      </c>
      <c r="F143">
        <v>1.5670300000000001E-3</v>
      </c>
      <c r="G143">
        <v>0</v>
      </c>
    </row>
    <row r="144" spans="1:7" x14ac:dyDescent="0.25">
      <c r="A144">
        <v>143</v>
      </c>
      <c r="B144">
        <v>382602851</v>
      </c>
      <c r="C144" s="7" t="s">
        <v>48</v>
      </c>
      <c r="D144">
        <v>0</v>
      </c>
      <c r="E144">
        <v>0</v>
      </c>
      <c r="F144">
        <v>1.50435E-3</v>
      </c>
      <c r="G144">
        <v>0</v>
      </c>
    </row>
    <row r="145" spans="1:7" x14ac:dyDescent="0.25">
      <c r="A145">
        <v>144</v>
      </c>
      <c r="B145">
        <v>216083730</v>
      </c>
      <c r="C145" s="7" t="s">
        <v>48</v>
      </c>
      <c r="D145">
        <v>0</v>
      </c>
      <c r="E145">
        <v>0</v>
      </c>
      <c r="F145">
        <v>1.44417E-3</v>
      </c>
      <c r="G145">
        <v>0</v>
      </c>
    </row>
    <row r="146" spans="1:7" x14ac:dyDescent="0.25">
      <c r="A146">
        <v>145</v>
      </c>
      <c r="B146">
        <v>968375681</v>
      </c>
      <c r="C146" s="7" t="s">
        <v>48</v>
      </c>
      <c r="D146">
        <v>0</v>
      </c>
      <c r="E146">
        <v>0</v>
      </c>
      <c r="F146">
        <v>1.3864000000000001E-3</v>
      </c>
      <c r="G146">
        <v>0</v>
      </c>
    </row>
    <row r="147" spans="1:7" x14ac:dyDescent="0.25">
      <c r="A147">
        <v>146</v>
      </c>
      <c r="B147">
        <v>459662802</v>
      </c>
      <c r="C147" s="7" t="s">
        <v>48</v>
      </c>
      <c r="D147">
        <v>0</v>
      </c>
      <c r="E147">
        <v>0</v>
      </c>
      <c r="F147">
        <v>1.33095E-3</v>
      </c>
      <c r="G147">
        <v>0</v>
      </c>
    </row>
    <row r="148" spans="1:7" x14ac:dyDescent="0.25">
      <c r="A148">
        <v>147</v>
      </c>
      <c r="B148">
        <v>223676795</v>
      </c>
      <c r="C148" s="7" t="s">
        <v>48</v>
      </c>
      <c r="D148">
        <v>0</v>
      </c>
      <c r="E148">
        <v>0</v>
      </c>
      <c r="F148">
        <v>1.27771E-3</v>
      </c>
      <c r="G148">
        <v>0</v>
      </c>
    </row>
    <row r="149" spans="1:7" x14ac:dyDescent="0.25">
      <c r="A149">
        <v>148</v>
      </c>
      <c r="B149">
        <v>460567039</v>
      </c>
      <c r="C149" s="7" t="s">
        <v>48</v>
      </c>
      <c r="D149">
        <v>0</v>
      </c>
      <c r="E149">
        <v>0</v>
      </c>
      <c r="F149">
        <v>1.2266E-3</v>
      </c>
      <c r="G149">
        <v>0</v>
      </c>
    </row>
    <row r="150" spans="1:7" x14ac:dyDescent="0.25">
      <c r="A150">
        <v>149</v>
      </c>
      <c r="B150">
        <v>536723214</v>
      </c>
      <c r="C150" s="7" t="s">
        <v>48</v>
      </c>
      <c r="D150">
        <v>0</v>
      </c>
      <c r="E150">
        <v>0</v>
      </c>
      <c r="F150">
        <v>1.1775399999999999E-3</v>
      </c>
      <c r="G150">
        <v>0</v>
      </c>
    </row>
    <row r="151" spans="1:7" x14ac:dyDescent="0.25">
      <c r="A151">
        <v>150</v>
      </c>
      <c r="B151">
        <v>175172006</v>
      </c>
      <c r="C151" s="7" t="s">
        <v>48</v>
      </c>
      <c r="D151">
        <v>0</v>
      </c>
      <c r="E151">
        <v>0</v>
      </c>
      <c r="F151">
        <v>1.1304399999999999E-3</v>
      </c>
      <c r="G151">
        <v>0</v>
      </c>
    </row>
    <row r="152" spans="1:7" x14ac:dyDescent="0.25">
      <c r="A152">
        <v>151</v>
      </c>
      <c r="B152">
        <v>562379494</v>
      </c>
      <c r="C152" s="7" t="s">
        <v>48</v>
      </c>
      <c r="D152">
        <v>0</v>
      </c>
      <c r="E152">
        <v>0</v>
      </c>
      <c r="F152">
        <v>1.08522E-3</v>
      </c>
      <c r="G152">
        <v>0</v>
      </c>
    </row>
    <row r="153" spans="1:7" x14ac:dyDescent="0.25">
      <c r="A153">
        <v>152</v>
      </c>
      <c r="B153">
        <v>614657114</v>
      </c>
      <c r="C153" s="7" t="s">
        <v>48</v>
      </c>
      <c r="D153">
        <v>0</v>
      </c>
      <c r="E153">
        <v>0</v>
      </c>
      <c r="F153">
        <v>1.04181E-3</v>
      </c>
      <c r="G153">
        <v>0</v>
      </c>
    </row>
    <row r="154" spans="1:7" x14ac:dyDescent="0.25">
      <c r="A154">
        <v>153</v>
      </c>
      <c r="B154">
        <v>500777399</v>
      </c>
      <c r="C154" s="7" t="s">
        <v>48</v>
      </c>
      <c r="D154">
        <v>0</v>
      </c>
      <c r="E154">
        <v>0</v>
      </c>
      <c r="F154">
        <v>1.0001400000000001E-3</v>
      </c>
      <c r="G154">
        <v>0</v>
      </c>
    </row>
    <row r="155" spans="1:7" x14ac:dyDescent="0.25">
      <c r="A155">
        <v>154</v>
      </c>
      <c r="B155">
        <v>918325665</v>
      </c>
      <c r="C155" s="7" t="s">
        <v>48</v>
      </c>
      <c r="D155">
        <v>0</v>
      </c>
      <c r="E155">
        <v>0</v>
      </c>
      <c r="F155">
        <v>9.6013299999999995E-4</v>
      </c>
      <c r="G155">
        <v>0</v>
      </c>
    </row>
    <row r="156" spans="1:7" x14ac:dyDescent="0.25">
      <c r="A156">
        <v>155</v>
      </c>
      <c r="B156">
        <v>976454076</v>
      </c>
      <c r="C156" s="7" t="s">
        <v>48</v>
      </c>
      <c r="D156">
        <v>0</v>
      </c>
      <c r="E156">
        <v>0</v>
      </c>
      <c r="F156">
        <v>9.2172700000000001E-4</v>
      </c>
      <c r="G156">
        <v>0</v>
      </c>
    </row>
    <row r="157" spans="1:7" x14ac:dyDescent="0.25">
      <c r="A157">
        <v>156</v>
      </c>
      <c r="B157">
        <v>339606783</v>
      </c>
      <c r="C157" s="7" t="s">
        <v>48</v>
      </c>
      <c r="D157">
        <v>0</v>
      </c>
      <c r="E157">
        <v>0</v>
      </c>
      <c r="F157">
        <v>8.8485799999999998E-4</v>
      </c>
      <c r="G157">
        <v>0</v>
      </c>
    </row>
    <row r="158" spans="1:7" x14ac:dyDescent="0.25">
      <c r="A158">
        <v>157</v>
      </c>
      <c r="B158">
        <v>623132091</v>
      </c>
      <c r="C158" s="7" t="s">
        <v>48</v>
      </c>
      <c r="D158">
        <v>0</v>
      </c>
      <c r="E158">
        <v>0</v>
      </c>
      <c r="F158">
        <v>8.4946399999999997E-4</v>
      </c>
      <c r="G158">
        <v>0</v>
      </c>
    </row>
    <row r="159" spans="1:7" x14ac:dyDescent="0.25">
      <c r="A159">
        <v>158</v>
      </c>
      <c r="B159">
        <v>698350577</v>
      </c>
      <c r="C159" s="7" t="s">
        <v>48</v>
      </c>
      <c r="D159">
        <v>0</v>
      </c>
      <c r="E159">
        <v>0</v>
      </c>
      <c r="F159">
        <v>8.1548500000000002E-4</v>
      </c>
      <c r="G159">
        <v>0</v>
      </c>
    </row>
    <row r="160" spans="1:7" x14ac:dyDescent="0.25">
      <c r="A160">
        <v>159</v>
      </c>
      <c r="B160">
        <v>716478456</v>
      </c>
      <c r="C160" s="7" t="s">
        <v>48</v>
      </c>
      <c r="D160">
        <v>0</v>
      </c>
      <c r="E160">
        <v>0</v>
      </c>
      <c r="F160">
        <v>7.8286600000000001E-4</v>
      </c>
      <c r="G160">
        <v>0</v>
      </c>
    </row>
    <row r="161" spans="1:7" x14ac:dyDescent="0.25">
      <c r="A161">
        <v>160</v>
      </c>
      <c r="B161">
        <v>448812350</v>
      </c>
      <c r="C161" s="7" t="s">
        <v>48</v>
      </c>
      <c r="D161">
        <v>0</v>
      </c>
      <c r="E161">
        <v>0</v>
      </c>
      <c r="F161">
        <v>7.5155100000000004E-4</v>
      </c>
      <c r="G161">
        <v>0</v>
      </c>
    </row>
    <row r="162" spans="1:7" x14ac:dyDescent="0.25">
      <c r="A162">
        <v>161</v>
      </c>
      <c r="B162">
        <v>738870838</v>
      </c>
      <c r="C162" s="7" t="s">
        <v>48</v>
      </c>
      <c r="D162">
        <v>0</v>
      </c>
      <c r="E162">
        <v>0</v>
      </c>
      <c r="F162">
        <v>7.2148899999999996E-4</v>
      </c>
      <c r="G162">
        <v>0</v>
      </c>
    </row>
    <row r="163" spans="1:7" x14ac:dyDescent="0.25">
      <c r="A163">
        <v>162</v>
      </c>
      <c r="B163">
        <v>265364271</v>
      </c>
      <c r="C163" s="7" t="s">
        <v>48</v>
      </c>
      <c r="D163">
        <v>0</v>
      </c>
      <c r="E163">
        <v>0</v>
      </c>
      <c r="F163">
        <v>6.9262999999999996E-4</v>
      </c>
      <c r="G163">
        <v>0</v>
      </c>
    </row>
    <row r="164" spans="1:7" x14ac:dyDescent="0.25">
      <c r="A164">
        <v>163</v>
      </c>
      <c r="B164">
        <v>21022628</v>
      </c>
      <c r="C164" s="7" t="s">
        <v>48</v>
      </c>
      <c r="D164">
        <v>0</v>
      </c>
      <c r="E164">
        <v>0</v>
      </c>
      <c r="F164">
        <v>6.6492400000000001E-4</v>
      </c>
      <c r="G164">
        <v>0</v>
      </c>
    </row>
    <row r="165" spans="1:7" x14ac:dyDescent="0.25">
      <c r="A165">
        <v>164</v>
      </c>
      <c r="B165">
        <v>526565930</v>
      </c>
      <c r="C165" s="7" t="s">
        <v>48</v>
      </c>
      <c r="D165">
        <v>0</v>
      </c>
      <c r="E165">
        <v>0</v>
      </c>
      <c r="F165">
        <v>6.3832799999999996E-4</v>
      </c>
      <c r="G165">
        <v>0</v>
      </c>
    </row>
    <row r="166" spans="1:7" x14ac:dyDescent="0.25">
      <c r="A166">
        <v>165</v>
      </c>
      <c r="B166">
        <v>446557523</v>
      </c>
      <c r="C166" s="7" t="s">
        <v>48</v>
      </c>
      <c r="D166">
        <v>0</v>
      </c>
      <c r="E166">
        <v>0</v>
      </c>
      <c r="F166">
        <v>6.1279399999999995E-4</v>
      </c>
      <c r="G166">
        <v>0</v>
      </c>
    </row>
    <row r="167" spans="1:7" x14ac:dyDescent="0.25">
      <c r="A167">
        <v>166</v>
      </c>
      <c r="B167">
        <v>296096629</v>
      </c>
      <c r="C167" s="7" t="s">
        <v>48</v>
      </c>
      <c r="D167">
        <v>0</v>
      </c>
      <c r="E167">
        <v>0</v>
      </c>
      <c r="F167">
        <v>5.8828299999999999E-4</v>
      </c>
      <c r="G167">
        <v>0</v>
      </c>
    </row>
    <row r="168" spans="1:7" x14ac:dyDescent="0.25">
      <c r="A168">
        <v>167</v>
      </c>
      <c r="B168">
        <v>908430668</v>
      </c>
      <c r="C168" s="7" t="s">
        <v>48</v>
      </c>
      <c r="D168">
        <v>0</v>
      </c>
      <c r="E168">
        <v>0</v>
      </c>
      <c r="F168">
        <v>5.6475099999999995E-4</v>
      </c>
      <c r="G168">
        <v>0</v>
      </c>
    </row>
    <row r="169" spans="1:7" x14ac:dyDescent="0.25">
      <c r="A169">
        <v>168</v>
      </c>
      <c r="B169">
        <v>14912060</v>
      </c>
      <c r="C169" s="7" t="s">
        <v>48</v>
      </c>
      <c r="D169">
        <v>0</v>
      </c>
      <c r="E169">
        <v>0</v>
      </c>
      <c r="F169">
        <v>5.4216099999999999E-4</v>
      </c>
      <c r="G169">
        <v>0</v>
      </c>
    </row>
    <row r="170" spans="1:7" x14ac:dyDescent="0.25">
      <c r="A170">
        <v>169</v>
      </c>
      <c r="B170">
        <v>54699858</v>
      </c>
      <c r="C170" s="7" t="s">
        <v>48</v>
      </c>
      <c r="D170">
        <v>0</v>
      </c>
      <c r="E170">
        <v>0</v>
      </c>
      <c r="F170">
        <v>5.2047499999999995E-4</v>
      </c>
      <c r="G170">
        <v>0</v>
      </c>
    </row>
    <row r="171" spans="1:7" x14ac:dyDescent="0.25">
      <c r="A171">
        <v>170</v>
      </c>
      <c r="B171">
        <v>525725169</v>
      </c>
      <c r="C171" s="7" t="s">
        <v>48</v>
      </c>
      <c r="D171">
        <v>0</v>
      </c>
      <c r="E171">
        <v>0</v>
      </c>
      <c r="F171">
        <v>4.9965600000000002E-4</v>
      </c>
      <c r="G171">
        <v>0</v>
      </c>
    </row>
    <row r="172" spans="1:7" x14ac:dyDescent="0.25">
      <c r="A172">
        <v>171</v>
      </c>
      <c r="B172">
        <v>683881335</v>
      </c>
      <c r="C172" s="7" t="s">
        <v>48</v>
      </c>
      <c r="D172">
        <v>0</v>
      </c>
      <c r="E172">
        <v>0</v>
      </c>
      <c r="F172">
        <v>4.7967000000000002E-4</v>
      </c>
      <c r="G172">
        <v>0</v>
      </c>
    </row>
    <row r="173" spans="1:7" x14ac:dyDescent="0.25">
      <c r="A173">
        <v>172</v>
      </c>
      <c r="B173">
        <v>639354202</v>
      </c>
      <c r="C173" s="7" t="s">
        <v>48</v>
      </c>
      <c r="D173">
        <v>0</v>
      </c>
      <c r="E173">
        <v>0</v>
      </c>
      <c r="F173">
        <v>4.6048299999999998E-4</v>
      </c>
      <c r="G173">
        <v>0</v>
      </c>
    </row>
    <row r="174" spans="1:7" x14ac:dyDescent="0.25">
      <c r="A174">
        <v>173</v>
      </c>
      <c r="B174">
        <v>993476526</v>
      </c>
      <c r="C174" s="7" t="s">
        <v>48</v>
      </c>
      <c r="D174">
        <v>0</v>
      </c>
      <c r="E174">
        <v>0</v>
      </c>
      <c r="F174">
        <v>4.4206300000000003E-4</v>
      </c>
      <c r="G174">
        <v>0</v>
      </c>
    </row>
    <row r="175" spans="1:7" x14ac:dyDescent="0.25">
      <c r="A175">
        <v>174</v>
      </c>
      <c r="B175">
        <v>904089024</v>
      </c>
      <c r="C175" s="7" t="s">
        <v>48</v>
      </c>
      <c r="D175">
        <v>0</v>
      </c>
      <c r="E175">
        <v>0</v>
      </c>
      <c r="F175">
        <v>4.2438099999999999E-4</v>
      </c>
      <c r="G175">
        <v>0</v>
      </c>
    </row>
    <row r="176" spans="1:7" x14ac:dyDescent="0.25">
      <c r="A176">
        <v>175</v>
      </c>
      <c r="B176">
        <v>867878819</v>
      </c>
      <c r="C176" s="7" t="s">
        <v>48</v>
      </c>
      <c r="D176">
        <v>0</v>
      </c>
      <c r="E176">
        <v>0</v>
      </c>
      <c r="F176">
        <v>4.0740600000000002E-4</v>
      </c>
      <c r="G176">
        <v>0</v>
      </c>
    </row>
    <row r="177" spans="1:7" x14ac:dyDescent="0.25">
      <c r="A177">
        <v>176</v>
      </c>
      <c r="B177">
        <v>372226432</v>
      </c>
      <c r="C177" s="7" t="s">
        <v>48</v>
      </c>
      <c r="D177">
        <v>0</v>
      </c>
      <c r="E177">
        <v>0</v>
      </c>
      <c r="F177">
        <v>3.91109E-4</v>
      </c>
      <c r="G177">
        <v>0</v>
      </c>
    </row>
    <row r="178" spans="1:7" x14ac:dyDescent="0.25">
      <c r="A178">
        <v>177</v>
      </c>
      <c r="B178">
        <v>302752054</v>
      </c>
      <c r="C178" s="7" t="s">
        <v>48</v>
      </c>
      <c r="D178">
        <v>0</v>
      </c>
      <c r="E178">
        <v>0</v>
      </c>
      <c r="F178">
        <v>3.7546500000000001E-4</v>
      </c>
      <c r="G178">
        <v>0</v>
      </c>
    </row>
    <row r="179" spans="1:7" x14ac:dyDescent="0.25">
      <c r="A179">
        <v>178</v>
      </c>
      <c r="B179">
        <v>896792023</v>
      </c>
      <c r="C179" s="7" t="s">
        <v>48</v>
      </c>
      <c r="D179">
        <v>0</v>
      </c>
      <c r="E179">
        <v>0</v>
      </c>
      <c r="F179">
        <v>3.60446E-4</v>
      </c>
      <c r="G179">
        <v>0</v>
      </c>
    </row>
    <row r="180" spans="1:7" x14ac:dyDescent="0.25">
      <c r="A180">
        <v>179</v>
      </c>
      <c r="B180">
        <v>370659053</v>
      </c>
      <c r="C180" s="7" t="s">
        <v>48</v>
      </c>
      <c r="D180">
        <v>0</v>
      </c>
      <c r="E180">
        <v>0</v>
      </c>
      <c r="F180">
        <v>3.4602899999999998E-4</v>
      </c>
      <c r="G180">
        <v>0</v>
      </c>
    </row>
    <row r="181" spans="1:7" x14ac:dyDescent="0.25">
      <c r="A181">
        <v>180</v>
      </c>
      <c r="B181">
        <v>639266381</v>
      </c>
      <c r="C181" s="7" t="s">
        <v>48</v>
      </c>
      <c r="D181">
        <v>0</v>
      </c>
      <c r="E181">
        <v>0</v>
      </c>
      <c r="F181">
        <v>3.3218700000000001E-4</v>
      </c>
      <c r="G181">
        <v>0</v>
      </c>
    </row>
    <row r="182" spans="1:7" x14ac:dyDescent="0.25">
      <c r="A182">
        <v>181</v>
      </c>
      <c r="B182">
        <v>236331067</v>
      </c>
      <c r="C182" s="7" t="s">
        <v>48</v>
      </c>
      <c r="D182">
        <v>0</v>
      </c>
      <c r="E182">
        <v>0</v>
      </c>
      <c r="F182">
        <v>3.189E-4</v>
      </c>
      <c r="G182">
        <v>0</v>
      </c>
    </row>
    <row r="183" spans="1:7" x14ac:dyDescent="0.25">
      <c r="A183">
        <v>182</v>
      </c>
      <c r="B183">
        <v>305170747</v>
      </c>
      <c r="C183" s="7" t="s">
        <v>48</v>
      </c>
      <c r="D183">
        <v>0</v>
      </c>
      <c r="E183">
        <v>0</v>
      </c>
      <c r="F183">
        <v>3.06144E-4</v>
      </c>
      <c r="G183">
        <v>0</v>
      </c>
    </row>
    <row r="184" spans="1:7" x14ac:dyDescent="0.25">
      <c r="A184">
        <v>183</v>
      </c>
      <c r="B184">
        <v>866824477</v>
      </c>
      <c r="C184" s="7" t="s">
        <v>48</v>
      </c>
      <c r="D184">
        <v>0</v>
      </c>
      <c r="E184">
        <v>0</v>
      </c>
      <c r="F184">
        <v>2.9389800000000001E-4</v>
      </c>
      <c r="G184">
        <v>0</v>
      </c>
    </row>
    <row r="185" spans="1:7" x14ac:dyDescent="0.25">
      <c r="A185">
        <v>184</v>
      </c>
      <c r="B185">
        <v>108062707</v>
      </c>
      <c r="C185" s="7" t="s">
        <v>48</v>
      </c>
      <c r="D185">
        <v>0</v>
      </c>
      <c r="E185">
        <v>0</v>
      </c>
      <c r="F185">
        <v>2.8214199999999998E-4</v>
      </c>
      <c r="G185">
        <v>0</v>
      </c>
    </row>
    <row r="186" spans="1:7" x14ac:dyDescent="0.25">
      <c r="A186">
        <v>185</v>
      </c>
      <c r="B186">
        <v>453852245</v>
      </c>
      <c r="C186" s="7" t="s">
        <v>48</v>
      </c>
      <c r="D186">
        <v>0</v>
      </c>
      <c r="E186">
        <v>0</v>
      </c>
      <c r="F186">
        <v>2.70857E-4</v>
      </c>
      <c r="G186">
        <v>0</v>
      </c>
    </row>
    <row r="187" spans="1:7" x14ac:dyDescent="0.25">
      <c r="A187">
        <v>186</v>
      </c>
      <c r="B187">
        <v>141432107</v>
      </c>
      <c r="C187" s="7" t="s">
        <v>48</v>
      </c>
      <c r="D187">
        <v>0</v>
      </c>
      <c r="E187">
        <v>0</v>
      </c>
      <c r="F187">
        <v>2.60022E-4</v>
      </c>
      <c r="G187">
        <v>0</v>
      </c>
    </row>
    <row r="188" spans="1:7" x14ac:dyDescent="0.25">
      <c r="A188">
        <v>187</v>
      </c>
      <c r="B188">
        <v>239885474</v>
      </c>
      <c r="C188" s="7" t="s">
        <v>48</v>
      </c>
      <c r="D188">
        <v>0</v>
      </c>
      <c r="E188">
        <v>0</v>
      </c>
      <c r="F188">
        <v>2.49621E-4</v>
      </c>
      <c r="G188">
        <v>0</v>
      </c>
    </row>
    <row r="189" spans="1:7" x14ac:dyDescent="0.25">
      <c r="A189">
        <v>188</v>
      </c>
      <c r="B189">
        <v>219093766</v>
      </c>
      <c r="C189" s="7" t="s">
        <v>48</v>
      </c>
      <c r="D189">
        <v>0</v>
      </c>
      <c r="E189">
        <v>0</v>
      </c>
      <c r="F189">
        <v>2.3963700000000001E-4</v>
      </c>
      <c r="G189">
        <v>0</v>
      </c>
    </row>
    <row r="190" spans="1:7" x14ac:dyDescent="0.25">
      <c r="A190">
        <v>189</v>
      </c>
      <c r="B190">
        <v>22148652</v>
      </c>
      <c r="C190" s="7" t="s">
        <v>48</v>
      </c>
      <c r="D190">
        <v>0</v>
      </c>
      <c r="E190">
        <v>0</v>
      </c>
      <c r="F190">
        <v>2.30051E-4</v>
      </c>
      <c r="G190">
        <v>0</v>
      </c>
    </row>
    <row r="191" spans="1:7" x14ac:dyDescent="0.25">
      <c r="A191">
        <v>190</v>
      </c>
      <c r="B191">
        <v>668580760</v>
      </c>
      <c r="C191" s="7" t="s">
        <v>48</v>
      </c>
      <c r="D191">
        <v>0</v>
      </c>
      <c r="E191">
        <v>0</v>
      </c>
      <c r="F191">
        <v>2.2084900000000001E-4</v>
      </c>
      <c r="G191">
        <v>0</v>
      </c>
    </row>
    <row r="192" spans="1:7" x14ac:dyDescent="0.25">
      <c r="A192">
        <v>191</v>
      </c>
      <c r="B192">
        <v>484498776</v>
      </c>
      <c r="C192" s="7" t="s">
        <v>48</v>
      </c>
      <c r="D192">
        <v>0</v>
      </c>
      <c r="E192">
        <v>0</v>
      </c>
      <c r="F192">
        <v>2.12015E-4</v>
      </c>
      <c r="G192">
        <v>0</v>
      </c>
    </row>
    <row r="193" spans="1:7" x14ac:dyDescent="0.25">
      <c r="A193">
        <v>192</v>
      </c>
      <c r="B193">
        <v>106186031</v>
      </c>
      <c r="C193" s="7" t="s">
        <v>48</v>
      </c>
      <c r="D193">
        <v>0</v>
      </c>
      <c r="E193">
        <v>0</v>
      </c>
      <c r="F193">
        <v>2.03535E-4</v>
      </c>
      <c r="G193">
        <v>0</v>
      </c>
    </row>
    <row r="194" spans="1:7" x14ac:dyDescent="0.25">
      <c r="A194">
        <v>193</v>
      </c>
      <c r="B194">
        <v>121380578</v>
      </c>
      <c r="C194" s="7" t="s">
        <v>48</v>
      </c>
      <c r="D194">
        <v>0</v>
      </c>
      <c r="E194">
        <v>0</v>
      </c>
      <c r="F194">
        <v>1.95393E-4</v>
      </c>
      <c r="G194">
        <v>0</v>
      </c>
    </row>
    <row r="195" spans="1:7" x14ac:dyDescent="0.25">
      <c r="A195">
        <v>194</v>
      </c>
      <c r="B195">
        <v>109606916</v>
      </c>
      <c r="C195" s="7" t="s">
        <v>48</v>
      </c>
      <c r="D195">
        <v>0</v>
      </c>
      <c r="E195">
        <v>0</v>
      </c>
      <c r="F195">
        <v>1.87577E-4</v>
      </c>
      <c r="G195">
        <v>0</v>
      </c>
    </row>
    <row r="196" spans="1:7" x14ac:dyDescent="0.25">
      <c r="A196">
        <v>195</v>
      </c>
      <c r="B196">
        <v>499275632</v>
      </c>
      <c r="C196" s="7" t="s">
        <v>48</v>
      </c>
      <c r="D196">
        <v>0</v>
      </c>
      <c r="E196">
        <v>0</v>
      </c>
      <c r="F196">
        <v>1.8007400000000001E-4</v>
      </c>
      <c r="G196">
        <v>0</v>
      </c>
    </row>
    <row r="197" spans="1:7" x14ac:dyDescent="0.25">
      <c r="A197">
        <v>196</v>
      </c>
      <c r="B197">
        <v>867913190</v>
      </c>
      <c r="C197" s="7" t="s">
        <v>48</v>
      </c>
      <c r="D197">
        <v>0</v>
      </c>
      <c r="E197">
        <v>0</v>
      </c>
      <c r="F197">
        <v>1.7287100000000001E-4</v>
      </c>
      <c r="G197">
        <v>0</v>
      </c>
    </row>
    <row r="198" spans="1:7" x14ac:dyDescent="0.25">
      <c r="A198">
        <v>197</v>
      </c>
      <c r="B198">
        <v>389082205</v>
      </c>
      <c r="C198" s="7" t="s">
        <v>48</v>
      </c>
      <c r="D198">
        <v>0</v>
      </c>
      <c r="E198">
        <v>0</v>
      </c>
      <c r="F198">
        <v>1.6595600000000001E-4</v>
      </c>
      <c r="G198">
        <v>0</v>
      </c>
    </row>
    <row r="199" spans="1:7" x14ac:dyDescent="0.25">
      <c r="A199">
        <v>198</v>
      </c>
      <c r="B199">
        <v>700879034</v>
      </c>
      <c r="C199" s="7" t="s">
        <v>48</v>
      </c>
      <c r="D199">
        <v>0</v>
      </c>
      <c r="E199">
        <v>0</v>
      </c>
      <c r="F199">
        <v>1.5931800000000001E-4</v>
      </c>
      <c r="G199">
        <v>0</v>
      </c>
    </row>
    <row r="200" spans="1:7" x14ac:dyDescent="0.25">
      <c r="A200">
        <v>199</v>
      </c>
      <c r="B200">
        <v>10669007</v>
      </c>
      <c r="C200" s="7" t="s">
        <v>48</v>
      </c>
      <c r="D200">
        <v>0</v>
      </c>
      <c r="E200">
        <v>0</v>
      </c>
      <c r="F200">
        <v>1.52946E-4</v>
      </c>
      <c r="G200">
        <v>0</v>
      </c>
    </row>
    <row r="201" spans="1:7" x14ac:dyDescent="0.25">
      <c r="A201">
        <v>200</v>
      </c>
      <c r="B201">
        <v>283859287</v>
      </c>
      <c r="C201" s="7" t="s">
        <v>48</v>
      </c>
      <c r="D201">
        <v>0</v>
      </c>
      <c r="E201">
        <v>0</v>
      </c>
      <c r="F201">
        <v>1.46828E-4</v>
      </c>
      <c r="G201">
        <v>0</v>
      </c>
    </row>
    <row r="202" spans="1:7" x14ac:dyDescent="0.25">
      <c r="A202">
        <v>201</v>
      </c>
      <c r="B202">
        <v>602695052</v>
      </c>
      <c r="C202" s="7" t="s">
        <v>48</v>
      </c>
      <c r="D202">
        <v>0</v>
      </c>
      <c r="E202">
        <v>0</v>
      </c>
      <c r="F202">
        <v>1.4095500000000001E-4</v>
      </c>
      <c r="G202">
        <v>0</v>
      </c>
    </row>
    <row r="203" spans="1:7" x14ac:dyDescent="0.25">
      <c r="A203">
        <v>202</v>
      </c>
      <c r="B203">
        <v>705804787</v>
      </c>
      <c r="C203" s="7" t="s">
        <v>48</v>
      </c>
      <c r="D203">
        <v>0</v>
      </c>
      <c r="E203">
        <v>0</v>
      </c>
      <c r="F203">
        <v>1.3531599999999999E-4</v>
      </c>
      <c r="G203">
        <v>0</v>
      </c>
    </row>
    <row r="204" spans="1:7" x14ac:dyDescent="0.25">
      <c r="A204">
        <v>203</v>
      </c>
      <c r="B204">
        <v>166894322</v>
      </c>
      <c r="C204" s="7" t="s">
        <v>48</v>
      </c>
      <c r="D204">
        <v>0</v>
      </c>
      <c r="E204">
        <v>0</v>
      </c>
      <c r="F204">
        <v>1.2990399999999999E-4</v>
      </c>
      <c r="G204">
        <v>0</v>
      </c>
    </row>
    <row r="205" spans="1:7" x14ac:dyDescent="0.25">
      <c r="A205">
        <v>204</v>
      </c>
      <c r="B205">
        <v>202862963</v>
      </c>
      <c r="C205" s="7" t="s">
        <v>48</v>
      </c>
      <c r="D205">
        <v>0</v>
      </c>
      <c r="E205">
        <v>0</v>
      </c>
      <c r="F205">
        <v>1.2470800000000001E-4</v>
      </c>
      <c r="G205">
        <v>0</v>
      </c>
    </row>
    <row r="206" spans="1:7" x14ac:dyDescent="0.25">
      <c r="A206">
        <v>205</v>
      </c>
      <c r="B206">
        <v>233947586</v>
      </c>
      <c r="C206" s="7" t="s">
        <v>48</v>
      </c>
      <c r="D206">
        <v>0</v>
      </c>
      <c r="E206">
        <v>0</v>
      </c>
      <c r="F206">
        <v>1.19719E-4</v>
      </c>
      <c r="G206">
        <v>0</v>
      </c>
    </row>
    <row r="207" spans="1:7" x14ac:dyDescent="0.25">
      <c r="A207">
        <v>206</v>
      </c>
      <c r="B207">
        <v>188059232</v>
      </c>
      <c r="C207" s="7" t="s">
        <v>48</v>
      </c>
      <c r="D207">
        <v>0</v>
      </c>
      <c r="E207">
        <v>0</v>
      </c>
      <c r="F207">
        <v>1.14931E-4</v>
      </c>
      <c r="G207">
        <v>0</v>
      </c>
    </row>
    <row r="208" spans="1:7" x14ac:dyDescent="0.25">
      <c r="A208">
        <v>207</v>
      </c>
      <c r="B208">
        <v>300876871</v>
      </c>
      <c r="C208" s="7" t="s">
        <v>48</v>
      </c>
      <c r="D208">
        <v>0</v>
      </c>
      <c r="E208">
        <v>0</v>
      </c>
      <c r="F208">
        <v>1.10333E-4</v>
      </c>
      <c r="G208">
        <v>0</v>
      </c>
    </row>
    <row r="209" spans="1:7" x14ac:dyDescent="0.25">
      <c r="A209">
        <v>208</v>
      </c>
      <c r="B209">
        <v>2658098</v>
      </c>
      <c r="C209" s="7" t="s">
        <v>48</v>
      </c>
      <c r="D209">
        <v>0</v>
      </c>
      <c r="E209">
        <v>0</v>
      </c>
      <c r="F209">
        <v>1.0592E-4</v>
      </c>
      <c r="G209">
        <v>0</v>
      </c>
    </row>
    <row r="210" spans="1:7" x14ac:dyDescent="0.25">
      <c r="A210">
        <v>209</v>
      </c>
      <c r="B210">
        <v>298387604</v>
      </c>
      <c r="C210" s="7" t="s">
        <v>48</v>
      </c>
      <c r="D210">
        <v>0</v>
      </c>
      <c r="E210">
        <v>0</v>
      </c>
      <c r="F210">
        <v>1.01683E-4</v>
      </c>
      <c r="G210">
        <v>0</v>
      </c>
    </row>
    <row r="211" spans="1:7" x14ac:dyDescent="0.25">
      <c r="A211">
        <v>210</v>
      </c>
      <c r="B211">
        <v>607947311</v>
      </c>
      <c r="C211" s="7" t="s">
        <v>48</v>
      </c>
      <c r="D211">
        <v>0</v>
      </c>
      <c r="E211">
        <v>0</v>
      </c>
      <c r="F211">
        <v>9.7615799999999995E-5</v>
      </c>
      <c r="G211">
        <v>0</v>
      </c>
    </row>
    <row r="212" spans="1:7" x14ac:dyDescent="0.25">
      <c r="A212">
        <v>211</v>
      </c>
      <c r="B212">
        <v>889364532</v>
      </c>
      <c r="C212" s="7" t="s">
        <v>48</v>
      </c>
      <c r="D212">
        <v>0</v>
      </c>
      <c r="E212">
        <v>0</v>
      </c>
      <c r="F212">
        <v>9.3711199999999998E-5</v>
      </c>
      <c r="G212">
        <v>0</v>
      </c>
    </row>
    <row r="213" spans="1:7" x14ac:dyDescent="0.25">
      <c r="A213">
        <v>212</v>
      </c>
      <c r="B213">
        <v>875774962</v>
      </c>
      <c r="C213" s="7" t="s">
        <v>48</v>
      </c>
      <c r="D213">
        <v>0</v>
      </c>
      <c r="E213">
        <v>0</v>
      </c>
      <c r="F213">
        <v>8.9962800000000005E-5</v>
      </c>
      <c r="G213">
        <v>0</v>
      </c>
    </row>
    <row r="214" spans="1:7" x14ac:dyDescent="0.25">
      <c r="A214">
        <v>213</v>
      </c>
      <c r="B214">
        <v>990735240</v>
      </c>
      <c r="C214" s="7" t="s">
        <v>48</v>
      </c>
      <c r="D214">
        <v>0</v>
      </c>
      <c r="E214">
        <v>0</v>
      </c>
      <c r="F214">
        <v>8.6364200000000002E-5</v>
      </c>
      <c r="G214">
        <v>0</v>
      </c>
    </row>
    <row r="215" spans="1:7" x14ac:dyDescent="0.25">
      <c r="A215">
        <v>214</v>
      </c>
      <c r="B215">
        <v>607216559</v>
      </c>
      <c r="C215" s="7" t="s">
        <v>48</v>
      </c>
      <c r="D215">
        <v>0</v>
      </c>
      <c r="E215">
        <v>0</v>
      </c>
      <c r="F215">
        <v>8.2909699999999997E-5</v>
      </c>
      <c r="G215">
        <v>0</v>
      </c>
    </row>
    <row r="216" spans="1:7" x14ac:dyDescent="0.25">
      <c r="A216">
        <v>215</v>
      </c>
      <c r="B216">
        <v>551247484</v>
      </c>
      <c r="C216" s="7" t="s">
        <v>48</v>
      </c>
      <c r="D216">
        <v>0</v>
      </c>
      <c r="E216">
        <v>0</v>
      </c>
      <c r="F216">
        <v>7.9593300000000002E-5</v>
      </c>
      <c r="G216">
        <v>0</v>
      </c>
    </row>
    <row r="217" spans="1:7" x14ac:dyDescent="0.25">
      <c r="A217">
        <v>216</v>
      </c>
      <c r="B217">
        <v>217501998</v>
      </c>
      <c r="C217" s="7" t="s">
        <v>48</v>
      </c>
      <c r="D217">
        <v>0</v>
      </c>
      <c r="E217">
        <v>0</v>
      </c>
      <c r="F217">
        <v>7.6409599999999994E-5</v>
      </c>
      <c r="G217">
        <v>0</v>
      </c>
    </row>
    <row r="218" spans="1:7" x14ac:dyDescent="0.25">
      <c r="A218">
        <v>217</v>
      </c>
      <c r="B218">
        <v>741572992</v>
      </c>
      <c r="C218" s="7" t="s">
        <v>48</v>
      </c>
      <c r="D218">
        <v>0</v>
      </c>
      <c r="E218">
        <v>0</v>
      </c>
      <c r="F218">
        <v>7.3353200000000001E-5</v>
      </c>
      <c r="G218">
        <v>0</v>
      </c>
    </row>
    <row r="219" spans="1:7" x14ac:dyDescent="0.25">
      <c r="A219">
        <v>218</v>
      </c>
      <c r="B219">
        <v>206514133</v>
      </c>
      <c r="C219" s="7" t="s">
        <v>48</v>
      </c>
      <c r="D219">
        <v>0</v>
      </c>
      <c r="E219">
        <v>0</v>
      </c>
      <c r="F219">
        <v>7.0419000000000005E-5</v>
      </c>
      <c r="G219">
        <v>0</v>
      </c>
    </row>
    <row r="220" spans="1:7" x14ac:dyDescent="0.25">
      <c r="A220">
        <v>219</v>
      </c>
      <c r="B220">
        <v>15178248</v>
      </c>
      <c r="C220" s="7" t="s">
        <v>48</v>
      </c>
      <c r="D220">
        <v>0</v>
      </c>
      <c r="E220">
        <v>0</v>
      </c>
      <c r="F220">
        <v>6.7602300000000002E-5</v>
      </c>
      <c r="G220">
        <v>0</v>
      </c>
    </row>
    <row r="221" spans="1:7" x14ac:dyDescent="0.25">
      <c r="A221">
        <v>220</v>
      </c>
      <c r="B221">
        <v>153054463</v>
      </c>
      <c r="C221" s="7" t="s">
        <v>48</v>
      </c>
      <c r="D221">
        <v>0</v>
      </c>
      <c r="E221">
        <v>0</v>
      </c>
      <c r="F221">
        <v>6.4898200000000001E-5</v>
      </c>
      <c r="G221">
        <v>0</v>
      </c>
    </row>
    <row r="222" spans="1:7" x14ac:dyDescent="0.25">
      <c r="A222">
        <v>221</v>
      </c>
      <c r="B222">
        <v>467297306</v>
      </c>
      <c r="C222" s="7" t="s">
        <v>48</v>
      </c>
      <c r="D222">
        <v>0</v>
      </c>
      <c r="E222">
        <v>0</v>
      </c>
      <c r="F222">
        <v>6.2302299999999995E-5</v>
      </c>
      <c r="G222">
        <v>0</v>
      </c>
    </row>
    <row r="223" spans="1:7" x14ac:dyDescent="0.25">
      <c r="A223">
        <v>222</v>
      </c>
      <c r="B223">
        <v>341480049</v>
      </c>
      <c r="C223" s="7" t="s">
        <v>48</v>
      </c>
      <c r="D223">
        <v>0</v>
      </c>
      <c r="E223">
        <v>0</v>
      </c>
      <c r="F223">
        <v>5.9810199999999999E-5</v>
      </c>
      <c r="G223">
        <v>0</v>
      </c>
    </row>
    <row r="224" spans="1:7" x14ac:dyDescent="0.25">
      <c r="A224">
        <v>223</v>
      </c>
      <c r="B224">
        <v>354217056</v>
      </c>
      <c r="C224" s="7" t="s">
        <v>48</v>
      </c>
      <c r="D224">
        <v>0</v>
      </c>
      <c r="E224">
        <v>0</v>
      </c>
      <c r="F224">
        <v>5.7417799999999998E-5</v>
      </c>
      <c r="G224">
        <v>0</v>
      </c>
    </row>
    <row r="225" spans="1:7" x14ac:dyDescent="0.25">
      <c r="A225">
        <v>224</v>
      </c>
      <c r="B225">
        <v>617861270</v>
      </c>
      <c r="C225" s="7" t="s">
        <v>48</v>
      </c>
      <c r="D225">
        <v>0</v>
      </c>
      <c r="E225">
        <v>0</v>
      </c>
      <c r="F225">
        <v>5.5121100000000003E-5</v>
      </c>
      <c r="G225">
        <v>0</v>
      </c>
    </row>
    <row r="226" spans="1:7" x14ac:dyDescent="0.25">
      <c r="A226">
        <v>225</v>
      </c>
      <c r="B226">
        <v>984952402</v>
      </c>
      <c r="C226" s="7" t="s">
        <v>48</v>
      </c>
      <c r="D226">
        <v>0</v>
      </c>
      <c r="E226">
        <v>0</v>
      </c>
      <c r="F226">
        <v>5.29162E-5</v>
      </c>
      <c r="G226">
        <v>0</v>
      </c>
    </row>
    <row r="227" spans="1:7" x14ac:dyDescent="0.25">
      <c r="A227">
        <v>226</v>
      </c>
      <c r="B227">
        <v>997035739</v>
      </c>
      <c r="C227" s="7" t="s">
        <v>48</v>
      </c>
      <c r="D227">
        <v>0</v>
      </c>
      <c r="E227">
        <v>0</v>
      </c>
      <c r="F227">
        <v>5.0799600000000001E-5</v>
      </c>
      <c r="G227">
        <v>0</v>
      </c>
    </row>
    <row r="228" spans="1:7" x14ac:dyDescent="0.25">
      <c r="A228">
        <v>227</v>
      </c>
      <c r="B228">
        <v>545603301</v>
      </c>
      <c r="C228" s="7" t="s">
        <v>48</v>
      </c>
      <c r="D228">
        <v>0</v>
      </c>
      <c r="E228">
        <v>0</v>
      </c>
      <c r="F228">
        <v>4.8767599999999997E-5</v>
      </c>
      <c r="G228">
        <v>0</v>
      </c>
    </row>
    <row r="229" spans="1:7" x14ac:dyDescent="0.25">
      <c r="A229">
        <v>228</v>
      </c>
      <c r="B229">
        <v>690221441</v>
      </c>
      <c r="C229" s="7" t="s">
        <v>48</v>
      </c>
      <c r="D229">
        <v>0</v>
      </c>
      <c r="E229">
        <v>0</v>
      </c>
      <c r="F229">
        <v>4.6816900000000002E-5</v>
      </c>
      <c r="G229">
        <v>0</v>
      </c>
    </row>
    <row r="230" spans="1:7" x14ac:dyDescent="0.25">
      <c r="A230">
        <v>229</v>
      </c>
      <c r="B230">
        <v>379039057</v>
      </c>
      <c r="C230" s="7" t="s">
        <v>48</v>
      </c>
      <c r="D230">
        <v>0</v>
      </c>
      <c r="E230">
        <v>0</v>
      </c>
      <c r="F230">
        <v>4.4944200000000002E-5</v>
      </c>
      <c r="G230">
        <v>0</v>
      </c>
    </row>
    <row r="231" spans="1:7" x14ac:dyDescent="0.25">
      <c r="A231">
        <v>230</v>
      </c>
      <c r="B231">
        <v>600195480</v>
      </c>
      <c r="C231" s="7" t="s">
        <v>48</v>
      </c>
      <c r="D231">
        <v>0</v>
      </c>
      <c r="E231">
        <v>0</v>
      </c>
      <c r="F231">
        <v>4.3146399999999997E-5</v>
      </c>
      <c r="G231">
        <v>0</v>
      </c>
    </row>
    <row r="232" spans="1:7" x14ac:dyDescent="0.25">
      <c r="A232">
        <v>231</v>
      </c>
      <c r="B232">
        <v>85379391</v>
      </c>
      <c r="C232" s="7" t="s">
        <v>48</v>
      </c>
      <c r="D232">
        <v>0</v>
      </c>
      <c r="E232">
        <v>0</v>
      </c>
      <c r="F232">
        <v>4.1420600000000001E-5</v>
      </c>
      <c r="G232">
        <v>0</v>
      </c>
    </row>
    <row r="233" spans="1:7" x14ac:dyDescent="0.25">
      <c r="A233">
        <v>232</v>
      </c>
      <c r="B233">
        <v>668715559</v>
      </c>
      <c r="C233" s="7" t="s">
        <v>48</v>
      </c>
      <c r="D233">
        <v>0</v>
      </c>
      <c r="E233">
        <v>0</v>
      </c>
      <c r="F233">
        <v>3.97638E-5</v>
      </c>
      <c r="G233">
        <v>0</v>
      </c>
    </row>
    <row r="234" spans="1:7" x14ac:dyDescent="0.25">
      <c r="A234">
        <v>233</v>
      </c>
      <c r="B234">
        <v>101699668</v>
      </c>
      <c r="C234" s="7" t="s">
        <v>48</v>
      </c>
      <c r="D234">
        <v>0</v>
      </c>
      <c r="E234">
        <v>0</v>
      </c>
      <c r="F234">
        <v>3.8173200000000002E-5</v>
      </c>
      <c r="G234">
        <v>0</v>
      </c>
    </row>
    <row r="235" spans="1:7" x14ac:dyDescent="0.25">
      <c r="A235">
        <v>234</v>
      </c>
      <c r="B235">
        <v>564160796</v>
      </c>
      <c r="C235" s="7" t="s">
        <v>48</v>
      </c>
      <c r="D235">
        <v>0</v>
      </c>
      <c r="E235">
        <v>0</v>
      </c>
      <c r="F235">
        <v>3.6646300000000002E-5</v>
      </c>
      <c r="G235">
        <v>0</v>
      </c>
    </row>
    <row r="236" spans="1:7" x14ac:dyDescent="0.25">
      <c r="A236">
        <v>235</v>
      </c>
      <c r="B236">
        <v>543781884</v>
      </c>
      <c r="C236" s="7" t="s">
        <v>48</v>
      </c>
      <c r="D236">
        <v>0</v>
      </c>
      <c r="E236">
        <v>0</v>
      </c>
      <c r="F236">
        <v>3.5180399999999999E-5</v>
      </c>
      <c r="G236">
        <v>0</v>
      </c>
    </row>
    <row r="237" spans="1:7" x14ac:dyDescent="0.25">
      <c r="A237">
        <v>236</v>
      </c>
      <c r="B237">
        <v>366471115</v>
      </c>
      <c r="C237" s="7" t="s">
        <v>48</v>
      </c>
      <c r="D237">
        <v>0</v>
      </c>
      <c r="E237">
        <v>0</v>
      </c>
      <c r="F237">
        <v>3.3773199999999997E-5</v>
      </c>
      <c r="G237">
        <v>0</v>
      </c>
    </row>
    <row r="238" spans="1:7" x14ac:dyDescent="0.25">
      <c r="A238">
        <v>237</v>
      </c>
      <c r="B238">
        <v>500825286</v>
      </c>
      <c r="C238" s="7" t="s">
        <v>48</v>
      </c>
      <c r="D238">
        <v>0</v>
      </c>
      <c r="E238">
        <v>0</v>
      </c>
      <c r="F238">
        <v>3.2422300000000003E-5</v>
      </c>
      <c r="G238">
        <v>0</v>
      </c>
    </row>
    <row r="239" spans="1:7" x14ac:dyDescent="0.25">
      <c r="A239">
        <v>238</v>
      </c>
      <c r="B239">
        <v>840295589</v>
      </c>
      <c r="C239" s="7" t="s">
        <v>48</v>
      </c>
      <c r="D239">
        <v>0</v>
      </c>
      <c r="E239">
        <v>0</v>
      </c>
      <c r="F239">
        <v>3.1125399999999998E-5</v>
      </c>
      <c r="G239">
        <v>0</v>
      </c>
    </row>
    <row r="240" spans="1:7" x14ac:dyDescent="0.25">
      <c r="A240">
        <v>239</v>
      </c>
      <c r="B240">
        <v>446191670</v>
      </c>
      <c r="C240" s="7" t="s">
        <v>48</v>
      </c>
      <c r="D240">
        <v>0</v>
      </c>
      <c r="E240">
        <v>0</v>
      </c>
      <c r="F240">
        <v>2.9880399999999999E-5</v>
      </c>
      <c r="G240">
        <v>0</v>
      </c>
    </row>
    <row r="241" spans="1:7" x14ac:dyDescent="0.25">
      <c r="A241">
        <v>240</v>
      </c>
      <c r="B241">
        <v>240511312</v>
      </c>
      <c r="C241" s="7" t="s">
        <v>48</v>
      </c>
      <c r="D241">
        <v>0</v>
      </c>
      <c r="E241">
        <v>0</v>
      </c>
      <c r="F241">
        <v>2.8685200000000001E-5</v>
      </c>
      <c r="G241">
        <v>0</v>
      </c>
    </row>
    <row r="242" spans="1:7" x14ac:dyDescent="0.25">
      <c r="A242">
        <v>241</v>
      </c>
      <c r="B242">
        <v>773880751</v>
      </c>
      <c r="C242" s="7" t="s">
        <v>48</v>
      </c>
      <c r="D242">
        <v>0</v>
      </c>
      <c r="E242">
        <v>0</v>
      </c>
      <c r="F242">
        <v>2.7537799999999999E-5</v>
      </c>
      <c r="G242">
        <v>0</v>
      </c>
    </row>
    <row r="243" spans="1:7" x14ac:dyDescent="0.25">
      <c r="A243">
        <v>242</v>
      </c>
      <c r="B243">
        <v>968142369</v>
      </c>
      <c r="C243" s="7" t="s">
        <v>48</v>
      </c>
      <c r="D243">
        <v>0</v>
      </c>
      <c r="E243">
        <v>0</v>
      </c>
      <c r="F243">
        <v>2.6436199999999999E-5</v>
      </c>
      <c r="G243">
        <v>0</v>
      </c>
    </row>
    <row r="244" spans="1:7" x14ac:dyDescent="0.25">
      <c r="A244">
        <v>243</v>
      </c>
      <c r="B244">
        <v>207368622</v>
      </c>
      <c r="C244" s="7" t="s">
        <v>48</v>
      </c>
      <c r="D244">
        <v>0</v>
      </c>
      <c r="E244">
        <v>0</v>
      </c>
      <c r="F244">
        <v>2.5378799999999998E-5</v>
      </c>
      <c r="G244">
        <v>0</v>
      </c>
    </row>
    <row r="245" spans="1:7" x14ac:dyDescent="0.25">
      <c r="A245">
        <v>244</v>
      </c>
      <c r="B245">
        <v>412283738</v>
      </c>
      <c r="C245" s="7" t="s">
        <v>48</v>
      </c>
      <c r="D245">
        <v>0</v>
      </c>
      <c r="E245">
        <v>0</v>
      </c>
      <c r="F245">
        <v>2.4363600000000002E-5</v>
      </c>
      <c r="G245">
        <v>0</v>
      </c>
    </row>
    <row r="246" spans="1:7" x14ac:dyDescent="0.25">
      <c r="A246">
        <v>245</v>
      </c>
      <c r="B246">
        <v>956168485</v>
      </c>
      <c r="C246" s="7" t="s">
        <v>48</v>
      </c>
      <c r="D246">
        <v>0</v>
      </c>
      <c r="E246">
        <v>0</v>
      </c>
      <c r="F246">
        <v>2.3389099999999999E-5</v>
      </c>
      <c r="G246">
        <v>0</v>
      </c>
    </row>
    <row r="247" spans="1:7" x14ac:dyDescent="0.25">
      <c r="A247">
        <v>246</v>
      </c>
      <c r="B247">
        <v>686698496</v>
      </c>
      <c r="C247" s="7" t="s">
        <v>48</v>
      </c>
      <c r="D247">
        <v>0</v>
      </c>
      <c r="E247">
        <v>0</v>
      </c>
      <c r="F247">
        <v>2.2453500000000001E-5</v>
      </c>
      <c r="G247">
        <v>0</v>
      </c>
    </row>
    <row r="248" spans="1:7" x14ac:dyDescent="0.25">
      <c r="A248">
        <v>247</v>
      </c>
      <c r="B248">
        <v>254337552</v>
      </c>
      <c r="C248" s="7" t="s">
        <v>48</v>
      </c>
      <c r="D248">
        <v>0</v>
      </c>
      <c r="E248">
        <v>0</v>
      </c>
      <c r="F248">
        <v>2.15554E-5</v>
      </c>
      <c r="G248">
        <v>0</v>
      </c>
    </row>
    <row r="249" spans="1:7" x14ac:dyDescent="0.25">
      <c r="A249">
        <v>248</v>
      </c>
      <c r="B249">
        <v>723789435</v>
      </c>
      <c r="C249" s="7" t="s">
        <v>48</v>
      </c>
      <c r="D249">
        <v>0</v>
      </c>
      <c r="E249">
        <v>0</v>
      </c>
      <c r="F249">
        <v>2.06932E-5</v>
      </c>
      <c r="G249">
        <v>0</v>
      </c>
    </row>
    <row r="250" spans="1:7" x14ac:dyDescent="0.25">
      <c r="A250">
        <v>249</v>
      </c>
      <c r="B250">
        <v>257004539</v>
      </c>
      <c r="C250" s="7" t="s">
        <v>48</v>
      </c>
      <c r="D250">
        <v>0</v>
      </c>
      <c r="E250">
        <v>0</v>
      </c>
      <c r="F250">
        <v>1.9865400000000001E-5</v>
      </c>
      <c r="G250">
        <v>0</v>
      </c>
    </row>
    <row r="251" spans="1:7" x14ac:dyDescent="0.25">
      <c r="A251">
        <v>250</v>
      </c>
      <c r="B251">
        <v>22019533</v>
      </c>
      <c r="C251" s="7" t="s">
        <v>48</v>
      </c>
      <c r="D251">
        <v>0</v>
      </c>
      <c r="E251">
        <v>0</v>
      </c>
      <c r="F251">
        <v>1.90708E-5</v>
      </c>
      <c r="G251">
        <v>0</v>
      </c>
    </row>
    <row r="252" spans="1:7" x14ac:dyDescent="0.25">
      <c r="A252">
        <v>251</v>
      </c>
      <c r="B252">
        <v>55727148</v>
      </c>
      <c r="C252" s="7" t="s">
        <v>48</v>
      </c>
      <c r="D252">
        <v>0</v>
      </c>
      <c r="E252">
        <v>0</v>
      </c>
      <c r="F252">
        <v>1.8308000000000002E-5</v>
      </c>
      <c r="G252">
        <v>0</v>
      </c>
    </row>
    <row r="253" spans="1:7" x14ac:dyDescent="0.25">
      <c r="A253">
        <v>252</v>
      </c>
      <c r="B253">
        <v>460029646</v>
      </c>
      <c r="C253" s="7" t="s">
        <v>48</v>
      </c>
      <c r="D253">
        <v>0</v>
      </c>
      <c r="E253">
        <v>0</v>
      </c>
      <c r="F253">
        <v>1.7575699999999998E-5</v>
      </c>
      <c r="G253">
        <v>0</v>
      </c>
    </row>
    <row r="254" spans="1:7" x14ac:dyDescent="0.25">
      <c r="A254">
        <v>253</v>
      </c>
      <c r="B254">
        <v>859940727</v>
      </c>
      <c r="C254" s="7" t="s">
        <v>48</v>
      </c>
      <c r="D254">
        <v>0</v>
      </c>
      <c r="E254">
        <v>0</v>
      </c>
      <c r="F254">
        <v>1.6872599999999998E-5</v>
      </c>
      <c r="G254">
        <v>0</v>
      </c>
    </row>
    <row r="255" spans="1:7" x14ac:dyDescent="0.25">
      <c r="A255">
        <v>254</v>
      </c>
      <c r="B255">
        <v>327915947</v>
      </c>
      <c r="C255" s="7" t="s">
        <v>48</v>
      </c>
      <c r="D255">
        <v>0</v>
      </c>
      <c r="E255">
        <v>0</v>
      </c>
      <c r="F255">
        <v>1.6197699999999999E-5</v>
      </c>
      <c r="G255">
        <v>0</v>
      </c>
    </row>
    <row r="256" spans="1:7" x14ac:dyDescent="0.25">
      <c r="A256">
        <v>255</v>
      </c>
      <c r="B256">
        <v>802867316</v>
      </c>
      <c r="C256" s="7" t="s">
        <v>48</v>
      </c>
      <c r="D256">
        <v>0</v>
      </c>
      <c r="E256">
        <v>0</v>
      </c>
      <c r="F256">
        <v>1.5549800000000001E-5</v>
      </c>
      <c r="G256">
        <v>0</v>
      </c>
    </row>
    <row r="257" spans="1:7" x14ac:dyDescent="0.25">
      <c r="A257">
        <v>256</v>
      </c>
      <c r="B257">
        <v>40665707</v>
      </c>
      <c r="C257" s="7" t="s">
        <v>48</v>
      </c>
      <c r="D257">
        <v>0</v>
      </c>
      <c r="E257">
        <v>0</v>
      </c>
      <c r="F257">
        <v>1.49278E-5</v>
      </c>
      <c r="G257">
        <v>0</v>
      </c>
    </row>
    <row r="258" spans="1:7" x14ac:dyDescent="0.25">
      <c r="A258">
        <v>257</v>
      </c>
      <c r="B258">
        <v>692806374</v>
      </c>
      <c r="C258" s="7" t="s">
        <v>48</v>
      </c>
      <c r="D258">
        <v>0</v>
      </c>
      <c r="E258">
        <v>0</v>
      </c>
      <c r="F258">
        <v>1.43307E-5</v>
      </c>
      <c r="G258">
        <v>0</v>
      </c>
    </row>
    <row r="259" spans="1:7" x14ac:dyDescent="0.25">
      <c r="A259">
        <v>258</v>
      </c>
      <c r="B259">
        <v>122247502</v>
      </c>
      <c r="C259" s="7" t="s">
        <v>48</v>
      </c>
      <c r="D259">
        <v>0</v>
      </c>
      <c r="E259">
        <v>0</v>
      </c>
      <c r="F259">
        <v>1.37575E-5</v>
      </c>
      <c r="G259">
        <v>0</v>
      </c>
    </row>
    <row r="260" spans="1:7" x14ac:dyDescent="0.25">
      <c r="A260">
        <v>259</v>
      </c>
      <c r="B260">
        <v>478167346</v>
      </c>
      <c r="C260" s="7" t="s">
        <v>48</v>
      </c>
      <c r="D260">
        <v>0</v>
      </c>
      <c r="E260">
        <v>0</v>
      </c>
      <c r="F260">
        <v>1.32072E-5</v>
      </c>
      <c r="G260">
        <v>0</v>
      </c>
    </row>
    <row r="261" spans="1:7" x14ac:dyDescent="0.25">
      <c r="A261">
        <v>260</v>
      </c>
      <c r="B261">
        <v>134576833</v>
      </c>
      <c r="C261" s="7" t="s">
        <v>48</v>
      </c>
      <c r="D261">
        <v>0</v>
      </c>
      <c r="E261">
        <v>0</v>
      </c>
      <c r="F261">
        <v>1.26789E-5</v>
      </c>
      <c r="G261">
        <v>0</v>
      </c>
    </row>
    <row r="262" spans="1:7" x14ac:dyDescent="0.25">
      <c r="A262">
        <v>261</v>
      </c>
      <c r="B262">
        <v>60807888</v>
      </c>
      <c r="C262" s="7" t="s">
        <v>48</v>
      </c>
      <c r="D262">
        <v>0</v>
      </c>
      <c r="E262">
        <v>0</v>
      </c>
      <c r="F262">
        <v>1.2171799999999999E-5</v>
      </c>
      <c r="G262">
        <v>0</v>
      </c>
    </row>
    <row r="263" spans="1:7" x14ac:dyDescent="0.25">
      <c r="A263">
        <v>262</v>
      </c>
      <c r="B263">
        <v>898859456</v>
      </c>
      <c r="C263" s="7" t="s">
        <v>48</v>
      </c>
      <c r="D263">
        <v>0</v>
      </c>
      <c r="E263">
        <v>0</v>
      </c>
      <c r="F263">
        <v>1.1684900000000001E-5</v>
      </c>
      <c r="G263">
        <v>0</v>
      </c>
    </row>
    <row r="264" spans="1:7" x14ac:dyDescent="0.25">
      <c r="A264">
        <v>263</v>
      </c>
      <c r="B264">
        <v>819354129</v>
      </c>
      <c r="C264" s="7" t="s">
        <v>48</v>
      </c>
      <c r="D264">
        <v>0</v>
      </c>
      <c r="E264">
        <v>0</v>
      </c>
      <c r="F264">
        <v>1.1217500000000001E-5</v>
      </c>
      <c r="G264">
        <v>0</v>
      </c>
    </row>
    <row r="265" spans="1:7" x14ac:dyDescent="0.25">
      <c r="A265">
        <v>264</v>
      </c>
      <c r="B265">
        <v>68213335</v>
      </c>
      <c r="C265" s="7" t="s">
        <v>48</v>
      </c>
      <c r="D265">
        <v>0</v>
      </c>
      <c r="E265">
        <v>0</v>
      </c>
      <c r="F265">
        <v>1.0768799999999999E-5</v>
      </c>
      <c r="G265">
        <v>0</v>
      </c>
    </row>
    <row r="266" spans="1:7" x14ac:dyDescent="0.25">
      <c r="A266">
        <v>265</v>
      </c>
      <c r="B266">
        <v>642711902</v>
      </c>
      <c r="C266" s="7" t="s">
        <v>48</v>
      </c>
      <c r="D266">
        <v>0</v>
      </c>
      <c r="E266">
        <v>0</v>
      </c>
      <c r="F266">
        <v>1.0338E-5</v>
      </c>
      <c r="G266">
        <v>0</v>
      </c>
    </row>
    <row r="267" spans="1:7" x14ac:dyDescent="0.25">
      <c r="A267">
        <v>266</v>
      </c>
      <c r="B267">
        <v>242500356</v>
      </c>
      <c r="C267" s="7" t="s">
        <v>48</v>
      </c>
      <c r="D267">
        <v>0</v>
      </c>
      <c r="E267">
        <v>0</v>
      </c>
      <c r="F267">
        <v>9.9245199999999993E-6</v>
      </c>
      <c r="G267">
        <v>0</v>
      </c>
    </row>
    <row r="268" spans="1:7" x14ac:dyDescent="0.25">
      <c r="A268">
        <v>267</v>
      </c>
      <c r="B268">
        <v>305998458</v>
      </c>
      <c r="C268" s="7" t="s">
        <v>48</v>
      </c>
      <c r="D268">
        <v>0</v>
      </c>
      <c r="E268">
        <v>0</v>
      </c>
      <c r="F268">
        <v>9.5275399999999992E-6</v>
      </c>
      <c r="G268">
        <v>0</v>
      </c>
    </row>
    <row r="269" spans="1:7" x14ac:dyDescent="0.25">
      <c r="A269">
        <v>268</v>
      </c>
      <c r="B269">
        <v>164264184</v>
      </c>
      <c r="C269" s="7" t="s">
        <v>48</v>
      </c>
      <c r="D269">
        <v>0</v>
      </c>
      <c r="E269">
        <v>0</v>
      </c>
      <c r="F269">
        <v>9.1464299999999998E-6</v>
      </c>
      <c r="G269">
        <v>0</v>
      </c>
    </row>
    <row r="270" spans="1:7" x14ac:dyDescent="0.25">
      <c r="A270">
        <v>269</v>
      </c>
      <c r="B270">
        <v>393914410</v>
      </c>
      <c r="C270" s="7" t="s">
        <v>48</v>
      </c>
      <c r="D270">
        <v>0</v>
      </c>
      <c r="E270">
        <v>0</v>
      </c>
      <c r="F270">
        <v>8.7805800000000006E-6</v>
      </c>
      <c r="G270">
        <v>0</v>
      </c>
    </row>
    <row r="271" spans="1:7" x14ac:dyDescent="0.25">
      <c r="A271">
        <v>270</v>
      </c>
      <c r="B271">
        <v>957277630</v>
      </c>
      <c r="C271" s="7" t="s">
        <v>48</v>
      </c>
      <c r="D271">
        <v>0</v>
      </c>
      <c r="E271">
        <v>0</v>
      </c>
      <c r="F271">
        <v>8.4293499999999992E-6</v>
      </c>
      <c r="G271">
        <v>0</v>
      </c>
    </row>
    <row r="272" spans="1:7" x14ac:dyDescent="0.25">
      <c r="A272">
        <v>271</v>
      </c>
      <c r="B272">
        <v>136554556</v>
      </c>
      <c r="C272" s="7" t="s">
        <v>48</v>
      </c>
      <c r="D272">
        <v>0</v>
      </c>
      <c r="E272">
        <v>0</v>
      </c>
      <c r="F272">
        <v>8.0921800000000005E-6</v>
      </c>
      <c r="G272">
        <v>0</v>
      </c>
    </row>
    <row r="273" spans="1:7" x14ac:dyDescent="0.25">
      <c r="A273">
        <v>272</v>
      </c>
      <c r="B273">
        <v>67101124</v>
      </c>
      <c r="C273" s="7" t="s">
        <v>48</v>
      </c>
      <c r="D273">
        <v>0</v>
      </c>
      <c r="E273">
        <v>0</v>
      </c>
      <c r="F273">
        <v>7.7684899999999995E-6</v>
      </c>
      <c r="G273">
        <v>0</v>
      </c>
    </row>
    <row r="274" spans="1:7" x14ac:dyDescent="0.25">
      <c r="A274">
        <v>273</v>
      </c>
      <c r="B274">
        <v>941588760</v>
      </c>
      <c r="C274" s="7" t="s">
        <v>48</v>
      </c>
      <c r="D274">
        <v>0</v>
      </c>
      <c r="E274">
        <v>0</v>
      </c>
      <c r="F274">
        <v>7.4577499999999999E-6</v>
      </c>
      <c r="G274">
        <v>0</v>
      </c>
    </row>
    <row r="275" spans="1:7" x14ac:dyDescent="0.25">
      <c r="A275">
        <v>274</v>
      </c>
      <c r="B275">
        <v>853037710</v>
      </c>
      <c r="C275" s="7" t="s">
        <v>48</v>
      </c>
      <c r="D275">
        <v>0</v>
      </c>
      <c r="E275">
        <v>0</v>
      </c>
      <c r="F275">
        <v>7.1594399999999998E-6</v>
      </c>
      <c r="G275">
        <v>0</v>
      </c>
    </row>
    <row r="276" spans="1:7" x14ac:dyDescent="0.25">
      <c r="A276">
        <v>275</v>
      </c>
      <c r="B276">
        <v>855320006</v>
      </c>
      <c r="C276" s="7" t="s">
        <v>48</v>
      </c>
      <c r="D276">
        <v>0</v>
      </c>
      <c r="E276">
        <v>0</v>
      </c>
      <c r="F276">
        <v>6.8730600000000001E-6</v>
      </c>
      <c r="G276">
        <v>0</v>
      </c>
    </row>
    <row r="277" spans="1:7" x14ac:dyDescent="0.25">
      <c r="A277">
        <v>276</v>
      </c>
      <c r="B277">
        <v>373438215</v>
      </c>
      <c r="C277" s="7" t="s">
        <v>48</v>
      </c>
      <c r="D277">
        <v>0</v>
      </c>
      <c r="E277">
        <v>0</v>
      </c>
      <c r="F277">
        <v>6.5981399999999998E-6</v>
      </c>
      <c r="G277">
        <v>0</v>
      </c>
    </row>
    <row r="278" spans="1:7" x14ac:dyDescent="0.25">
      <c r="A278">
        <v>277</v>
      </c>
      <c r="B278">
        <v>703776264</v>
      </c>
      <c r="C278" s="7" t="s">
        <v>48</v>
      </c>
      <c r="D278">
        <v>0</v>
      </c>
      <c r="E278">
        <v>0</v>
      </c>
      <c r="F278">
        <v>6.33422E-6</v>
      </c>
      <c r="G278">
        <v>0</v>
      </c>
    </row>
    <row r="279" spans="1:7" x14ac:dyDescent="0.25">
      <c r="A279">
        <v>278</v>
      </c>
      <c r="B279">
        <v>228412864</v>
      </c>
      <c r="C279" s="7" t="s">
        <v>48</v>
      </c>
      <c r="D279">
        <v>0</v>
      </c>
      <c r="E279">
        <v>0</v>
      </c>
      <c r="F279">
        <v>6.0808500000000004E-6</v>
      </c>
      <c r="G279">
        <v>0</v>
      </c>
    </row>
    <row r="280" spans="1:7" x14ac:dyDescent="0.25">
      <c r="A280">
        <v>279</v>
      </c>
      <c r="B280">
        <v>107701386</v>
      </c>
      <c r="C280" s="7" t="s">
        <v>48</v>
      </c>
      <c r="D280">
        <v>0</v>
      </c>
      <c r="E280">
        <v>0</v>
      </c>
      <c r="F280">
        <v>5.8376099999999997E-6</v>
      </c>
      <c r="G280">
        <v>0</v>
      </c>
    </row>
    <row r="281" spans="1:7" x14ac:dyDescent="0.25">
      <c r="A281">
        <v>280</v>
      </c>
      <c r="B281">
        <v>413905273</v>
      </c>
      <c r="C281" s="7" t="s">
        <v>48</v>
      </c>
      <c r="D281">
        <v>0</v>
      </c>
      <c r="E281">
        <v>0</v>
      </c>
      <c r="F281">
        <v>5.6041100000000001E-6</v>
      </c>
      <c r="G281">
        <v>0</v>
      </c>
    </row>
    <row r="282" spans="1:7" x14ac:dyDescent="0.25">
      <c r="A282">
        <v>281</v>
      </c>
      <c r="B282">
        <v>113465216</v>
      </c>
      <c r="C282" s="7" t="s">
        <v>48</v>
      </c>
      <c r="D282">
        <v>0</v>
      </c>
      <c r="E282">
        <v>0</v>
      </c>
      <c r="F282">
        <v>5.3799400000000002E-6</v>
      </c>
      <c r="G282">
        <v>0</v>
      </c>
    </row>
    <row r="283" spans="1:7" x14ac:dyDescent="0.25">
      <c r="A283">
        <v>282</v>
      </c>
      <c r="B283">
        <v>852600574</v>
      </c>
      <c r="C283" s="7" t="s">
        <v>48</v>
      </c>
      <c r="D283">
        <v>0</v>
      </c>
      <c r="E283">
        <v>0</v>
      </c>
      <c r="F283">
        <v>5.16475E-6</v>
      </c>
      <c r="G283">
        <v>0</v>
      </c>
    </row>
    <row r="284" spans="1:7" x14ac:dyDescent="0.25">
      <c r="A284">
        <v>283</v>
      </c>
      <c r="B284">
        <v>739612202</v>
      </c>
      <c r="C284" s="7" t="s">
        <v>48</v>
      </c>
      <c r="D284">
        <v>0</v>
      </c>
      <c r="E284">
        <v>0</v>
      </c>
      <c r="F284">
        <v>4.95816E-6</v>
      </c>
      <c r="G284">
        <v>0</v>
      </c>
    </row>
    <row r="285" spans="1:7" x14ac:dyDescent="0.25">
      <c r="A285">
        <v>284</v>
      </c>
      <c r="B285">
        <v>747501755</v>
      </c>
      <c r="C285" s="7" t="s">
        <v>48</v>
      </c>
      <c r="D285">
        <v>0</v>
      </c>
      <c r="E285">
        <v>0</v>
      </c>
      <c r="F285">
        <v>4.7598300000000001E-6</v>
      </c>
      <c r="G285">
        <v>0</v>
      </c>
    </row>
    <row r="286" spans="1:7" x14ac:dyDescent="0.25">
      <c r="A286">
        <v>285</v>
      </c>
      <c r="B286">
        <v>973567785</v>
      </c>
      <c r="C286" s="7" t="s">
        <v>48</v>
      </c>
      <c r="D286">
        <v>0</v>
      </c>
      <c r="E286">
        <v>0</v>
      </c>
      <c r="F286">
        <v>4.5694400000000001E-6</v>
      </c>
      <c r="G286">
        <v>0</v>
      </c>
    </row>
    <row r="287" spans="1:7" x14ac:dyDescent="0.25">
      <c r="A287">
        <v>286</v>
      </c>
      <c r="B287">
        <v>111207828</v>
      </c>
      <c r="C287" s="7" t="s">
        <v>48</v>
      </c>
      <c r="D287">
        <v>0</v>
      </c>
      <c r="E287">
        <v>0</v>
      </c>
      <c r="F287">
        <v>4.3866599999999996E-6</v>
      </c>
      <c r="G287">
        <v>0</v>
      </c>
    </row>
    <row r="288" spans="1:7" x14ac:dyDescent="0.25">
      <c r="A288">
        <v>287</v>
      </c>
      <c r="B288">
        <v>857755328</v>
      </c>
      <c r="C288" s="7" t="s">
        <v>48</v>
      </c>
      <c r="D288">
        <v>0</v>
      </c>
      <c r="E288">
        <v>0</v>
      </c>
      <c r="F288">
        <v>4.2111899999999997E-6</v>
      </c>
      <c r="G288">
        <v>0</v>
      </c>
    </row>
    <row r="289" spans="1:7" x14ac:dyDescent="0.25">
      <c r="A289">
        <v>288</v>
      </c>
      <c r="B289">
        <v>130901836</v>
      </c>
      <c r="C289" s="7" t="s">
        <v>48</v>
      </c>
      <c r="D289">
        <v>0</v>
      </c>
      <c r="E289">
        <v>0</v>
      </c>
      <c r="F289">
        <v>4.0427500000000004E-6</v>
      </c>
      <c r="G289">
        <v>0</v>
      </c>
    </row>
    <row r="290" spans="1:7" x14ac:dyDescent="0.25">
      <c r="A290">
        <v>289</v>
      </c>
      <c r="B290">
        <v>590750107</v>
      </c>
      <c r="C290" s="7" t="s">
        <v>48</v>
      </c>
      <c r="D290">
        <v>0</v>
      </c>
      <c r="E290">
        <v>0</v>
      </c>
      <c r="F290">
        <v>3.88104E-6</v>
      </c>
      <c r="G290">
        <v>0</v>
      </c>
    </row>
    <row r="291" spans="1:7" x14ac:dyDescent="0.25">
      <c r="A291">
        <v>290</v>
      </c>
      <c r="B291">
        <v>58879684</v>
      </c>
      <c r="C291" s="7" t="s">
        <v>48</v>
      </c>
      <c r="D291">
        <v>0</v>
      </c>
      <c r="E291">
        <v>0</v>
      </c>
      <c r="F291">
        <v>3.7257900000000001E-6</v>
      </c>
      <c r="G291">
        <v>0</v>
      </c>
    </row>
    <row r="292" spans="1:7" x14ac:dyDescent="0.25">
      <c r="A292">
        <v>291</v>
      </c>
      <c r="B292">
        <v>820214217</v>
      </c>
      <c r="C292" s="7" t="s">
        <v>48</v>
      </c>
      <c r="D292">
        <v>0</v>
      </c>
      <c r="E292">
        <v>0</v>
      </c>
      <c r="F292">
        <v>3.57676E-6</v>
      </c>
      <c r="G292">
        <v>0</v>
      </c>
    </row>
    <row r="293" spans="1:7" x14ac:dyDescent="0.25">
      <c r="A293">
        <v>292</v>
      </c>
      <c r="B293">
        <v>496680768</v>
      </c>
      <c r="C293" s="7" t="s">
        <v>48</v>
      </c>
      <c r="D293">
        <v>0</v>
      </c>
      <c r="E293">
        <v>0</v>
      </c>
      <c r="F293">
        <v>3.43369E-6</v>
      </c>
      <c r="G293">
        <v>0</v>
      </c>
    </row>
    <row r="294" spans="1:7" x14ac:dyDescent="0.25">
      <c r="A294">
        <v>293</v>
      </c>
      <c r="B294">
        <v>519724447</v>
      </c>
      <c r="C294" s="7" t="s">
        <v>48</v>
      </c>
      <c r="D294">
        <v>0</v>
      </c>
      <c r="E294">
        <v>0</v>
      </c>
      <c r="F294">
        <v>3.2963399999999999E-6</v>
      </c>
      <c r="G294">
        <v>0</v>
      </c>
    </row>
    <row r="295" spans="1:7" x14ac:dyDescent="0.25">
      <c r="A295">
        <v>294</v>
      </c>
      <c r="B295">
        <v>776334048</v>
      </c>
      <c r="C295" s="7" t="s">
        <v>48</v>
      </c>
      <c r="D295">
        <v>0</v>
      </c>
      <c r="E295">
        <v>0</v>
      </c>
      <c r="F295">
        <v>3.1644900000000001E-6</v>
      </c>
      <c r="G295">
        <v>0</v>
      </c>
    </row>
    <row r="296" spans="1:7" x14ac:dyDescent="0.25">
      <c r="A296">
        <v>295</v>
      </c>
      <c r="B296">
        <v>27969410</v>
      </c>
      <c r="C296" s="7" t="s">
        <v>48</v>
      </c>
      <c r="D296">
        <v>0</v>
      </c>
      <c r="E296">
        <v>0</v>
      </c>
      <c r="F296">
        <v>3.03791E-6</v>
      </c>
      <c r="G296">
        <v>0</v>
      </c>
    </row>
    <row r="297" spans="1:7" x14ac:dyDescent="0.25">
      <c r="A297">
        <v>296</v>
      </c>
      <c r="B297">
        <v>826055033</v>
      </c>
      <c r="C297" s="7" t="s">
        <v>48</v>
      </c>
      <c r="D297">
        <v>0</v>
      </c>
      <c r="E297">
        <v>0</v>
      </c>
      <c r="F297">
        <v>2.9163899999999999E-6</v>
      </c>
      <c r="G297">
        <v>0</v>
      </c>
    </row>
    <row r="298" spans="1:7" x14ac:dyDescent="0.25">
      <c r="A298">
        <v>297</v>
      </c>
      <c r="B298">
        <v>575992358</v>
      </c>
      <c r="C298" s="7" t="s">
        <v>48</v>
      </c>
      <c r="D298">
        <v>0</v>
      </c>
      <c r="E298">
        <v>0</v>
      </c>
      <c r="F298">
        <v>2.7997399999999999E-6</v>
      </c>
      <c r="G298">
        <v>0</v>
      </c>
    </row>
    <row r="299" spans="1:7" x14ac:dyDescent="0.25">
      <c r="A299">
        <v>298</v>
      </c>
      <c r="B299">
        <v>181951422</v>
      </c>
      <c r="C299" s="7" t="s">
        <v>48</v>
      </c>
      <c r="D299">
        <v>0</v>
      </c>
      <c r="E299">
        <v>0</v>
      </c>
      <c r="F299">
        <v>2.6877499999999998E-6</v>
      </c>
      <c r="G299">
        <v>0</v>
      </c>
    </row>
    <row r="300" spans="1:7" x14ac:dyDescent="0.25">
      <c r="A300">
        <v>299</v>
      </c>
      <c r="B300">
        <v>287212904</v>
      </c>
      <c r="C300" s="7" t="s">
        <v>48</v>
      </c>
      <c r="D300">
        <v>0</v>
      </c>
      <c r="E300">
        <v>0</v>
      </c>
      <c r="F300">
        <v>2.5802400000000001E-6</v>
      </c>
      <c r="G300">
        <v>0</v>
      </c>
    </row>
    <row r="301" spans="1:7" x14ac:dyDescent="0.25">
      <c r="A301">
        <v>300</v>
      </c>
      <c r="B301">
        <v>453296175</v>
      </c>
      <c r="C301" s="7" t="s">
        <v>48</v>
      </c>
      <c r="D301">
        <v>0</v>
      </c>
      <c r="E301">
        <v>0</v>
      </c>
      <c r="F301">
        <v>2.4770300000000002E-6</v>
      </c>
      <c r="G301">
        <v>0</v>
      </c>
    </row>
    <row r="302" spans="1:7" x14ac:dyDescent="0.25">
      <c r="A302">
        <v>301</v>
      </c>
      <c r="B302">
        <v>631321981</v>
      </c>
      <c r="C302" s="7" t="s">
        <v>48</v>
      </c>
      <c r="D302">
        <v>0</v>
      </c>
      <c r="E302">
        <v>0</v>
      </c>
      <c r="F302">
        <v>2.3779499999999998E-6</v>
      </c>
      <c r="G302">
        <v>0</v>
      </c>
    </row>
    <row r="303" spans="1:7" x14ac:dyDescent="0.25">
      <c r="A303">
        <v>302</v>
      </c>
      <c r="B303">
        <v>114267695</v>
      </c>
      <c r="C303" s="7" t="s">
        <v>48</v>
      </c>
      <c r="D303">
        <v>0</v>
      </c>
      <c r="E303">
        <v>0</v>
      </c>
      <c r="F303">
        <v>2.28283E-6</v>
      </c>
      <c r="G303">
        <v>0</v>
      </c>
    </row>
    <row r="304" spans="1:7" x14ac:dyDescent="0.25">
      <c r="A304">
        <v>303</v>
      </c>
      <c r="B304">
        <v>879777812</v>
      </c>
      <c r="C304" s="7" t="s">
        <v>48</v>
      </c>
      <c r="D304">
        <v>0</v>
      </c>
      <c r="E304">
        <v>0</v>
      </c>
      <c r="F304">
        <v>2.1915199999999998E-6</v>
      </c>
      <c r="G304">
        <v>0</v>
      </c>
    </row>
    <row r="305" spans="1:7" x14ac:dyDescent="0.25">
      <c r="A305">
        <v>304</v>
      </c>
      <c r="B305">
        <v>353380199</v>
      </c>
      <c r="C305" s="7" t="s">
        <v>48</v>
      </c>
      <c r="D305">
        <v>0</v>
      </c>
      <c r="E305">
        <v>0</v>
      </c>
      <c r="F305">
        <v>2.10386E-6</v>
      </c>
      <c r="G305">
        <v>0</v>
      </c>
    </row>
    <row r="306" spans="1:7" x14ac:dyDescent="0.25">
      <c r="A306">
        <v>305</v>
      </c>
      <c r="B306">
        <v>668603093</v>
      </c>
      <c r="C306" s="7" t="s">
        <v>48</v>
      </c>
      <c r="D306">
        <v>0</v>
      </c>
      <c r="E306">
        <v>0</v>
      </c>
      <c r="F306">
        <v>2.0196999999999999E-6</v>
      </c>
      <c r="G306">
        <v>0</v>
      </c>
    </row>
    <row r="307" spans="1:7" x14ac:dyDescent="0.25">
      <c r="A307">
        <v>306</v>
      </c>
      <c r="B307">
        <v>169657502</v>
      </c>
      <c r="C307" s="7" t="s">
        <v>48</v>
      </c>
      <c r="D307">
        <v>0</v>
      </c>
      <c r="E307">
        <v>0</v>
      </c>
      <c r="F307">
        <v>1.93891E-6</v>
      </c>
      <c r="G307">
        <v>0</v>
      </c>
    </row>
    <row r="308" spans="1:7" x14ac:dyDescent="0.25">
      <c r="A308">
        <v>307</v>
      </c>
      <c r="B308">
        <v>530007217</v>
      </c>
      <c r="C308" s="7" t="s">
        <v>48</v>
      </c>
      <c r="D308">
        <v>0</v>
      </c>
      <c r="E308">
        <v>0</v>
      </c>
      <c r="F308">
        <v>1.86136E-6</v>
      </c>
      <c r="G308">
        <v>0</v>
      </c>
    </row>
    <row r="309" spans="1:7" x14ac:dyDescent="0.25">
      <c r="A309">
        <v>308</v>
      </c>
      <c r="B309">
        <v>43178698</v>
      </c>
      <c r="C309" s="7" t="s">
        <v>48</v>
      </c>
      <c r="D309">
        <v>0</v>
      </c>
      <c r="E309">
        <v>0</v>
      </c>
      <c r="F309">
        <v>1.7869E-6</v>
      </c>
      <c r="G309">
        <v>0</v>
      </c>
    </row>
    <row r="310" spans="1:7" x14ac:dyDescent="0.25">
      <c r="A310">
        <v>309</v>
      </c>
      <c r="B310">
        <v>89221786</v>
      </c>
      <c r="C310" s="7" t="s">
        <v>48</v>
      </c>
      <c r="D310">
        <v>0</v>
      </c>
      <c r="E310">
        <v>0</v>
      </c>
      <c r="F310">
        <v>1.7154299999999999E-6</v>
      </c>
      <c r="G310">
        <v>0</v>
      </c>
    </row>
    <row r="311" spans="1:7" x14ac:dyDescent="0.25">
      <c r="A311">
        <v>310</v>
      </c>
      <c r="B311">
        <v>361570699</v>
      </c>
      <c r="C311" s="7" t="s">
        <v>48</v>
      </c>
      <c r="D311">
        <v>0</v>
      </c>
      <c r="E311">
        <v>0</v>
      </c>
      <c r="F311">
        <v>1.6468099999999999E-6</v>
      </c>
      <c r="G311">
        <v>0</v>
      </c>
    </row>
    <row r="312" spans="1:7" x14ac:dyDescent="0.25">
      <c r="A312">
        <v>311</v>
      </c>
      <c r="B312">
        <v>334193250</v>
      </c>
      <c r="C312" s="7" t="s">
        <v>48</v>
      </c>
      <c r="D312">
        <v>0</v>
      </c>
      <c r="E312">
        <v>0</v>
      </c>
      <c r="F312">
        <v>1.58094E-6</v>
      </c>
      <c r="G312">
        <v>0</v>
      </c>
    </row>
    <row r="313" spans="1:7" x14ac:dyDescent="0.25">
      <c r="A313">
        <v>312</v>
      </c>
      <c r="B313">
        <v>580099953</v>
      </c>
      <c r="C313" s="7" t="s">
        <v>48</v>
      </c>
      <c r="D313">
        <v>0</v>
      </c>
      <c r="E313">
        <v>0</v>
      </c>
      <c r="F313">
        <v>1.5177000000000001E-6</v>
      </c>
      <c r="G313">
        <v>0</v>
      </c>
    </row>
    <row r="314" spans="1:7" x14ac:dyDescent="0.25">
      <c r="A314">
        <v>313</v>
      </c>
      <c r="B314">
        <v>78991511</v>
      </c>
      <c r="C314" s="7" t="s">
        <v>48</v>
      </c>
      <c r="D314">
        <v>0</v>
      </c>
      <c r="E314">
        <v>0</v>
      </c>
      <c r="F314">
        <v>1.4569899999999999E-6</v>
      </c>
      <c r="G314">
        <v>0</v>
      </c>
    </row>
    <row r="315" spans="1:7" x14ac:dyDescent="0.25">
      <c r="A315">
        <v>314</v>
      </c>
      <c r="B315">
        <v>586953022</v>
      </c>
      <c r="C315" s="7" t="s">
        <v>48</v>
      </c>
      <c r="D315">
        <v>0</v>
      </c>
      <c r="E315">
        <v>0</v>
      </c>
      <c r="F315">
        <v>1.3987099999999999E-6</v>
      </c>
      <c r="G315">
        <v>0</v>
      </c>
    </row>
    <row r="316" spans="1:7" x14ac:dyDescent="0.25">
      <c r="A316">
        <v>315</v>
      </c>
      <c r="B316">
        <v>829512702</v>
      </c>
      <c r="C316" s="7" t="s">
        <v>48</v>
      </c>
      <c r="D316">
        <v>0</v>
      </c>
      <c r="E316">
        <v>0</v>
      </c>
      <c r="F316">
        <v>1.34276E-6</v>
      </c>
      <c r="G316">
        <v>0</v>
      </c>
    </row>
    <row r="317" spans="1:7" x14ac:dyDescent="0.25">
      <c r="A317">
        <v>316</v>
      </c>
      <c r="B317">
        <v>613815557</v>
      </c>
      <c r="C317" s="7" t="s">
        <v>48</v>
      </c>
      <c r="D317">
        <v>0</v>
      </c>
      <c r="E317">
        <v>0</v>
      </c>
      <c r="F317">
        <v>1.28905E-6</v>
      </c>
      <c r="G317">
        <v>0</v>
      </c>
    </row>
    <row r="318" spans="1:7" x14ac:dyDescent="0.25">
      <c r="A318">
        <v>317</v>
      </c>
      <c r="B318">
        <v>914405504</v>
      </c>
      <c r="C318" s="7" t="s">
        <v>48</v>
      </c>
      <c r="D318">
        <v>0</v>
      </c>
      <c r="E318">
        <v>0</v>
      </c>
      <c r="F318">
        <v>1.2374899999999999E-6</v>
      </c>
      <c r="G318">
        <v>0</v>
      </c>
    </row>
    <row r="319" spans="1:7" x14ac:dyDescent="0.25">
      <c r="A319">
        <v>318</v>
      </c>
      <c r="B319">
        <v>293035967</v>
      </c>
      <c r="C319" s="7" t="s">
        <v>48</v>
      </c>
      <c r="D319">
        <v>0</v>
      </c>
      <c r="E319">
        <v>0</v>
      </c>
      <c r="F319">
        <v>1.18799E-6</v>
      </c>
      <c r="G319">
        <v>0</v>
      </c>
    </row>
    <row r="320" spans="1:7" x14ac:dyDescent="0.25">
      <c r="A320">
        <v>319</v>
      </c>
      <c r="B320">
        <v>947994935</v>
      </c>
      <c r="C320" s="7" t="s">
        <v>48</v>
      </c>
      <c r="D320">
        <v>0</v>
      </c>
      <c r="E320">
        <v>0</v>
      </c>
      <c r="F320">
        <v>1.1404699999999999E-6</v>
      </c>
      <c r="G320">
        <v>0</v>
      </c>
    </row>
    <row r="321" spans="1:7" x14ac:dyDescent="0.25">
      <c r="A321">
        <v>320</v>
      </c>
      <c r="B321">
        <v>201694033</v>
      </c>
      <c r="C321" s="7" t="s">
        <v>48</v>
      </c>
      <c r="D321">
        <v>0</v>
      </c>
      <c r="E321">
        <v>0</v>
      </c>
      <c r="F321">
        <v>1.09485E-6</v>
      </c>
      <c r="G321">
        <v>0</v>
      </c>
    </row>
    <row r="322" spans="1:7" x14ac:dyDescent="0.25">
      <c r="A322">
        <v>321</v>
      </c>
      <c r="B322">
        <v>289824202</v>
      </c>
      <c r="C322" s="7" t="s">
        <v>48</v>
      </c>
      <c r="D322">
        <v>0</v>
      </c>
      <c r="E322">
        <v>0</v>
      </c>
      <c r="F322">
        <v>1.0510599999999999E-6</v>
      </c>
      <c r="G322">
        <v>0</v>
      </c>
    </row>
    <row r="323" spans="1:7" x14ac:dyDescent="0.25">
      <c r="A323">
        <v>322</v>
      </c>
      <c r="B323">
        <v>138552628</v>
      </c>
      <c r="C323" s="7" t="s">
        <v>48</v>
      </c>
      <c r="D323">
        <v>0</v>
      </c>
      <c r="E323">
        <v>0</v>
      </c>
      <c r="F323">
        <v>1.0090199999999999E-6</v>
      </c>
      <c r="G323">
        <v>0</v>
      </c>
    </row>
    <row r="324" spans="1:7" x14ac:dyDescent="0.25">
      <c r="A324">
        <v>323</v>
      </c>
      <c r="B324">
        <v>26493040</v>
      </c>
      <c r="C324" s="7" t="s">
        <v>48</v>
      </c>
      <c r="D324">
        <v>0</v>
      </c>
      <c r="E324">
        <v>0</v>
      </c>
      <c r="F324">
        <v>9.6865599999999999E-7</v>
      </c>
      <c r="G324">
        <v>0</v>
      </c>
    </row>
    <row r="325" spans="1:7" x14ac:dyDescent="0.25">
      <c r="A325">
        <v>324</v>
      </c>
      <c r="B325">
        <v>552523840</v>
      </c>
      <c r="C325" s="7" t="s">
        <v>48</v>
      </c>
      <c r="D325">
        <v>0</v>
      </c>
      <c r="E325">
        <v>0</v>
      </c>
      <c r="F325">
        <v>9.2991000000000005E-7</v>
      </c>
      <c r="G325">
        <v>0</v>
      </c>
    </row>
    <row r="326" spans="1:7" x14ac:dyDescent="0.25">
      <c r="A326">
        <v>325</v>
      </c>
      <c r="B326">
        <v>772020571</v>
      </c>
      <c r="C326" s="7" t="s">
        <v>48</v>
      </c>
      <c r="D326">
        <v>0</v>
      </c>
      <c r="E326">
        <v>0</v>
      </c>
      <c r="F326">
        <v>8.9271299999999998E-7</v>
      </c>
      <c r="G326">
        <v>0</v>
      </c>
    </row>
    <row r="327" spans="1:7" x14ac:dyDescent="0.25">
      <c r="A327">
        <v>326</v>
      </c>
      <c r="B327">
        <v>323803752</v>
      </c>
      <c r="C327" s="7" t="s">
        <v>48</v>
      </c>
      <c r="D327">
        <v>0</v>
      </c>
      <c r="E327">
        <v>0</v>
      </c>
      <c r="F327">
        <v>8.5700500000000004E-7</v>
      </c>
      <c r="G327">
        <v>0</v>
      </c>
    </row>
    <row r="328" spans="1:7" x14ac:dyDescent="0.25">
      <c r="A328">
        <v>327</v>
      </c>
      <c r="B328">
        <v>764219511</v>
      </c>
      <c r="C328" s="7" t="s">
        <v>48</v>
      </c>
      <c r="D328">
        <v>0</v>
      </c>
      <c r="E328">
        <v>0</v>
      </c>
      <c r="F328">
        <v>8.2272500000000003E-7</v>
      </c>
      <c r="G328">
        <v>0</v>
      </c>
    </row>
    <row r="329" spans="1:7" x14ac:dyDescent="0.25">
      <c r="A329">
        <v>328</v>
      </c>
      <c r="B329">
        <v>544166387</v>
      </c>
      <c r="C329" s="7" t="s">
        <v>48</v>
      </c>
      <c r="D329">
        <v>0</v>
      </c>
      <c r="E329">
        <v>0</v>
      </c>
      <c r="F329">
        <v>7.8981599999999996E-7</v>
      </c>
      <c r="G329">
        <v>0</v>
      </c>
    </row>
    <row r="330" spans="1:7" x14ac:dyDescent="0.25">
      <c r="A330">
        <v>329</v>
      </c>
      <c r="B330">
        <v>848623397</v>
      </c>
      <c r="C330" s="7" t="s">
        <v>48</v>
      </c>
      <c r="D330">
        <v>0</v>
      </c>
      <c r="E330">
        <v>0</v>
      </c>
      <c r="F330">
        <v>7.58223E-7</v>
      </c>
      <c r="G330">
        <v>0</v>
      </c>
    </row>
    <row r="331" spans="1:7" x14ac:dyDescent="0.25">
      <c r="A331">
        <v>330</v>
      </c>
      <c r="B331">
        <v>17130638</v>
      </c>
      <c r="C331" s="7" t="s">
        <v>48</v>
      </c>
      <c r="D331">
        <v>0</v>
      </c>
      <c r="E331">
        <v>0</v>
      </c>
      <c r="F331">
        <v>7.2789399999999999E-7</v>
      </c>
      <c r="G331">
        <v>0</v>
      </c>
    </row>
    <row r="332" spans="1:7" x14ac:dyDescent="0.25">
      <c r="A332">
        <v>331</v>
      </c>
      <c r="B332">
        <v>134623092</v>
      </c>
      <c r="C332" s="7" t="s">
        <v>48</v>
      </c>
      <c r="D332">
        <v>0</v>
      </c>
      <c r="E332">
        <v>0</v>
      </c>
      <c r="F332">
        <v>6.9877800000000001E-7</v>
      </c>
      <c r="G332">
        <v>0</v>
      </c>
    </row>
    <row r="333" spans="1:7" x14ac:dyDescent="0.25">
      <c r="A333">
        <v>332</v>
      </c>
      <c r="B333">
        <v>314548343</v>
      </c>
      <c r="C333" s="7" t="s">
        <v>48</v>
      </c>
      <c r="D333">
        <v>0</v>
      </c>
      <c r="E333">
        <v>0</v>
      </c>
      <c r="F333">
        <v>6.70827E-7</v>
      </c>
      <c r="G333">
        <v>0</v>
      </c>
    </row>
    <row r="334" spans="1:7" x14ac:dyDescent="0.25">
      <c r="A334">
        <v>333</v>
      </c>
      <c r="B334">
        <v>153685163</v>
      </c>
      <c r="C334" s="7" t="s">
        <v>48</v>
      </c>
      <c r="D334">
        <v>0</v>
      </c>
      <c r="E334">
        <v>0</v>
      </c>
      <c r="F334">
        <v>6.4399400000000004E-7</v>
      </c>
      <c r="G334">
        <v>0</v>
      </c>
    </row>
    <row r="335" spans="1:7" x14ac:dyDescent="0.25">
      <c r="A335">
        <v>334</v>
      </c>
      <c r="B335">
        <v>688105255</v>
      </c>
      <c r="C335" s="7" t="s">
        <v>48</v>
      </c>
      <c r="D335">
        <v>0</v>
      </c>
      <c r="E335">
        <v>0</v>
      </c>
      <c r="F335">
        <v>6.1823399999999995E-7</v>
      </c>
      <c r="G335">
        <v>0</v>
      </c>
    </row>
    <row r="336" spans="1:7" x14ac:dyDescent="0.25">
      <c r="A336">
        <v>335</v>
      </c>
      <c r="B336">
        <v>785501945</v>
      </c>
      <c r="C336" s="7" t="s">
        <v>48</v>
      </c>
      <c r="D336">
        <v>0</v>
      </c>
      <c r="E336">
        <v>0</v>
      </c>
      <c r="F336">
        <v>5.9350500000000005E-7</v>
      </c>
      <c r="G336">
        <v>0</v>
      </c>
    </row>
    <row r="337" spans="1:7" x14ac:dyDescent="0.25">
      <c r="A337">
        <v>336</v>
      </c>
      <c r="B337">
        <v>821573238</v>
      </c>
      <c r="C337" s="7" t="s">
        <v>48</v>
      </c>
      <c r="D337">
        <v>0</v>
      </c>
      <c r="E337">
        <v>0</v>
      </c>
      <c r="F337">
        <v>5.6976500000000002E-7</v>
      </c>
      <c r="G337">
        <v>0</v>
      </c>
    </row>
    <row r="338" spans="1:7" x14ac:dyDescent="0.25">
      <c r="A338">
        <v>337</v>
      </c>
      <c r="B338">
        <v>954212337</v>
      </c>
      <c r="C338" s="7" t="s">
        <v>48</v>
      </c>
      <c r="D338">
        <v>0</v>
      </c>
      <c r="E338">
        <v>0</v>
      </c>
      <c r="F338">
        <v>5.4697400000000004E-7</v>
      </c>
      <c r="G338">
        <v>0</v>
      </c>
    </row>
    <row r="339" spans="1:7" x14ac:dyDescent="0.25">
      <c r="A339">
        <v>338</v>
      </c>
      <c r="B339">
        <v>586670474</v>
      </c>
      <c r="C339" s="7" t="s">
        <v>48</v>
      </c>
      <c r="D339">
        <v>0</v>
      </c>
      <c r="E339">
        <v>0</v>
      </c>
      <c r="F339">
        <v>5.2509500000000003E-7</v>
      </c>
      <c r="G339">
        <v>0</v>
      </c>
    </row>
    <row r="340" spans="1:7" x14ac:dyDescent="0.25">
      <c r="A340">
        <v>339</v>
      </c>
      <c r="B340">
        <v>89298551</v>
      </c>
      <c r="C340" s="7" t="s">
        <v>48</v>
      </c>
      <c r="D340">
        <v>0</v>
      </c>
      <c r="E340">
        <v>0</v>
      </c>
      <c r="F340">
        <v>5.0409100000000004E-7</v>
      </c>
      <c r="G340">
        <v>0</v>
      </c>
    </row>
    <row r="341" spans="1:7" x14ac:dyDescent="0.25">
      <c r="A341">
        <v>340</v>
      </c>
      <c r="B341">
        <v>534840130</v>
      </c>
      <c r="C341" s="7" t="s">
        <v>48</v>
      </c>
      <c r="D341">
        <v>0</v>
      </c>
      <c r="E341">
        <v>0</v>
      </c>
      <c r="F341">
        <v>4.8392799999999996E-7</v>
      </c>
      <c r="G341">
        <v>0</v>
      </c>
    </row>
    <row r="342" spans="1:7" x14ac:dyDescent="0.25">
      <c r="A342">
        <v>341</v>
      </c>
      <c r="B342">
        <v>241377480</v>
      </c>
      <c r="C342" s="7" t="s">
        <v>48</v>
      </c>
      <c r="D342">
        <v>0</v>
      </c>
      <c r="E342">
        <v>0</v>
      </c>
      <c r="F342">
        <v>4.6457100000000001E-7</v>
      </c>
      <c r="G342">
        <v>0</v>
      </c>
    </row>
    <row r="343" spans="1:7" x14ac:dyDescent="0.25">
      <c r="A343">
        <v>342</v>
      </c>
      <c r="B343">
        <v>167270613</v>
      </c>
      <c r="C343" s="7" t="s">
        <v>48</v>
      </c>
      <c r="D343">
        <v>0</v>
      </c>
      <c r="E343">
        <v>0</v>
      </c>
      <c r="F343">
        <v>4.4598799999999998E-7</v>
      </c>
      <c r="G343">
        <v>0</v>
      </c>
    </row>
    <row r="344" spans="1:7" x14ac:dyDescent="0.25">
      <c r="A344">
        <v>343</v>
      </c>
      <c r="B344">
        <v>573489589</v>
      </c>
      <c r="C344" s="7" t="s">
        <v>48</v>
      </c>
      <c r="D344">
        <v>0</v>
      </c>
      <c r="E344">
        <v>0</v>
      </c>
      <c r="F344">
        <v>4.2814799999999998E-7</v>
      </c>
      <c r="G344">
        <v>0</v>
      </c>
    </row>
    <row r="345" spans="1:7" x14ac:dyDescent="0.25">
      <c r="A345">
        <v>344</v>
      </c>
      <c r="B345">
        <v>145372314</v>
      </c>
      <c r="C345" s="7" t="s">
        <v>48</v>
      </c>
      <c r="D345">
        <v>0</v>
      </c>
      <c r="E345">
        <v>0</v>
      </c>
      <c r="F345">
        <v>4.1102199999999999E-7</v>
      </c>
      <c r="G345">
        <v>0</v>
      </c>
    </row>
    <row r="346" spans="1:7" x14ac:dyDescent="0.25">
      <c r="A346">
        <v>345</v>
      </c>
      <c r="B346">
        <v>148494787</v>
      </c>
      <c r="C346" s="7" t="s">
        <v>48</v>
      </c>
      <c r="D346">
        <v>0</v>
      </c>
      <c r="E346">
        <v>0</v>
      </c>
      <c r="F346">
        <v>3.9458199999999998E-7</v>
      </c>
      <c r="G346">
        <v>0</v>
      </c>
    </row>
    <row r="347" spans="1:7" x14ac:dyDescent="0.25">
      <c r="A347">
        <v>346</v>
      </c>
      <c r="B347">
        <v>242648219</v>
      </c>
      <c r="C347" s="7" t="s">
        <v>48</v>
      </c>
      <c r="D347">
        <v>0</v>
      </c>
      <c r="E347">
        <v>0</v>
      </c>
      <c r="F347">
        <v>3.7879799999999998E-7</v>
      </c>
      <c r="G347">
        <v>0</v>
      </c>
    </row>
    <row r="348" spans="1:7" x14ac:dyDescent="0.25">
      <c r="A348">
        <v>347</v>
      </c>
      <c r="B348">
        <v>787420277</v>
      </c>
      <c r="C348" s="7" t="s">
        <v>48</v>
      </c>
      <c r="D348">
        <v>0</v>
      </c>
      <c r="E348">
        <v>0</v>
      </c>
      <c r="F348">
        <v>3.63646E-7</v>
      </c>
      <c r="G348">
        <v>0</v>
      </c>
    </row>
    <row r="349" spans="1:7" x14ac:dyDescent="0.25">
      <c r="A349">
        <v>348</v>
      </c>
      <c r="B349">
        <v>931893696</v>
      </c>
      <c r="C349" s="7" t="s">
        <v>48</v>
      </c>
      <c r="D349">
        <v>0</v>
      </c>
      <c r="E349">
        <v>0</v>
      </c>
      <c r="F349">
        <v>3.4910000000000002E-7</v>
      </c>
      <c r="G349">
        <v>0</v>
      </c>
    </row>
    <row r="350" spans="1:7" x14ac:dyDescent="0.25">
      <c r="A350">
        <v>349</v>
      </c>
      <c r="B350">
        <v>374164145</v>
      </c>
      <c r="C350" s="7" t="s">
        <v>48</v>
      </c>
      <c r="D350">
        <v>0</v>
      </c>
      <c r="E350">
        <v>0</v>
      </c>
      <c r="F350">
        <v>3.3513600000000002E-7</v>
      </c>
      <c r="G350">
        <v>0</v>
      </c>
    </row>
    <row r="351" spans="1:7" x14ac:dyDescent="0.25">
      <c r="A351">
        <v>350</v>
      </c>
      <c r="B351">
        <v>928000801</v>
      </c>
      <c r="C351" s="7" t="s">
        <v>48</v>
      </c>
      <c r="D351">
        <v>0</v>
      </c>
      <c r="E351">
        <v>0</v>
      </c>
      <c r="F351">
        <v>3.2173099999999998E-7</v>
      </c>
      <c r="G351">
        <v>0</v>
      </c>
    </row>
    <row r="352" spans="1:7" x14ac:dyDescent="0.25">
      <c r="A352">
        <v>351</v>
      </c>
      <c r="B352">
        <v>264926215</v>
      </c>
      <c r="C352" s="7" t="s">
        <v>48</v>
      </c>
      <c r="D352">
        <v>0</v>
      </c>
      <c r="E352">
        <v>0</v>
      </c>
      <c r="F352">
        <v>3.0886199999999998E-7</v>
      </c>
      <c r="G352">
        <v>0</v>
      </c>
    </row>
    <row r="353" spans="1:7" x14ac:dyDescent="0.25">
      <c r="A353">
        <v>352</v>
      </c>
      <c r="B353">
        <v>219710849</v>
      </c>
      <c r="C353" s="7" t="s">
        <v>48</v>
      </c>
      <c r="D353">
        <v>0</v>
      </c>
      <c r="E353">
        <v>0</v>
      </c>
      <c r="F353">
        <v>2.9650700000000002E-7</v>
      </c>
      <c r="G353">
        <v>0</v>
      </c>
    </row>
    <row r="354" spans="1:7" x14ac:dyDescent="0.25">
      <c r="A354">
        <v>353</v>
      </c>
      <c r="B354">
        <v>64860405</v>
      </c>
      <c r="C354" s="7" t="s">
        <v>48</v>
      </c>
      <c r="D354">
        <v>0</v>
      </c>
      <c r="E354">
        <v>0</v>
      </c>
      <c r="F354">
        <v>2.8464700000000002E-7</v>
      </c>
      <c r="G354">
        <v>0</v>
      </c>
    </row>
    <row r="355" spans="1:7" x14ac:dyDescent="0.25">
      <c r="A355">
        <v>354</v>
      </c>
      <c r="B355">
        <v>913204943</v>
      </c>
      <c r="C355" s="7" t="s">
        <v>48</v>
      </c>
      <c r="D355">
        <v>0</v>
      </c>
      <c r="E355">
        <v>0</v>
      </c>
      <c r="F355">
        <v>2.7326099999999997E-7</v>
      </c>
      <c r="G355">
        <v>0</v>
      </c>
    </row>
    <row r="356" spans="1:7" x14ac:dyDescent="0.25">
      <c r="A356">
        <v>355</v>
      </c>
      <c r="B356">
        <v>918431205</v>
      </c>
      <c r="C356" s="7" t="s">
        <v>48</v>
      </c>
      <c r="D356">
        <v>0</v>
      </c>
      <c r="E356">
        <v>0</v>
      </c>
      <c r="F356">
        <v>2.6233100000000002E-7</v>
      </c>
      <c r="G356">
        <v>0</v>
      </c>
    </row>
    <row r="357" spans="1:7" x14ac:dyDescent="0.25">
      <c r="A357">
        <v>356</v>
      </c>
      <c r="B357">
        <v>382940412</v>
      </c>
      <c r="C357" s="7" t="s">
        <v>48</v>
      </c>
      <c r="D357">
        <v>0</v>
      </c>
      <c r="E357">
        <v>0</v>
      </c>
      <c r="F357">
        <v>2.5183699999999998E-7</v>
      </c>
      <c r="G357">
        <v>0</v>
      </c>
    </row>
    <row r="358" spans="1:7" x14ac:dyDescent="0.25">
      <c r="A358">
        <v>357</v>
      </c>
      <c r="B358">
        <v>496851344</v>
      </c>
      <c r="C358" s="7" t="s">
        <v>48</v>
      </c>
      <c r="D358">
        <v>0</v>
      </c>
      <c r="E358">
        <v>0</v>
      </c>
      <c r="F358">
        <v>2.4176400000000002E-7</v>
      </c>
      <c r="G358">
        <v>0</v>
      </c>
    </row>
    <row r="359" spans="1:7" x14ac:dyDescent="0.25">
      <c r="A359">
        <v>358</v>
      </c>
      <c r="B359">
        <v>189440161</v>
      </c>
      <c r="C359" s="7" t="s">
        <v>48</v>
      </c>
      <c r="D359">
        <v>0</v>
      </c>
      <c r="E359">
        <v>0</v>
      </c>
      <c r="F359">
        <v>2.3209300000000001E-7</v>
      </c>
      <c r="G359">
        <v>0</v>
      </c>
    </row>
    <row r="360" spans="1:7" x14ac:dyDescent="0.25">
      <c r="A360">
        <v>359</v>
      </c>
      <c r="B360">
        <v>817008087</v>
      </c>
      <c r="C360" s="7" t="s">
        <v>48</v>
      </c>
      <c r="D360">
        <v>0</v>
      </c>
      <c r="E360">
        <v>0</v>
      </c>
      <c r="F360">
        <v>2.2280999999999999E-7</v>
      </c>
      <c r="G360">
        <v>0</v>
      </c>
    </row>
    <row r="361" spans="1:7" x14ac:dyDescent="0.25">
      <c r="A361">
        <v>360</v>
      </c>
      <c r="B361">
        <v>709883471</v>
      </c>
      <c r="C361" s="7" t="s">
        <v>48</v>
      </c>
      <c r="D361">
        <v>0</v>
      </c>
      <c r="E361">
        <v>0</v>
      </c>
      <c r="F361">
        <v>2.13897E-7</v>
      </c>
      <c r="G361">
        <v>0</v>
      </c>
    </row>
    <row r="362" spans="1:7" x14ac:dyDescent="0.25">
      <c r="A362">
        <v>361</v>
      </c>
      <c r="B362">
        <v>921828041</v>
      </c>
      <c r="C362" s="7" t="s">
        <v>48</v>
      </c>
      <c r="D362">
        <v>0</v>
      </c>
      <c r="E362">
        <v>0</v>
      </c>
      <c r="F362">
        <v>2.0534100000000001E-7</v>
      </c>
      <c r="G362">
        <v>0</v>
      </c>
    </row>
    <row r="363" spans="1:7" x14ac:dyDescent="0.25">
      <c r="A363">
        <v>362</v>
      </c>
      <c r="B363">
        <v>582853247</v>
      </c>
      <c r="C363" s="7" t="s">
        <v>48</v>
      </c>
      <c r="D363">
        <v>0</v>
      </c>
      <c r="E363">
        <v>0</v>
      </c>
      <c r="F363">
        <v>1.9712799999999999E-7</v>
      </c>
      <c r="G363">
        <v>0</v>
      </c>
    </row>
    <row r="364" spans="1:7" x14ac:dyDescent="0.25">
      <c r="A364">
        <v>363</v>
      </c>
      <c r="B364">
        <v>195169261</v>
      </c>
      <c r="C364" s="7" t="s">
        <v>48</v>
      </c>
      <c r="D364">
        <v>0</v>
      </c>
      <c r="E364">
        <v>0</v>
      </c>
      <c r="F364">
        <v>1.89243E-7</v>
      </c>
      <c r="G364">
        <v>0</v>
      </c>
    </row>
    <row r="365" spans="1:7" x14ac:dyDescent="0.25">
      <c r="A365">
        <v>364</v>
      </c>
      <c r="B365">
        <v>863256402</v>
      </c>
      <c r="C365" s="7" t="s">
        <v>48</v>
      </c>
      <c r="D365">
        <v>0</v>
      </c>
      <c r="E365">
        <v>0</v>
      </c>
      <c r="F365">
        <v>1.8167299999999999E-7</v>
      </c>
      <c r="G365">
        <v>0</v>
      </c>
    </row>
    <row r="366" spans="1:7" x14ac:dyDescent="0.25">
      <c r="A366">
        <v>365</v>
      </c>
      <c r="B366">
        <v>963113104</v>
      </c>
      <c r="C366" s="7" t="s">
        <v>48</v>
      </c>
      <c r="D366">
        <v>0</v>
      </c>
      <c r="E366">
        <v>0</v>
      </c>
      <c r="F366">
        <v>1.7440600000000001E-7</v>
      </c>
      <c r="G366">
        <v>0</v>
      </c>
    </row>
    <row r="367" spans="1:7" x14ac:dyDescent="0.25">
      <c r="A367">
        <v>366</v>
      </c>
      <c r="B367">
        <v>431757026</v>
      </c>
      <c r="C367" s="7" t="s">
        <v>48</v>
      </c>
      <c r="D367">
        <v>0</v>
      </c>
      <c r="E367">
        <v>0</v>
      </c>
      <c r="F367">
        <v>1.6743000000000001E-7</v>
      </c>
      <c r="G367">
        <v>0</v>
      </c>
    </row>
    <row r="368" spans="1:7" x14ac:dyDescent="0.25">
      <c r="A368">
        <v>367</v>
      </c>
      <c r="B368">
        <v>296575919</v>
      </c>
      <c r="C368" s="7" t="s">
        <v>48</v>
      </c>
      <c r="D368">
        <v>0</v>
      </c>
      <c r="E368">
        <v>0</v>
      </c>
      <c r="F368">
        <v>1.6073299999999999E-7</v>
      </c>
      <c r="G368">
        <v>0</v>
      </c>
    </row>
    <row r="369" spans="1:7" x14ac:dyDescent="0.25">
      <c r="A369">
        <v>368</v>
      </c>
      <c r="B369">
        <v>346155792</v>
      </c>
      <c r="C369" s="7" t="s">
        <v>48</v>
      </c>
      <c r="D369">
        <v>0</v>
      </c>
      <c r="E369">
        <v>0</v>
      </c>
      <c r="F369">
        <v>1.54303E-7</v>
      </c>
      <c r="G369">
        <v>0</v>
      </c>
    </row>
    <row r="370" spans="1:7" x14ac:dyDescent="0.25">
      <c r="A370">
        <v>369</v>
      </c>
      <c r="B370">
        <v>105543828</v>
      </c>
      <c r="C370" s="7" t="s">
        <v>48</v>
      </c>
      <c r="D370">
        <v>0</v>
      </c>
      <c r="E370">
        <v>0</v>
      </c>
      <c r="F370">
        <v>1.4813099999999999E-7</v>
      </c>
      <c r="G370">
        <v>0</v>
      </c>
    </row>
    <row r="371" spans="1:7" x14ac:dyDescent="0.25">
      <c r="A371">
        <v>370</v>
      </c>
      <c r="B371">
        <v>205450790</v>
      </c>
      <c r="C371" s="7" t="s">
        <v>48</v>
      </c>
      <c r="D371">
        <v>0</v>
      </c>
      <c r="E371">
        <v>0</v>
      </c>
      <c r="F371">
        <v>1.42206E-7</v>
      </c>
      <c r="G371">
        <v>0</v>
      </c>
    </row>
    <row r="372" spans="1:7" x14ac:dyDescent="0.25">
      <c r="A372">
        <v>371</v>
      </c>
      <c r="B372">
        <v>429783974</v>
      </c>
      <c r="C372" s="7" t="s">
        <v>48</v>
      </c>
      <c r="D372">
        <v>0</v>
      </c>
      <c r="E372">
        <v>0</v>
      </c>
      <c r="F372">
        <v>1.3651800000000001E-7</v>
      </c>
      <c r="G372">
        <v>0</v>
      </c>
    </row>
    <row r="373" spans="1:7" x14ac:dyDescent="0.25">
      <c r="A373">
        <v>372</v>
      </c>
      <c r="B373">
        <v>120832171</v>
      </c>
      <c r="C373" s="7" t="s">
        <v>48</v>
      </c>
      <c r="D373">
        <v>0</v>
      </c>
      <c r="E373">
        <v>0</v>
      </c>
      <c r="F373">
        <v>1.3105700000000001E-7</v>
      </c>
      <c r="G373">
        <v>0</v>
      </c>
    </row>
    <row r="374" spans="1:7" x14ac:dyDescent="0.25">
      <c r="A374">
        <v>373</v>
      </c>
      <c r="B374">
        <v>712127419</v>
      </c>
      <c r="C374" s="7" t="s">
        <v>48</v>
      </c>
      <c r="D374">
        <v>0</v>
      </c>
      <c r="E374">
        <v>0</v>
      </c>
      <c r="F374">
        <v>1.2581499999999999E-7</v>
      </c>
      <c r="G374">
        <v>0</v>
      </c>
    </row>
    <row r="375" spans="1:7" x14ac:dyDescent="0.25">
      <c r="A375">
        <v>374</v>
      </c>
      <c r="B375">
        <v>347477913</v>
      </c>
      <c r="C375" s="7" t="s">
        <v>48</v>
      </c>
      <c r="D375">
        <v>0</v>
      </c>
      <c r="E375">
        <v>0</v>
      </c>
      <c r="F375">
        <v>1.20782E-7</v>
      </c>
      <c r="G375">
        <v>0</v>
      </c>
    </row>
    <row r="376" spans="1:7" x14ac:dyDescent="0.25">
      <c r="A376">
        <v>375</v>
      </c>
      <c r="B376">
        <v>246648460</v>
      </c>
      <c r="C376" s="7" t="s">
        <v>48</v>
      </c>
      <c r="D376">
        <v>0</v>
      </c>
      <c r="E376">
        <v>0</v>
      </c>
      <c r="F376">
        <v>1.15951E-7</v>
      </c>
      <c r="G376">
        <v>0</v>
      </c>
    </row>
    <row r="377" spans="1:7" x14ac:dyDescent="0.25">
      <c r="A377">
        <v>376</v>
      </c>
      <c r="B377">
        <v>517059965</v>
      </c>
      <c r="C377" s="7" t="s">
        <v>48</v>
      </c>
      <c r="D377">
        <v>0</v>
      </c>
      <c r="E377">
        <v>0</v>
      </c>
      <c r="F377">
        <v>1.11313E-7</v>
      </c>
      <c r="G377">
        <v>0</v>
      </c>
    </row>
    <row r="378" spans="1:7" x14ac:dyDescent="0.25">
      <c r="A378">
        <v>377</v>
      </c>
      <c r="B378">
        <v>997470530</v>
      </c>
      <c r="C378" s="7" t="s">
        <v>48</v>
      </c>
      <c r="D378">
        <v>0</v>
      </c>
      <c r="E378">
        <v>0</v>
      </c>
      <c r="F378">
        <v>1.0686000000000001E-7</v>
      </c>
      <c r="G378">
        <v>0</v>
      </c>
    </row>
    <row r="379" spans="1:7" x14ac:dyDescent="0.25">
      <c r="A379">
        <v>378</v>
      </c>
      <c r="B379">
        <v>707032715</v>
      </c>
      <c r="C379" s="7" t="s">
        <v>48</v>
      </c>
      <c r="D379">
        <v>0</v>
      </c>
      <c r="E379">
        <v>0</v>
      </c>
      <c r="F379">
        <v>1.02586E-7</v>
      </c>
      <c r="G379">
        <v>0</v>
      </c>
    </row>
    <row r="380" spans="1:7" x14ac:dyDescent="0.25">
      <c r="A380">
        <v>379</v>
      </c>
      <c r="B380">
        <v>286192731</v>
      </c>
      <c r="C380" s="7" t="s">
        <v>48</v>
      </c>
      <c r="D380">
        <v>0</v>
      </c>
      <c r="E380">
        <v>0</v>
      </c>
      <c r="F380">
        <v>9.8482400000000003E-8</v>
      </c>
      <c r="G380">
        <v>0</v>
      </c>
    </row>
    <row r="381" spans="1:7" x14ac:dyDescent="0.25">
      <c r="A381">
        <v>380</v>
      </c>
      <c r="B381">
        <v>642642507</v>
      </c>
      <c r="C381" s="7" t="s">
        <v>48</v>
      </c>
      <c r="D381">
        <v>0</v>
      </c>
      <c r="E381">
        <v>0</v>
      </c>
      <c r="F381">
        <v>9.4543099999999994E-8</v>
      </c>
      <c r="G381">
        <v>0</v>
      </c>
    </row>
    <row r="382" spans="1:7" x14ac:dyDescent="0.25">
      <c r="A382">
        <v>381</v>
      </c>
      <c r="B382">
        <v>252541533</v>
      </c>
      <c r="C382" s="7" t="s">
        <v>48</v>
      </c>
      <c r="D382">
        <v>0</v>
      </c>
      <c r="E382">
        <v>0</v>
      </c>
      <c r="F382">
        <v>9.0761399999999996E-8</v>
      </c>
      <c r="G382">
        <v>0</v>
      </c>
    </row>
    <row r="383" spans="1:7" x14ac:dyDescent="0.25">
      <c r="A383">
        <v>382</v>
      </c>
      <c r="B383">
        <v>339574670</v>
      </c>
      <c r="C383" s="7" t="s">
        <v>48</v>
      </c>
      <c r="D383">
        <v>0</v>
      </c>
      <c r="E383">
        <v>0</v>
      </c>
      <c r="F383">
        <v>8.7130899999999996E-8</v>
      </c>
      <c r="G383">
        <v>0</v>
      </c>
    </row>
    <row r="384" spans="1:7" x14ac:dyDescent="0.25">
      <c r="A384">
        <v>383</v>
      </c>
      <c r="B384">
        <v>109210196</v>
      </c>
      <c r="C384" s="7" t="s">
        <v>48</v>
      </c>
      <c r="D384">
        <v>0</v>
      </c>
      <c r="E384">
        <v>0</v>
      </c>
      <c r="F384">
        <v>8.3645700000000004E-8</v>
      </c>
      <c r="G384">
        <v>0</v>
      </c>
    </row>
    <row r="385" spans="1:7" x14ac:dyDescent="0.25">
      <c r="A385">
        <v>384</v>
      </c>
      <c r="B385">
        <v>778115495</v>
      </c>
      <c r="C385" s="7" t="s">
        <v>48</v>
      </c>
      <c r="D385">
        <v>0</v>
      </c>
      <c r="E385">
        <v>0</v>
      </c>
      <c r="F385">
        <v>8.0299900000000006E-8</v>
      </c>
      <c r="G385">
        <v>0</v>
      </c>
    </row>
    <row r="386" spans="1:7" x14ac:dyDescent="0.25">
      <c r="A386">
        <v>385</v>
      </c>
      <c r="B386">
        <v>409348478</v>
      </c>
      <c r="C386" s="7" t="s">
        <v>48</v>
      </c>
      <c r="D386">
        <v>0</v>
      </c>
      <c r="E386">
        <v>0</v>
      </c>
      <c r="F386">
        <v>7.7087900000000003E-8</v>
      </c>
      <c r="G386">
        <v>0</v>
      </c>
    </row>
    <row r="387" spans="1:7" x14ac:dyDescent="0.25">
      <c r="A387">
        <v>386</v>
      </c>
      <c r="B387">
        <v>409216068</v>
      </c>
      <c r="C387" s="7" t="s">
        <v>48</v>
      </c>
      <c r="D387">
        <v>0</v>
      </c>
      <c r="E387">
        <v>0</v>
      </c>
      <c r="F387">
        <v>7.4004400000000001E-8</v>
      </c>
      <c r="G387">
        <v>0</v>
      </c>
    </row>
    <row r="388" spans="1:7" x14ac:dyDescent="0.25">
      <c r="A388">
        <v>387</v>
      </c>
      <c r="B388">
        <v>999756168</v>
      </c>
      <c r="C388" s="7" t="s">
        <v>48</v>
      </c>
      <c r="D388">
        <v>0</v>
      </c>
      <c r="E388">
        <v>0</v>
      </c>
      <c r="F388">
        <v>7.1044199999999995E-8</v>
      </c>
      <c r="G388">
        <v>0</v>
      </c>
    </row>
    <row r="389" spans="1:7" x14ac:dyDescent="0.25">
      <c r="A389">
        <v>388</v>
      </c>
      <c r="B389">
        <v>552694014</v>
      </c>
      <c r="C389" s="7" t="s">
        <v>48</v>
      </c>
      <c r="D389">
        <v>0</v>
      </c>
      <c r="E389">
        <v>0</v>
      </c>
      <c r="F389">
        <v>6.8202399999999999E-8</v>
      </c>
      <c r="G389">
        <v>0</v>
      </c>
    </row>
    <row r="390" spans="1:7" x14ac:dyDescent="0.25">
      <c r="A390">
        <v>389</v>
      </c>
      <c r="B390">
        <v>541287964</v>
      </c>
      <c r="C390" s="7" t="s">
        <v>48</v>
      </c>
      <c r="D390">
        <v>0</v>
      </c>
      <c r="E390">
        <v>0</v>
      </c>
      <c r="F390">
        <v>6.5474299999999998E-8</v>
      </c>
      <c r="G390">
        <v>0</v>
      </c>
    </row>
    <row r="391" spans="1:7" x14ac:dyDescent="0.25">
      <c r="A391">
        <v>390</v>
      </c>
      <c r="B391">
        <v>453364300</v>
      </c>
      <c r="C391" s="7" t="s">
        <v>48</v>
      </c>
      <c r="D391">
        <v>0</v>
      </c>
      <c r="E391">
        <v>0</v>
      </c>
      <c r="F391">
        <v>6.2855300000000006E-8</v>
      </c>
      <c r="G391">
        <v>0</v>
      </c>
    </row>
    <row r="392" spans="1:7" x14ac:dyDescent="0.25">
      <c r="A392">
        <v>391</v>
      </c>
      <c r="B392">
        <v>779227039</v>
      </c>
      <c r="C392" s="7" t="s">
        <v>48</v>
      </c>
      <c r="D392">
        <v>0</v>
      </c>
      <c r="E392">
        <v>0</v>
      </c>
      <c r="F392">
        <v>6.0341100000000003E-8</v>
      </c>
      <c r="G392">
        <v>0</v>
      </c>
    </row>
    <row r="393" spans="1:7" x14ac:dyDescent="0.25">
      <c r="A393">
        <v>392</v>
      </c>
      <c r="B393">
        <v>148017212</v>
      </c>
      <c r="C393" s="7" t="s">
        <v>48</v>
      </c>
      <c r="D393">
        <v>0</v>
      </c>
      <c r="E393">
        <v>0</v>
      </c>
      <c r="F393">
        <v>5.79275E-8</v>
      </c>
      <c r="G393">
        <v>0</v>
      </c>
    </row>
    <row r="394" spans="1:7" x14ac:dyDescent="0.25">
      <c r="A394">
        <v>393</v>
      </c>
      <c r="B394">
        <v>987179134</v>
      </c>
      <c r="C394" s="7" t="s">
        <v>48</v>
      </c>
      <c r="D394">
        <v>0</v>
      </c>
      <c r="E394">
        <v>0</v>
      </c>
      <c r="F394">
        <v>5.5610400000000001E-8</v>
      </c>
      <c r="G394">
        <v>0</v>
      </c>
    </row>
    <row r="395" spans="1:7" x14ac:dyDescent="0.25">
      <c r="A395">
        <v>394</v>
      </c>
      <c r="B395">
        <v>180434972</v>
      </c>
      <c r="C395" s="7" t="s">
        <v>48</v>
      </c>
      <c r="D395">
        <v>0</v>
      </c>
      <c r="E395">
        <v>0</v>
      </c>
      <c r="F395">
        <v>5.3385999999999999E-8</v>
      </c>
      <c r="G395">
        <v>0</v>
      </c>
    </row>
    <row r="396" spans="1:7" x14ac:dyDescent="0.25">
      <c r="A396">
        <v>395</v>
      </c>
      <c r="B396">
        <v>74258728</v>
      </c>
      <c r="C396" s="7" t="s">
        <v>48</v>
      </c>
      <c r="D396">
        <v>0</v>
      </c>
      <c r="E396">
        <v>0</v>
      </c>
      <c r="F396">
        <v>5.12505E-8</v>
      </c>
      <c r="G396">
        <v>0</v>
      </c>
    </row>
    <row r="397" spans="1:7" x14ac:dyDescent="0.25">
      <c r="A397">
        <v>396</v>
      </c>
      <c r="B397">
        <v>464333262</v>
      </c>
      <c r="C397" s="7" t="s">
        <v>48</v>
      </c>
      <c r="D397">
        <v>0</v>
      </c>
      <c r="E397">
        <v>0</v>
      </c>
      <c r="F397">
        <v>4.9200499999999998E-8</v>
      </c>
      <c r="G397">
        <v>0</v>
      </c>
    </row>
    <row r="398" spans="1:7" x14ac:dyDescent="0.25">
      <c r="A398">
        <v>397</v>
      </c>
      <c r="B398">
        <v>101181173</v>
      </c>
      <c r="C398" s="7" t="s">
        <v>48</v>
      </c>
      <c r="D398">
        <v>0</v>
      </c>
      <c r="E398">
        <v>0</v>
      </c>
      <c r="F398">
        <v>4.7232500000000003E-8</v>
      </c>
      <c r="G398">
        <v>0</v>
      </c>
    </row>
    <row r="399" spans="1:7" x14ac:dyDescent="0.25">
      <c r="A399">
        <v>398</v>
      </c>
      <c r="B399">
        <v>181233041</v>
      </c>
      <c r="C399" s="7" t="s">
        <v>48</v>
      </c>
      <c r="D399">
        <v>0</v>
      </c>
      <c r="E399">
        <v>0</v>
      </c>
      <c r="F399">
        <v>4.5343200000000002E-8</v>
      </c>
      <c r="G399">
        <v>0</v>
      </c>
    </row>
    <row r="400" spans="1:7" x14ac:dyDescent="0.25">
      <c r="A400">
        <v>399</v>
      </c>
      <c r="B400">
        <v>757583585</v>
      </c>
      <c r="C400" s="7" t="s">
        <v>48</v>
      </c>
      <c r="D400">
        <v>0</v>
      </c>
      <c r="E400">
        <v>0</v>
      </c>
      <c r="F400">
        <v>4.3529499999999999E-8</v>
      </c>
      <c r="G400">
        <v>0</v>
      </c>
    </row>
    <row r="401" spans="1:7" x14ac:dyDescent="0.25">
      <c r="A401">
        <v>400</v>
      </c>
      <c r="B401">
        <v>388104017</v>
      </c>
      <c r="C401" s="7" t="s">
        <v>48</v>
      </c>
      <c r="D401">
        <v>0</v>
      </c>
      <c r="E401">
        <v>0</v>
      </c>
      <c r="F401">
        <v>4.17883E-8</v>
      </c>
      <c r="G401">
        <v>0</v>
      </c>
    </row>
    <row r="402" spans="1:7" x14ac:dyDescent="0.25">
      <c r="A402">
        <v>401</v>
      </c>
      <c r="B402">
        <v>615048719</v>
      </c>
      <c r="C402" s="7" t="s">
        <v>48</v>
      </c>
      <c r="D402">
        <v>0</v>
      </c>
      <c r="E402">
        <v>0</v>
      </c>
      <c r="F402">
        <v>4.0116799999999997E-8</v>
      </c>
      <c r="G402">
        <v>0</v>
      </c>
    </row>
    <row r="403" spans="1:7" x14ac:dyDescent="0.25">
      <c r="A403">
        <v>402</v>
      </c>
      <c r="B403">
        <v>681962565</v>
      </c>
      <c r="C403" s="7" t="s">
        <v>48</v>
      </c>
      <c r="D403">
        <v>0</v>
      </c>
      <c r="E403">
        <v>0</v>
      </c>
      <c r="F403">
        <v>3.85121E-8</v>
      </c>
      <c r="G403">
        <v>0</v>
      </c>
    </row>
    <row r="404" spans="1:7" x14ac:dyDescent="0.25">
      <c r="A404">
        <v>403</v>
      </c>
      <c r="B404">
        <v>533863293</v>
      </c>
      <c r="C404" s="7" t="s">
        <v>48</v>
      </c>
      <c r="D404">
        <v>0</v>
      </c>
      <c r="E404">
        <v>0</v>
      </c>
      <c r="F404">
        <v>3.69716E-8</v>
      </c>
      <c r="G404">
        <v>0</v>
      </c>
    </row>
    <row r="405" spans="1:7" x14ac:dyDescent="0.25">
      <c r="A405">
        <v>404</v>
      </c>
      <c r="B405">
        <v>967843412</v>
      </c>
      <c r="C405" s="7" t="s">
        <v>48</v>
      </c>
      <c r="D405">
        <v>0</v>
      </c>
      <c r="E405">
        <v>0</v>
      </c>
      <c r="F405">
        <v>3.5492700000000003E-8</v>
      </c>
      <c r="G405">
        <v>0</v>
      </c>
    </row>
    <row r="406" spans="1:7" x14ac:dyDescent="0.25">
      <c r="A406">
        <v>405</v>
      </c>
      <c r="B406">
        <v>341320993</v>
      </c>
      <c r="C406" s="7" t="s">
        <v>48</v>
      </c>
      <c r="D406">
        <v>0</v>
      </c>
      <c r="E406">
        <v>0</v>
      </c>
      <c r="F406">
        <v>3.4072999999999997E-8</v>
      </c>
      <c r="G406">
        <v>0</v>
      </c>
    </row>
    <row r="407" spans="1:7" x14ac:dyDescent="0.25">
      <c r="A407">
        <v>406</v>
      </c>
      <c r="B407">
        <v>803839102</v>
      </c>
      <c r="C407" s="7" t="s">
        <v>48</v>
      </c>
      <c r="D407">
        <v>0</v>
      </c>
      <c r="E407">
        <v>0</v>
      </c>
      <c r="F407">
        <v>3.2710099999999999E-8</v>
      </c>
      <c r="G407">
        <v>0</v>
      </c>
    </row>
    <row r="408" spans="1:7" x14ac:dyDescent="0.25">
      <c r="A408">
        <v>407</v>
      </c>
      <c r="B408">
        <v>343360349</v>
      </c>
      <c r="C408" s="7" t="s">
        <v>48</v>
      </c>
      <c r="D408">
        <v>0</v>
      </c>
      <c r="E408">
        <v>0</v>
      </c>
      <c r="F408">
        <v>3.1401700000000003E-8</v>
      </c>
      <c r="G408">
        <v>0</v>
      </c>
    </row>
    <row r="409" spans="1:7" x14ac:dyDescent="0.25">
      <c r="A409">
        <v>408</v>
      </c>
      <c r="B409">
        <v>672092285</v>
      </c>
      <c r="C409" s="7" t="s">
        <v>48</v>
      </c>
      <c r="D409">
        <v>0</v>
      </c>
      <c r="E409">
        <v>0</v>
      </c>
      <c r="F409">
        <v>3.0145600000000002E-8</v>
      </c>
      <c r="G409">
        <v>0</v>
      </c>
    </row>
    <row r="410" spans="1:7" x14ac:dyDescent="0.25">
      <c r="A410">
        <v>409</v>
      </c>
      <c r="B410">
        <v>505585372</v>
      </c>
      <c r="C410" s="7" t="s">
        <v>48</v>
      </c>
      <c r="D410">
        <v>0</v>
      </c>
      <c r="E410">
        <v>0</v>
      </c>
      <c r="F410">
        <v>2.8939799999999999E-8</v>
      </c>
      <c r="G410">
        <v>0</v>
      </c>
    </row>
    <row r="411" spans="1:7" x14ac:dyDescent="0.25">
      <c r="A411">
        <v>410</v>
      </c>
      <c r="B411">
        <v>979223678</v>
      </c>
      <c r="C411" s="7" t="s">
        <v>48</v>
      </c>
      <c r="D411">
        <v>0</v>
      </c>
      <c r="E411">
        <v>0</v>
      </c>
      <c r="F411">
        <v>2.7782200000000001E-8</v>
      </c>
      <c r="G411">
        <v>0</v>
      </c>
    </row>
    <row r="412" spans="1:7" x14ac:dyDescent="0.25">
      <c r="A412">
        <v>411</v>
      </c>
      <c r="B412">
        <v>960136073</v>
      </c>
      <c r="C412" s="7" t="s">
        <v>48</v>
      </c>
      <c r="D412">
        <v>0</v>
      </c>
      <c r="E412">
        <v>0</v>
      </c>
      <c r="F412">
        <v>2.6670899999999999E-8</v>
      </c>
      <c r="G412">
        <v>0</v>
      </c>
    </row>
    <row r="413" spans="1:7" x14ac:dyDescent="0.25">
      <c r="A413">
        <v>412</v>
      </c>
      <c r="B413">
        <v>417411667</v>
      </c>
      <c r="C413" s="7" t="s">
        <v>48</v>
      </c>
      <c r="D413">
        <v>0</v>
      </c>
      <c r="E413">
        <v>0</v>
      </c>
      <c r="F413">
        <v>2.5604100000000001E-8</v>
      </c>
      <c r="G413">
        <v>0</v>
      </c>
    </row>
    <row r="414" spans="1:7" x14ac:dyDescent="0.25">
      <c r="A414">
        <v>413</v>
      </c>
      <c r="B414">
        <v>100485665</v>
      </c>
      <c r="C414" s="7" t="s">
        <v>48</v>
      </c>
      <c r="D414">
        <v>0</v>
      </c>
      <c r="E414">
        <v>0</v>
      </c>
      <c r="F414">
        <v>2.45799E-8</v>
      </c>
      <c r="G414">
        <v>0</v>
      </c>
    </row>
    <row r="415" spans="1:7" x14ac:dyDescent="0.25">
      <c r="A415">
        <v>414</v>
      </c>
      <c r="B415">
        <v>554506727</v>
      </c>
      <c r="C415" s="7" t="s">
        <v>48</v>
      </c>
      <c r="D415">
        <v>0</v>
      </c>
      <c r="E415">
        <v>0</v>
      </c>
      <c r="F415">
        <v>2.35967E-8</v>
      </c>
      <c r="G415">
        <v>0</v>
      </c>
    </row>
    <row r="416" spans="1:7" x14ac:dyDescent="0.25">
      <c r="A416">
        <v>415</v>
      </c>
      <c r="B416">
        <v>402911378</v>
      </c>
      <c r="C416" s="7" t="s">
        <v>48</v>
      </c>
      <c r="D416">
        <v>0</v>
      </c>
      <c r="E416">
        <v>0</v>
      </c>
      <c r="F416">
        <v>2.2652899999999999E-8</v>
      </c>
      <c r="G416">
        <v>0</v>
      </c>
    </row>
    <row r="417" spans="1:7" x14ac:dyDescent="0.25">
      <c r="A417">
        <v>416</v>
      </c>
      <c r="B417">
        <v>753950356</v>
      </c>
      <c r="C417" s="7" t="s">
        <v>48</v>
      </c>
      <c r="D417">
        <v>0</v>
      </c>
      <c r="E417">
        <v>0</v>
      </c>
      <c r="F417">
        <v>2.17467E-8</v>
      </c>
      <c r="G417">
        <v>0</v>
      </c>
    </row>
    <row r="418" spans="1:7" x14ac:dyDescent="0.25">
      <c r="A418">
        <v>417</v>
      </c>
      <c r="B418">
        <v>874565421</v>
      </c>
      <c r="C418" s="7" t="s">
        <v>48</v>
      </c>
      <c r="D418">
        <v>0</v>
      </c>
      <c r="E418">
        <v>0</v>
      </c>
      <c r="F418">
        <v>2.08769E-8</v>
      </c>
      <c r="G418">
        <v>0</v>
      </c>
    </row>
    <row r="419" spans="1:7" x14ac:dyDescent="0.25">
      <c r="A419">
        <v>418</v>
      </c>
      <c r="B419">
        <v>972524948</v>
      </c>
      <c r="C419" s="7" t="s">
        <v>48</v>
      </c>
      <c r="D419">
        <v>0</v>
      </c>
      <c r="E419">
        <v>0</v>
      </c>
      <c r="F419">
        <v>2.0041800000000001E-8</v>
      </c>
      <c r="G419">
        <v>0</v>
      </c>
    </row>
    <row r="420" spans="1:7" x14ac:dyDescent="0.25">
      <c r="A420">
        <v>419</v>
      </c>
      <c r="B420">
        <v>495902099</v>
      </c>
      <c r="C420" s="7" t="s">
        <v>48</v>
      </c>
      <c r="D420">
        <v>0</v>
      </c>
      <c r="E420">
        <v>0</v>
      </c>
      <c r="F420">
        <v>1.9240100000000001E-8</v>
      </c>
      <c r="G420">
        <v>0</v>
      </c>
    </row>
    <row r="421" spans="1:7" x14ac:dyDescent="0.25">
      <c r="A421">
        <v>420</v>
      </c>
      <c r="B421">
        <v>333131467</v>
      </c>
      <c r="C421" s="7" t="s">
        <v>48</v>
      </c>
      <c r="D421">
        <v>0</v>
      </c>
      <c r="E421">
        <v>0</v>
      </c>
      <c r="F421">
        <v>1.84705E-8</v>
      </c>
      <c r="G421">
        <v>0</v>
      </c>
    </row>
    <row r="422" spans="1:7" x14ac:dyDescent="0.25">
      <c r="A422">
        <v>421</v>
      </c>
      <c r="B422">
        <v>653026098</v>
      </c>
      <c r="C422" s="7" t="s">
        <v>48</v>
      </c>
      <c r="D422">
        <v>0</v>
      </c>
      <c r="E422">
        <v>0</v>
      </c>
      <c r="F422">
        <v>1.77317E-8</v>
      </c>
      <c r="G422">
        <v>0</v>
      </c>
    </row>
    <row r="423" spans="1:7" x14ac:dyDescent="0.25">
      <c r="A423">
        <v>422</v>
      </c>
      <c r="B423">
        <v>505412516</v>
      </c>
      <c r="C423" s="7" t="s">
        <v>48</v>
      </c>
      <c r="D423">
        <v>0</v>
      </c>
      <c r="E423">
        <v>0</v>
      </c>
      <c r="F423">
        <v>1.70224E-8</v>
      </c>
      <c r="G423">
        <v>0</v>
      </c>
    </row>
    <row r="424" spans="1:7" x14ac:dyDescent="0.25">
      <c r="A424">
        <v>423</v>
      </c>
      <c r="B424">
        <v>816186026</v>
      </c>
      <c r="C424" s="7" t="s">
        <v>48</v>
      </c>
      <c r="D424">
        <v>0</v>
      </c>
      <c r="E424">
        <v>0</v>
      </c>
      <c r="F424">
        <v>1.6341500000000001E-8</v>
      </c>
      <c r="G424">
        <v>0</v>
      </c>
    </row>
    <row r="425" spans="1:7" x14ac:dyDescent="0.25">
      <c r="A425">
        <v>424</v>
      </c>
      <c r="B425">
        <v>371952423</v>
      </c>
      <c r="C425" s="7" t="s">
        <v>48</v>
      </c>
      <c r="D425">
        <v>0</v>
      </c>
      <c r="E425">
        <v>0</v>
      </c>
      <c r="F425">
        <v>1.5687899999999999E-8</v>
      </c>
      <c r="G425">
        <v>0</v>
      </c>
    </row>
    <row r="426" spans="1:7" x14ac:dyDescent="0.25">
      <c r="A426">
        <v>425</v>
      </c>
      <c r="B426">
        <v>509247036</v>
      </c>
      <c r="C426" s="7" t="s">
        <v>48</v>
      </c>
      <c r="D426">
        <v>0</v>
      </c>
      <c r="E426">
        <v>0</v>
      </c>
      <c r="F426">
        <v>1.5060399999999999E-8</v>
      </c>
      <c r="G426">
        <v>0</v>
      </c>
    </row>
    <row r="427" spans="1:7" x14ac:dyDescent="0.25">
      <c r="A427">
        <v>426</v>
      </c>
      <c r="B427">
        <v>684909644</v>
      </c>
      <c r="C427" s="7" t="s">
        <v>48</v>
      </c>
      <c r="D427">
        <v>0</v>
      </c>
      <c r="E427">
        <v>0</v>
      </c>
      <c r="F427">
        <v>1.4457900000000001E-8</v>
      </c>
      <c r="G427">
        <v>0</v>
      </c>
    </row>
    <row r="428" spans="1:7" x14ac:dyDescent="0.25">
      <c r="A428">
        <v>427</v>
      </c>
      <c r="B428">
        <v>266244777</v>
      </c>
      <c r="C428" s="7" t="s">
        <v>48</v>
      </c>
      <c r="D428">
        <v>0</v>
      </c>
      <c r="E428">
        <v>0</v>
      </c>
      <c r="F428">
        <v>1.3879600000000001E-8</v>
      </c>
      <c r="G428">
        <v>0</v>
      </c>
    </row>
    <row r="429" spans="1:7" x14ac:dyDescent="0.25">
      <c r="A429">
        <v>428</v>
      </c>
      <c r="B429">
        <v>472430546</v>
      </c>
      <c r="C429" s="7" t="s">
        <v>48</v>
      </c>
      <c r="D429">
        <v>0</v>
      </c>
      <c r="E429">
        <v>0</v>
      </c>
      <c r="F429">
        <v>1.3324399999999999E-8</v>
      </c>
      <c r="G429">
        <v>0</v>
      </c>
    </row>
    <row r="430" spans="1:7" x14ac:dyDescent="0.25">
      <c r="A430">
        <v>429</v>
      </c>
      <c r="B430">
        <v>75339336</v>
      </c>
      <c r="C430" s="7" t="s">
        <v>48</v>
      </c>
      <c r="D430">
        <v>0</v>
      </c>
      <c r="E430">
        <v>0</v>
      </c>
      <c r="F430">
        <v>1.2791500000000001E-8</v>
      </c>
      <c r="G430">
        <v>0</v>
      </c>
    </row>
    <row r="431" spans="1:7" x14ac:dyDescent="0.25">
      <c r="A431">
        <v>430</v>
      </c>
      <c r="B431">
        <v>606580838</v>
      </c>
      <c r="C431" s="7" t="s">
        <v>48</v>
      </c>
      <c r="D431">
        <v>0</v>
      </c>
      <c r="E431">
        <v>0</v>
      </c>
      <c r="F431">
        <v>1.2279800000000001E-8</v>
      </c>
      <c r="G431">
        <v>0</v>
      </c>
    </row>
    <row r="432" spans="1:7" x14ac:dyDescent="0.25">
      <c r="A432">
        <v>431</v>
      </c>
      <c r="B432">
        <v>409110375</v>
      </c>
      <c r="C432" s="7" t="s">
        <v>48</v>
      </c>
      <c r="D432">
        <v>0</v>
      </c>
      <c r="E432">
        <v>0</v>
      </c>
      <c r="F432">
        <v>1.17886E-8</v>
      </c>
      <c r="G432">
        <v>0</v>
      </c>
    </row>
    <row r="433" spans="1:7" x14ac:dyDescent="0.25">
      <c r="A433">
        <v>432</v>
      </c>
      <c r="B433">
        <v>755992754</v>
      </c>
      <c r="C433" s="7" t="s">
        <v>48</v>
      </c>
      <c r="D433">
        <v>0</v>
      </c>
      <c r="E433">
        <v>0</v>
      </c>
      <c r="F433">
        <v>1.13171E-8</v>
      </c>
      <c r="G433">
        <v>0</v>
      </c>
    </row>
    <row r="434" spans="1:7" x14ac:dyDescent="0.25">
      <c r="A434">
        <v>433</v>
      </c>
      <c r="B434">
        <v>554247322</v>
      </c>
      <c r="C434" s="7" t="s">
        <v>48</v>
      </c>
      <c r="D434">
        <v>0</v>
      </c>
      <c r="E434">
        <v>0</v>
      </c>
      <c r="F434">
        <v>1.0864400000000001E-8</v>
      </c>
      <c r="G434">
        <v>0</v>
      </c>
    </row>
    <row r="435" spans="1:7" x14ac:dyDescent="0.25">
      <c r="A435">
        <v>434</v>
      </c>
      <c r="B435">
        <v>754713312</v>
      </c>
      <c r="C435" s="7" t="s">
        <v>48</v>
      </c>
      <c r="D435">
        <v>0</v>
      </c>
      <c r="E435">
        <v>0</v>
      </c>
      <c r="F435">
        <v>1.0429800000000001E-8</v>
      </c>
      <c r="G435">
        <v>0</v>
      </c>
    </row>
    <row r="436" spans="1:7" x14ac:dyDescent="0.25">
      <c r="A436">
        <v>435</v>
      </c>
      <c r="B436">
        <v>763846463</v>
      </c>
      <c r="C436" s="7" t="s">
        <v>48</v>
      </c>
      <c r="D436">
        <v>0</v>
      </c>
      <c r="E436">
        <v>0</v>
      </c>
      <c r="F436">
        <v>1.00126E-8</v>
      </c>
      <c r="G436">
        <v>0</v>
      </c>
    </row>
    <row r="437" spans="1:7" x14ac:dyDescent="0.25">
      <c r="A437">
        <v>436</v>
      </c>
      <c r="B437">
        <v>219356870</v>
      </c>
      <c r="C437" s="7" t="s">
        <v>48</v>
      </c>
      <c r="D437">
        <v>0</v>
      </c>
      <c r="E437">
        <v>0</v>
      </c>
      <c r="F437">
        <v>9.6121100000000006E-9</v>
      </c>
      <c r="G437">
        <v>0</v>
      </c>
    </row>
    <row r="438" spans="1:7" x14ac:dyDescent="0.25">
      <c r="A438">
        <v>437</v>
      </c>
      <c r="B438">
        <v>410799490</v>
      </c>
      <c r="C438" s="7" t="s">
        <v>48</v>
      </c>
      <c r="D438">
        <v>0</v>
      </c>
      <c r="E438">
        <v>0</v>
      </c>
      <c r="F438">
        <v>9.2276299999999995E-9</v>
      </c>
      <c r="G438">
        <v>0</v>
      </c>
    </row>
    <row r="439" spans="1:7" x14ac:dyDescent="0.25">
      <c r="A439">
        <v>438</v>
      </c>
      <c r="B439">
        <v>97873848</v>
      </c>
      <c r="C439" s="7" t="s">
        <v>48</v>
      </c>
      <c r="D439">
        <v>0</v>
      </c>
      <c r="E439">
        <v>0</v>
      </c>
      <c r="F439">
        <v>8.8585199999999993E-9</v>
      </c>
      <c r="G439">
        <v>0</v>
      </c>
    </row>
    <row r="440" spans="1:7" x14ac:dyDescent="0.25">
      <c r="A440">
        <v>439</v>
      </c>
      <c r="B440">
        <v>122114084</v>
      </c>
      <c r="C440" s="7" t="s">
        <v>48</v>
      </c>
      <c r="D440">
        <v>0</v>
      </c>
      <c r="E440">
        <v>0</v>
      </c>
      <c r="F440">
        <v>8.5041800000000007E-9</v>
      </c>
      <c r="G440">
        <v>0</v>
      </c>
    </row>
    <row r="441" spans="1:7" x14ac:dyDescent="0.25">
      <c r="A441">
        <v>440</v>
      </c>
      <c r="B441">
        <v>878262718</v>
      </c>
      <c r="C441" s="7" t="s">
        <v>48</v>
      </c>
      <c r="D441">
        <v>0</v>
      </c>
      <c r="E441">
        <v>0</v>
      </c>
      <c r="F441">
        <v>8.1640199999999993E-9</v>
      </c>
      <c r="G441">
        <v>0</v>
      </c>
    </row>
    <row r="442" spans="1:7" x14ac:dyDescent="0.25">
      <c r="A442">
        <v>441</v>
      </c>
      <c r="B442">
        <v>680385536</v>
      </c>
      <c r="C442" s="7" t="s">
        <v>48</v>
      </c>
      <c r="D442">
        <v>0</v>
      </c>
      <c r="E442">
        <v>0</v>
      </c>
      <c r="F442">
        <v>7.8374600000000004E-9</v>
      </c>
      <c r="G442">
        <v>0</v>
      </c>
    </row>
    <row r="443" spans="1:7" x14ac:dyDescent="0.25">
      <c r="A443">
        <v>442</v>
      </c>
      <c r="B443">
        <v>614636719</v>
      </c>
      <c r="C443" s="7" t="s">
        <v>48</v>
      </c>
      <c r="D443">
        <v>0</v>
      </c>
      <c r="E443">
        <v>0</v>
      </c>
      <c r="F443">
        <v>7.5239600000000006E-9</v>
      </c>
      <c r="G443">
        <v>0</v>
      </c>
    </row>
    <row r="444" spans="1:7" x14ac:dyDescent="0.25">
      <c r="A444">
        <v>443</v>
      </c>
      <c r="B444">
        <v>667089082</v>
      </c>
      <c r="C444" s="7" t="s">
        <v>48</v>
      </c>
      <c r="D444">
        <v>0</v>
      </c>
      <c r="E444">
        <v>0</v>
      </c>
      <c r="F444">
        <v>7.2230000000000004E-9</v>
      </c>
      <c r="G444">
        <v>0</v>
      </c>
    </row>
    <row r="445" spans="1:7" x14ac:dyDescent="0.25">
      <c r="A445">
        <v>444</v>
      </c>
      <c r="B445">
        <v>754475882</v>
      </c>
      <c r="C445" s="7" t="s">
        <v>48</v>
      </c>
      <c r="D445">
        <v>0</v>
      </c>
      <c r="E445">
        <v>0</v>
      </c>
      <c r="F445">
        <v>6.9340800000000001E-9</v>
      </c>
      <c r="G445">
        <v>0</v>
      </c>
    </row>
    <row r="446" spans="1:7" x14ac:dyDescent="0.25">
      <c r="A446">
        <v>445</v>
      </c>
      <c r="B446">
        <v>664340012</v>
      </c>
      <c r="C446" s="7" t="s">
        <v>48</v>
      </c>
      <c r="D446">
        <v>0</v>
      </c>
      <c r="E446">
        <v>0</v>
      </c>
      <c r="F446">
        <v>6.6567199999999997E-9</v>
      </c>
      <c r="G446">
        <v>0</v>
      </c>
    </row>
    <row r="447" spans="1:7" x14ac:dyDescent="0.25">
      <c r="A447">
        <v>446</v>
      </c>
      <c r="B447">
        <v>662731058</v>
      </c>
      <c r="C447" s="7" t="s">
        <v>48</v>
      </c>
      <c r="D447">
        <v>0</v>
      </c>
      <c r="E447">
        <v>0</v>
      </c>
      <c r="F447">
        <v>6.39045E-9</v>
      </c>
      <c r="G447">
        <v>0</v>
      </c>
    </row>
    <row r="448" spans="1:7" x14ac:dyDescent="0.25">
      <c r="A448">
        <v>447</v>
      </c>
      <c r="B448">
        <v>608743063</v>
      </c>
      <c r="C448" s="7" t="s">
        <v>48</v>
      </c>
      <c r="D448">
        <v>0</v>
      </c>
      <c r="E448">
        <v>0</v>
      </c>
      <c r="F448">
        <v>6.1348300000000004E-9</v>
      </c>
      <c r="G448">
        <v>0</v>
      </c>
    </row>
    <row r="449" spans="1:7" x14ac:dyDescent="0.25">
      <c r="A449">
        <v>448</v>
      </c>
      <c r="B449">
        <v>319927294</v>
      </c>
      <c r="C449" s="7" t="s">
        <v>48</v>
      </c>
      <c r="D449">
        <v>0</v>
      </c>
      <c r="E449">
        <v>0</v>
      </c>
      <c r="F449">
        <v>5.8894400000000003E-9</v>
      </c>
      <c r="G449">
        <v>0</v>
      </c>
    </row>
    <row r="450" spans="1:7" x14ac:dyDescent="0.25">
      <c r="A450">
        <v>449</v>
      </c>
      <c r="B450">
        <v>399476449</v>
      </c>
      <c r="C450" s="7" t="s">
        <v>48</v>
      </c>
      <c r="D450">
        <v>0</v>
      </c>
      <c r="E450">
        <v>0</v>
      </c>
      <c r="F450">
        <v>5.6538599999999997E-9</v>
      </c>
      <c r="G450">
        <v>0</v>
      </c>
    </row>
    <row r="451" spans="1:7" x14ac:dyDescent="0.25">
      <c r="A451">
        <v>450</v>
      </c>
      <c r="B451">
        <v>823902069</v>
      </c>
      <c r="C451" s="7" t="s">
        <v>48</v>
      </c>
      <c r="D451">
        <v>0</v>
      </c>
      <c r="E451">
        <v>0</v>
      </c>
      <c r="F451">
        <v>5.4277000000000002E-9</v>
      </c>
      <c r="G451">
        <v>0</v>
      </c>
    </row>
    <row r="452" spans="1:7" x14ac:dyDescent="0.25">
      <c r="A452">
        <v>451</v>
      </c>
      <c r="B452">
        <v>503335271</v>
      </c>
      <c r="C452" s="7" t="s">
        <v>48</v>
      </c>
      <c r="D452">
        <v>0</v>
      </c>
      <c r="E452">
        <v>0</v>
      </c>
      <c r="F452">
        <v>5.2106000000000002E-9</v>
      </c>
      <c r="G452">
        <v>0</v>
      </c>
    </row>
    <row r="453" spans="1:7" x14ac:dyDescent="0.25">
      <c r="A453">
        <v>452</v>
      </c>
      <c r="B453">
        <v>499421395</v>
      </c>
      <c r="C453" s="7" t="s">
        <v>48</v>
      </c>
      <c r="D453">
        <v>0</v>
      </c>
      <c r="E453">
        <v>0</v>
      </c>
      <c r="F453">
        <v>5.0021700000000003E-9</v>
      </c>
      <c r="G453">
        <v>0</v>
      </c>
    </row>
    <row r="454" spans="1:7" x14ac:dyDescent="0.25">
      <c r="A454">
        <v>453</v>
      </c>
      <c r="B454">
        <v>112437424</v>
      </c>
      <c r="C454" s="7" t="s">
        <v>48</v>
      </c>
      <c r="D454">
        <v>0</v>
      </c>
      <c r="E454">
        <v>0</v>
      </c>
      <c r="F454">
        <v>4.8020900000000003E-9</v>
      </c>
      <c r="G454">
        <v>0</v>
      </c>
    </row>
    <row r="455" spans="1:7" x14ac:dyDescent="0.25">
      <c r="A455">
        <v>454</v>
      </c>
      <c r="B455">
        <v>690505706</v>
      </c>
      <c r="C455" s="7" t="s">
        <v>48</v>
      </c>
      <c r="D455">
        <v>0</v>
      </c>
      <c r="E455">
        <v>0</v>
      </c>
      <c r="F455">
        <v>4.6099999999999996E-9</v>
      </c>
      <c r="G455">
        <v>0</v>
      </c>
    </row>
    <row r="456" spans="1:7" x14ac:dyDescent="0.25">
      <c r="A456">
        <v>455</v>
      </c>
      <c r="B456">
        <v>217190435</v>
      </c>
      <c r="C456" s="7" t="s">
        <v>48</v>
      </c>
      <c r="D456">
        <v>0</v>
      </c>
      <c r="E456">
        <v>0</v>
      </c>
      <c r="F456">
        <v>4.4256000000000001E-9</v>
      </c>
      <c r="G456">
        <v>0</v>
      </c>
    </row>
    <row r="457" spans="1:7" x14ac:dyDescent="0.25">
      <c r="A457">
        <v>456</v>
      </c>
      <c r="B457">
        <v>216659257</v>
      </c>
      <c r="C457" s="7" t="s">
        <v>48</v>
      </c>
      <c r="D457">
        <v>0</v>
      </c>
      <c r="E457">
        <v>0</v>
      </c>
      <c r="F457">
        <v>4.2485799999999998E-9</v>
      </c>
      <c r="G457">
        <v>0</v>
      </c>
    </row>
    <row r="458" spans="1:7" x14ac:dyDescent="0.25">
      <c r="A458">
        <v>457</v>
      </c>
      <c r="B458">
        <v>928193350</v>
      </c>
      <c r="C458" s="7" t="s">
        <v>48</v>
      </c>
      <c r="D458">
        <v>0</v>
      </c>
      <c r="E458">
        <v>0</v>
      </c>
      <c r="F458">
        <v>4.07863E-9</v>
      </c>
      <c r="G458">
        <v>0</v>
      </c>
    </row>
    <row r="459" spans="1:7" x14ac:dyDescent="0.25">
      <c r="A459">
        <v>458</v>
      </c>
      <c r="B459">
        <v>214032322</v>
      </c>
      <c r="C459" s="7" t="s">
        <v>48</v>
      </c>
      <c r="D459">
        <v>0</v>
      </c>
      <c r="E459">
        <v>0</v>
      </c>
      <c r="F459">
        <v>3.9154899999999997E-9</v>
      </c>
      <c r="G459">
        <v>0</v>
      </c>
    </row>
    <row r="460" spans="1:7" x14ac:dyDescent="0.25">
      <c r="A460">
        <v>459</v>
      </c>
      <c r="B460">
        <v>544625282</v>
      </c>
      <c r="C460" s="7" t="s">
        <v>48</v>
      </c>
      <c r="D460">
        <v>0</v>
      </c>
      <c r="E460">
        <v>0</v>
      </c>
      <c r="F460">
        <v>3.7588699999999999E-9</v>
      </c>
      <c r="G460">
        <v>0</v>
      </c>
    </row>
    <row r="461" spans="1:7" x14ac:dyDescent="0.25">
      <c r="A461">
        <v>460</v>
      </c>
      <c r="B461">
        <v>837644506</v>
      </c>
      <c r="C461" s="7" t="s">
        <v>48</v>
      </c>
      <c r="D461">
        <v>0</v>
      </c>
      <c r="E461">
        <v>0</v>
      </c>
      <c r="F461">
        <v>3.6085199999999999E-9</v>
      </c>
      <c r="G461">
        <v>0</v>
      </c>
    </row>
    <row r="462" spans="1:7" x14ac:dyDescent="0.25">
      <c r="A462">
        <v>461</v>
      </c>
      <c r="B462">
        <v>502279971</v>
      </c>
      <c r="C462" s="7" t="s">
        <v>48</v>
      </c>
      <c r="D462">
        <v>0</v>
      </c>
      <c r="E462">
        <v>0</v>
      </c>
      <c r="F462">
        <v>3.46417E-9</v>
      </c>
      <c r="G462">
        <v>0</v>
      </c>
    </row>
    <row r="463" spans="1:7" x14ac:dyDescent="0.25">
      <c r="A463">
        <v>462</v>
      </c>
      <c r="B463">
        <v>119422827</v>
      </c>
      <c r="C463" s="7" t="s">
        <v>48</v>
      </c>
      <c r="D463">
        <v>0</v>
      </c>
      <c r="E463">
        <v>0</v>
      </c>
      <c r="F463">
        <v>3.3256100000000001E-9</v>
      </c>
      <c r="G463">
        <v>0</v>
      </c>
    </row>
    <row r="464" spans="1:7" x14ac:dyDescent="0.25">
      <c r="A464">
        <v>463</v>
      </c>
      <c r="B464">
        <v>365005252</v>
      </c>
      <c r="C464" s="7" t="s">
        <v>48</v>
      </c>
      <c r="D464">
        <v>0</v>
      </c>
      <c r="E464">
        <v>0</v>
      </c>
      <c r="F464">
        <v>3.1925800000000002E-9</v>
      </c>
      <c r="G464">
        <v>0</v>
      </c>
    </row>
    <row r="465" spans="1:7" x14ac:dyDescent="0.25">
      <c r="A465">
        <v>464</v>
      </c>
      <c r="B465">
        <v>759661178</v>
      </c>
      <c r="C465" s="7" t="s">
        <v>48</v>
      </c>
      <c r="D465">
        <v>0</v>
      </c>
      <c r="E465">
        <v>0</v>
      </c>
      <c r="F465">
        <v>3.0648799999999999E-9</v>
      </c>
      <c r="G465">
        <v>0</v>
      </c>
    </row>
    <row r="466" spans="1:7" x14ac:dyDescent="0.25">
      <c r="A466">
        <v>465</v>
      </c>
      <c r="B466">
        <v>729177729</v>
      </c>
      <c r="C466" s="7" t="s">
        <v>48</v>
      </c>
      <c r="D466">
        <v>0</v>
      </c>
      <c r="E466">
        <v>0</v>
      </c>
      <c r="F466">
        <v>2.9422799999999999E-9</v>
      </c>
      <c r="G466">
        <v>0</v>
      </c>
    </row>
    <row r="467" spans="1:7" x14ac:dyDescent="0.25">
      <c r="A467">
        <v>466</v>
      </c>
      <c r="B467">
        <v>307984075</v>
      </c>
      <c r="C467" s="7" t="s">
        <v>48</v>
      </c>
      <c r="D467">
        <v>0</v>
      </c>
      <c r="E467">
        <v>0</v>
      </c>
      <c r="F467">
        <v>2.8245900000000001E-9</v>
      </c>
      <c r="G467">
        <v>0</v>
      </c>
    </row>
    <row r="468" spans="1:7" x14ac:dyDescent="0.25">
      <c r="A468">
        <v>467</v>
      </c>
      <c r="B468">
        <v>561616936</v>
      </c>
      <c r="C468" s="7" t="s">
        <v>48</v>
      </c>
      <c r="D468">
        <v>0</v>
      </c>
      <c r="E468">
        <v>0</v>
      </c>
      <c r="F468">
        <v>2.7116099999999999E-9</v>
      </c>
      <c r="G468">
        <v>0</v>
      </c>
    </row>
    <row r="469" spans="1:7" x14ac:dyDescent="0.25">
      <c r="A469">
        <v>468</v>
      </c>
      <c r="B469">
        <v>499736493</v>
      </c>
      <c r="C469" s="7" t="s">
        <v>48</v>
      </c>
      <c r="D469">
        <v>0</v>
      </c>
      <c r="E469">
        <v>0</v>
      </c>
      <c r="F469">
        <v>2.6031500000000001E-9</v>
      </c>
      <c r="G469">
        <v>0</v>
      </c>
    </row>
    <row r="470" spans="1:7" x14ac:dyDescent="0.25">
      <c r="A470">
        <v>469</v>
      </c>
      <c r="B470">
        <v>240232293</v>
      </c>
      <c r="C470" s="7" t="s">
        <v>48</v>
      </c>
      <c r="D470">
        <v>0</v>
      </c>
      <c r="E470">
        <v>0</v>
      </c>
      <c r="F470">
        <v>2.4990199999999999E-9</v>
      </c>
      <c r="G470">
        <v>0</v>
      </c>
    </row>
    <row r="471" spans="1:7" x14ac:dyDescent="0.25">
      <c r="A471">
        <v>470</v>
      </c>
      <c r="B471">
        <v>462297772</v>
      </c>
      <c r="C471" s="7" t="s">
        <v>48</v>
      </c>
      <c r="D471">
        <v>0</v>
      </c>
      <c r="E471">
        <v>0</v>
      </c>
      <c r="F471">
        <v>2.3990600000000002E-9</v>
      </c>
      <c r="G471">
        <v>0</v>
      </c>
    </row>
    <row r="472" spans="1:7" x14ac:dyDescent="0.25">
      <c r="A472">
        <v>471</v>
      </c>
      <c r="B472">
        <v>115732100</v>
      </c>
      <c r="C472" s="7" t="s">
        <v>48</v>
      </c>
      <c r="D472">
        <v>0</v>
      </c>
      <c r="E472">
        <v>0</v>
      </c>
      <c r="F472">
        <v>2.3031E-9</v>
      </c>
      <c r="G472">
        <v>0</v>
      </c>
    </row>
    <row r="473" spans="1:7" x14ac:dyDescent="0.25">
      <c r="A473">
        <v>472</v>
      </c>
      <c r="B473">
        <v>652686799</v>
      </c>
      <c r="C473" s="7" t="s">
        <v>48</v>
      </c>
      <c r="D473">
        <v>0</v>
      </c>
      <c r="E473">
        <v>0</v>
      </c>
      <c r="F473">
        <v>2.2109699999999999E-9</v>
      </c>
      <c r="G473">
        <v>0</v>
      </c>
    </row>
    <row r="474" spans="1:7" x14ac:dyDescent="0.25">
      <c r="A474">
        <v>473</v>
      </c>
      <c r="B474">
        <v>153815200</v>
      </c>
      <c r="C474" s="7" t="s">
        <v>48</v>
      </c>
      <c r="D474">
        <v>0</v>
      </c>
      <c r="E474">
        <v>0</v>
      </c>
      <c r="F474">
        <v>2.1225300000000001E-9</v>
      </c>
      <c r="G474">
        <v>0</v>
      </c>
    </row>
    <row r="475" spans="1:7" x14ac:dyDescent="0.25">
      <c r="A475">
        <v>474</v>
      </c>
      <c r="B475">
        <v>139810323</v>
      </c>
      <c r="C475" s="7" t="s">
        <v>48</v>
      </c>
      <c r="D475">
        <v>0</v>
      </c>
      <c r="E475">
        <v>0</v>
      </c>
      <c r="F475">
        <v>2.0376300000000001E-9</v>
      </c>
      <c r="G475">
        <v>0</v>
      </c>
    </row>
    <row r="476" spans="1:7" x14ac:dyDescent="0.25">
      <c r="A476">
        <v>475</v>
      </c>
      <c r="B476">
        <v>240757007</v>
      </c>
      <c r="C476" s="7" t="s">
        <v>48</v>
      </c>
      <c r="D476">
        <v>0</v>
      </c>
      <c r="E476">
        <v>0</v>
      </c>
      <c r="F476">
        <v>1.9561299999999999E-9</v>
      </c>
      <c r="G476">
        <v>0</v>
      </c>
    </row>
    <row r="477" spans="1:7" x14ac:dyDescent="0.25">
      <c r="A477">
        <v>476</v>
      </c>
      <c r="B477">
        <v>799662909</v>
      </c>
      <c r="C477" s="7" t="s">
        <v>48</v>
      </c>
      <c r="D477">
        <v>0</v>
      </c>
      <c r="E477">
        <v>0</v>
      </c>
      <c r="F477">
        <v>1.8778800000000001E-9</v>
      </c>
      <c r="G477">
        <v>0</v>
      </c>
    </row>
    <row r="478" spans="1:7" x14ac:dyDescent="0.25">
      <c r="A478">
        <v>477</v>
      </c>
      <c r="B478">
        <v>991557721</v>
      </c>
      <c r="C478" s="7" t="s">
        <v>48</v>
      </c>
      <c r="D478">
        <v>0</v>
      </c>
      <c r="E478">
        <v>0</v>
      </c>
      <c r="F478">
        <v>1.80277E-9</v>
      </c>
      <c r="G478">
        <v>0</v>
      </c>
    </row>
    <row r="479" spans="1:7" x14ac:dyDescent="0.25">
      <c r="A479">
        <v>478</v>
      </c>
      <c r="B479">
        <v>217483586</v>
      </c>
      <c r="C479" s="7" t="s">
        <v>48</v>
      </c>
      <c r="D479">
        <v>0</v>
      </c>
      <c r="E479">
        <v>0</v>
      </c>
      <c r="F479">
        <v>1.7306600000000001E-9</v>
      </c>
      <c r="G479">
        <v>0</v>
      </c>
    </row>
    <row r="480" spans="1:7" x14ac:dyDescent="0.25">
      <c r="A480">
        <v>479</v>
      </c>
      <c r="B480">
        <v>963542721</v>
      </c>
      <c r="C480" s="7" t="s">
        <v>48</v>
      </c>
      <c r="D480">
        <v>0</v>
      </c>
      <c r="E480">
        <v>0</v>
      </c>
      <c r="F480">
        <v>1.6614299999999999E-9</v>
      </c>
      <c r="G480">
        <v>0</v>
      </c>
    </row>
    <row r="481" spans="1:7" x14ac:dyDescent="0.25">
      <c r="A481">
        <v>480</v>
      </c>
      <c r="B481">
        <v>155945983</v>
      </c>
      <c r="C481" s="7" t="s">
        <v>48</v>
      </c>
      <c r="D481">
        <v>0</v>
      </c>
      <c r="E481">
        <v>0</v>
      </c>
      <c r="F481">
        <v>1.5949699999999999E-9</v>
      </c>
      <c r="G481">
        <v>0</v>
      </c>
    </row>
    <row r="482" spans="1:7" x14ac:dyDescent="0.25">
      <c r="A482">
        <v>481</v>
      </c>
      <c r="B482">
        <v>214775101</v>
      </c>
      <c r="C482" s="7" t="s">
        <v>48</v>
      </c>
      <c r="D482">
        <v>0</v>
      </c>
      <c r="E482">
        <v>0</v>
      </c>
      <c r="F482">
        <v>1.53117E-9</v>
      </c>
      <c r="G482">
        <v>0</v>
      </c>
    </row>
    <row r="483" spans="1:7" x14ac:dyDescent="0.25">
      <c r="A483">
        <v>482</v>
      </c>
      <c r="B483">
        <v>854562422</v>
      </c>
      <c r="C483" s="7" t="s">
        <v>48</v>
      </c>
      <c r="D483">
        <v>0</v>
      </c>
      <c r="E483">
        <v>0</v>
      </c>
      <c r="F483">
        <v>1.4699299999999999E-9</v>
      </c>
      <c r="G483">
        <v>0</v>
      </c>
    </row>
    <row r="484" spans="1:7" x14ac:dyDescent="0.25">
      <c r="A484">
        <v>483</v>
      </c>
      <c r="B484">
        <v>862976925</v>
      </c>
      <c r="C484" s="7" t="s">
        <v>48</v>
      </c>
      <c r="D484">
        <v>0</v>
      </c>
      <c r="E484">
        <v>0</v>
      </c>
      <c r="F484">
        <v>1.4111300000000001E-9</v>
      </c>
      <c r="G484">
        <v>0</v>
      </c>
    </row>
    <row r="485" spans="1:7" x14ac:dyDescent="0.25">
      <c r="A485">
        <v>484</v>
      </c>
      <c r="B485">
        <v>155380542</v>
      </c>
      <c r="C485" s="7" t="s">
        <v>48</v>
      </c>
      <c r="D485">
        <v>0</v>
      </c>
      <c r="E485">
        <v>0</v>
      </c>
      <c r="F485">
        <v>1.3546799999999999E-9</v>
      </c>
      <c r="G485">
        <v>0</v>
      </c>
    </row>
    <row r="486" spans="1:7" x14ac:dyDescent="0.25">
      <c r="A486">
        <v>485</v>
      </c>
      <c r="B486">
        <v>777922170</v>
      </c>
      <c r="C486" s="7" t="s">
        <v>48</v>
      </c>
      <c r="D486">
        <v>0</v>
      </c>
      <c r="E486">
        <v>0</v>
      </c>
      <c r="F486">
        <v>1.3005E-9</v>
      </c>
      <c r="G486">
        <v>0</v>
      </c>
    </row>
    <row r="487" spans="1:7" x14ac:dyDescent="0.25">
      <c r="A487">
        <v>486</v>
      </c>
      <c r="B487">
        <v>573599403</v>
      </c>
      <c r="C487" s="7" t="s">
        <v>48</v>
      </c>
      <c r="D487">
        <v>0</v>
      </c>
      <c r="E487">
        <v>0</v>
      </c>
      <c r="F487">
        <v>1.24848E-9</v>
      </c>
      <c r="G487">
        <v>0</v>
      </c>
    </row>
    <row r="488" spans="1:7" x14ac:dyDescent="0.25">
      <c r="A488">
        <v>487</v>
      </c>
      <c r="B488">
        <v>942678229</v>
      </c>
      <c r="C488" s="7" t="s">
        <v>48</v>
      </c>
      <c r="D488">
        <v>0</v>
      </c>
      <c r="E488">
        <v>0</v>
      </c>
      <c r="F488">
        <v>1.1985400000000001E-9</v>
      </c>
      <c r="G488">
        <v>0</v>
      </c>
    </row>
    <row r="489" spans="1:7" x14ac:dyDescent="0.25">
      <c r="A489">
        <v>488</v>
      </c>
      <c r="B489">
        <v>26070470</v>
      </c>
      <c r="C489" s="7" t="s">
        <v>48</v>
      </c>
      <c r="D489">
        <v>0</v>
      </c>
      <c r="E489">
        <v>0</v>
      </c>
      <c r="F489">
        <v>1.1505999999999999E-9</v>
      </c>
      <c r="G489">
        <v>0</v>
      </c>
    </row>
    <row r="490" spans="1:7" x14ac:dyDescent="0.25">
      <c r="A490">
        <v>489</v>
      </c>
      <c r="B490">
        <v>143261146</v>
      </c>
      <c r="C490" s="7" t="s">
        <v>48</v>
      </c>
      <c r="D490">
        <v>0</v>
      </c>
      <c r="E490">
        <v>0</v>
      </c>
      <c r="F490">
        <v>1.10457E-9</v>
      </c>
      <c r="G490">
        <v>0</v>
      </c>
    </row>
    <row r="491" spans="1:7" x14ac:dyDescent="0.25">
      <c r="A491">
        <v>490</v>
      </c>
      <c r="B491">
        <v>771318741</v>
      </c>
      <c r="C491" s="7" t="s">
        <v>48</v>
      </c>
      <c r="D491">
        <v>0</v>
      </c>
      <c r="E491">
        <v>0</v>
      </c>
      <c r="F491">
        <v>1.0603900000000001E-9</v>
      </c>
      <c r="G491">
        <v>0</v>
      </c>
    </row>
    <row r="492" spans="1:7" x14ac:dyDescent="0.25">
      <c r="A492">
        <v>491</v>
      </c>
      <c r="B492">
        <v>580462080</v>
      </c>
      <c r="C492" s="7" t="s">
        <v>48</v>
      </c>
      <c r="D492">
        <v>0</v>
      </c>
      <c r="E492">
        <v>0</v>
      </c>
      <c r="F492">
        <v>1.0179699999999999E-9</v>
      </c>
      <c r="G492">
        <v>0</v>
      </c>
    </row>
    <row r="493" spans="1:7" x14ac:dyDescent="0.25">
      <c r="A493">
        <v>492</v>
      </c>
      <c r="B493">
        <v>732753108</v>
      </c>
      <c r="C493" s="7" t="s">
        <v>48</v>
      </c>
      <c r="D493">
        <v>0</v>
      </c>
      <c r="E493">
        <v>0</v>
      </c>
      <c r="F493">
        <v>9.7725500000000005E-10</v>
      </c>
      <c r="G493">
        <v>0</v>
      </c>
    </row>
    <row r="494" spans="1:7" x14ac:dyDescent="0.25">
      <c r="A494">
        <v>493</v>
      </c>
      <c r="B494">
        <v>306274132</v>
      </c>
      <c r="C494" s="7" t="s">
        <v>48</v>
      </c>
      <c r="D494">
        <v>0</v>
      </c>
      <c r="E494">
        <v>0</v>
      </c>
      <c r="F494">
        <v>9.3816499999999993E-10</v>
      </c>
      <c r="G494">
        <v>0</v>
      </c>
    </row>
    <row r="495" spans="1:7" x14ac:dyDescent="0.25">
      <c r="A495">
        <v>494</v>
      </c>
      <c r="B495">
        <v>460986768</v>
      </c>
      <c r="C495" s="7" t="s">
        <v>48</v>
      </c>
      <c r="D495">
        <v>0</v>
      </c>
      <c r="E495">
        <v>0</v>
      </c>
      <c r="F495">
        <v>9.0063799999999999E-10</v>
      </c>
      <c r="G495">
        <v>0</v>
      </c>
    </row>
    <row r="496" spans="1:7" x14ac:dyDescent="0.25">
      <c r="A496">
        <v>495</v>
      </c>
      <c r="B496">
        <v>957588513</v>
      </c>
      <c r="C496" s="7" t="s">
        <v>48</v>
      </c>
      <c r="D496">
        <v>0</v>
      </c>
      <c r="E496">
        <v>0</v>
      </c>
      <c r="F496">
        <v>8.64613E-10</v>
      </c>
      <c r="G496">
        <v>0</v>
      </c>
    </row>
    <row r="497" spans="1:7" x14ac:dyDescent="0.25">
      <c r="A497">
        <v>496</v>
      </c>
      <c r="B497">
        <v>679607242</v>
      </c>
      <c r="C497" s="7" t="s">
        <v>48</v>
      </c>
      <c r="D497">
        <v>0</v>
      </c>
      <c r="E497">
        <v>0</v>
      </c>
      <c r="F497">
        <v>8.3002799999999996E-10</v>
      </c>
      <c r="G497">
        <v>0</v>
      </c>
    </row>
    <row r="498" spans="1:7" x14ac:dyDescent="0.25">
      <c r="A498">
        <v>497</v>
      </c>
      <c r="B498">
        <v>966101454</v>
      </c>
      <c r="C498" s="7" t="s">
        <v>48</v>
      </c>
      <c r="D498">
        <v>0</v>
      </c>
      <c r="E498">
        <v>0</v>
      </c>
      <c r="F498">
        <v>7.96827E-10</v>
      </c>
      <c r="G498">
        <v>0</v>
      </c>
    </row>
    <row r="499" spans="1:7" x14ac:dyDescent="0.25">
      <c r="A499">
        <v>498</v>
      </c>
      <c r="B499">
        <v>723897936</v>
      </c>
      <c r="C499" s="7" t="s">
        <v>48</v>
      </c>
      <c r="D499">
        <v>0</v>
      </c>
      <c r="E499">
        <v>0</v>
      </c>
      <c r="F499">
        <v>7.6495399999999996E-10</v>
      </c>
      <c r="G499">
        <v>0</v>
      </c>
    </row>
    <row r="500" spans="1:7" x14ac:dyDescent="0.25">
      <c r="A500">
        <v>499</v>
      </c>
      <c r="B500">
        <v>849490600</v>
      </c>
      <c r="C500" s="7" t="s">
        <v>48</v>
      </c>
      <c r="D500">
        <v>0</v>
      </c>
      <c r="E500">
        <v>0</v>
      </c>
      <c r="F500">
        <v>7.34356E-10</v>
      </c>
      <c r="G500">
        <v>0</v>
      </c>
    </row>
    <row r="501" spans="1:7" x14ac:dyDescent="0.25">
      <c r="A501">
        <v>500</v>
      </c>
      <c r="B501">
        <v>283963449</v>
      </c>
      <c r="C501" s="7" t="s">
        <v>48</v>
      </c>
      <c r="D501">
        <v>0</v>
      </c>
      <c r="E501">
        <v>0</v>
      </c>
      <c r="F501">
        <v>7.04982E-10</v>
      </c>
      <c r="G501">
        <v>0</v>
      </c>
    </row>
    <row r="502" spans="1:7" x14ac:dyDescent="0.25">
      <c r="A502">
        <v>501</v>
      </c>
      <c r="B502">
        <v>262557037</v>
      </c>
      <c r="C502" s="7" t="s">
        <v>48</v>
      </c>
      <c r="D502">
        <v>0</v>
      </c>
      <c r="E502">
        <v>0</v>
      </c>
      <c r="F502">
        <v>6.7678200000000003E-10</v>
      </c>
      <c r="G502">
        <v>0</v>
      </c>
    </row>
    <row r="503" spans="1:7" x14ac:dyDescent="0.25">
      <c r="A503">
        <v>502</v>
      </c>
      <c r="B503">
        <v>224710013</v>
      </c>
      <c r="C503" s="7" t="s">
        <v>48</v>
      </c>
      <c r="D503">
        <v>0</v>
      </c>
      <c r="E503">
        <v>0</v>
      </c>
      <c r="F503">
        <v>6.4971100000000003E-10</v>
      </c>
      <c r="G503">
        <v>0</v>
      </c>
    </row>
    <row r="504" spans="1:7" x14ac:dyDescent="0.25">
      <c r="A504">
        <v>503</v>
      </c>
      <c r="B504">
        <v>682155834</v>
      </c>
      <c r="C504" s="7" t="s">
        <v>48</v>
      </c>
      <c r="D504">
        <v>0</v>
      </c>
      <c r="E504">
        <v>0</v>
      </c>
      <c r="F504">
        <v>6.2372300000000002E-10</v>
      </c>
      <c r="G504">
        <v>0</v>
      </c>
    </row>
    <row r="505" spans="1:7" x14ac:dyDescent="0.25">
      <c r="A505">
        <v>504</v>
      </c>
      <c r="B505">
        <v>94700100</v>
      </c>
      <c r="C505" s="7" t="s">
        <v>48</v>
      </c>
      <c r="D505">
        <v>0</v>
      </c>
      <c r="E505">
        <v>0</v>
      </c>
      <c r="F505">
        <v>5.9877400000000003E-10</v>
      </c>
      <c r="G505">
        <v>0</v>
      </c>
    </row>
    <row r="506" spans="1:7" x14ac:dyDescent="0.25">
      <c r="A506">
        <v>505</v>
      </c>
      <c r="B506">
        <v>454194356</v>
      </c>
      <c r="C506" s="7" t="s">
        <v>48</v>
      </c>
      <c r="D506">
        <v>0</v>
      </c>
      <c r="E506">
        <v>0</v>
      </c>
      <c r="F506">
        <v>5.7482300000000001E-10</v>
      </c>
      <c r="G506">
        <v>0</v>
      </c>
    </row>
    <row r="507" spans="1:7" x14ac:dyDescent="0.25">
      <c r="A507">
        <v>506</v>
      </c>
      <c r="B507">
        <v>154439856</v>
      </c>
      <c r="C507" s="7" t="s">
        <v>48</v>
      </c>
      <c r="D507">
        <v>0</v>
      </c>
      <c r="E507">
        <v>0</v>
      </c>
      <c r="F507">
        <v>5.5183000000000005E-10</v>
      </c>
      <c r="G507">
        <v>0</v>
      </c>
    </row>
    <row r="508" spans="1:7" x14ac:dyDescent="0.25">
      <c r="A508">
        <v>507</v>
      </c>
      <c r="B508">
        <v>653951407</v>
      </c>
      <c r="C508" s="7" t="s">
        <v>48</v>
      </c>
      <c r="D508">
        <v>0</v>
      </c>
      <c r="E508">
        <v>0</v>
      </c>
      <c r="F508">
        <v>5.2975700000000001E-10</v>
      </c>
      <c r="G508">
        <v>0</v>
      </c>
    </row>
    <row r="509" spans="1:7" x14ac:dyDescent="0.25">
      <c r="A509">
        <v>508</v>
      </c>
      <c r="B509">
        <v>690051493</v>
      </c>
      <c r="C509" s="7" t="s">
        <v>48</v>
      </c>
      <c r="D509">
        <v>0</v>
      </c>
      <c r="E509">
        <v>0</v>
      </c>
      <c r="F509">
        <v>5.08566E-10</v>
      </c>
      <c r="G509">
        <v>0</v>
      </c>
    </row>
    <row r="510" spans="1:7" x14ac:dyDescent="0.25">
      <c r="A510">
        <v>509</v>
      </c>
      <c r="B510">
        <v>936972540</v>
      </c>
      <c r="C510" s="7" t="s">
        <v>48</v>
      </c>
      <c r="D510">
        <v>0</v>
      </c>
      <c r="E510">
        <v>0</v>
      </c>
      <c r="F510">
        <v>4.8822400000000003E-10</v>
      </c>
      <c r="G510">
        <v>0</v>
      </c>
    </row>
    <row r="511" spans="1:7" x14ac:dyDescent="0.25">
      <c r="A511">
        <v>510</v>
      </c>
      <c r="B511">
        <v>831486472</v>
      </c>
      <c r="C511" s="7" t="s">
        <v>48</v>
      </c>
      <c r="D511">
        <v>0</v>
      </c>
      <c r="E511">
        <v>0</v>
      </c>
      <c r="F511">
        <v>4.68695E-10</v>
      </c>
      <c r="G511">
        <v>0</v>
      </c>
    </row>
    <row r="512" spans="1:7" x14ac:dyDescent="0.25">
      <c r="A512">
        <v>511</v>
      </c>
      <c r="B512">
        <v>42920728</v>
      </c>
      <c r="C512" s="7" t="s">
        <v>48</v>
      </c>
      <c r="D512">
        <v>0</v>
      </c>
      <c r="E512">
        <v>0</v>
      </c>
      <c r="F512">
        <v>4.4994700000000001E-10</v>
      </c>
      <c r="G512">
        <v>0</v>
      </c>
    </row>
    <row r="513" spans="1:7" x14ac:dyDescent="0.25">
      <c r="A513">
        <v>512</v>
      </c>
      <c r="B513">
        <v>666336386</v>
      </c>
      <c r="C513" s="7" t="s">
        <v>48</v>
      </c>
      <c r="D513">
        <v>0</v>
      </c>
      <c r="E513">
        <v>0</v>
      </c>
      <c r="F513">
        <v>4.3194899999999998E-10</v>
      </c>
      <c r="G513">
        <v>0</v>
      </c>
    </row>
    <row r="514" spans="1:7" x14ac:dyDescent="0.25">
      <c r="A514">
        <v>513</v>
      </c>
      <c r="B514">
        <v>172042607</v>
      </c>
      <c r="C514" s="7" t="s">
        <v>48</v>
      </c>
      <c r="D514">
        <v>0</v>
      </c>
      <c r="E514">
        <v>0</v>
      </c>
      <c r="F514">
        <v>4.1467099999999998E-10</v>
      </c>
      <c r="G514">
        <v>0</v>
      </c>
    </row>
    <row r="515" spans="1:7" x14ac:dyDescent="0.25">
      <c r="A515">
        <v>514</v>
      </c>
      <c r="B515">
        <v>184679498</v>
      </c>
      <c r="C515" s="7" t="s">
        <v>48</v>
      </c>
      <c r="D515">
        <v>0</v>
      </c>
      <c r="E515">
        <v>0</v>
      </c>
      <c r="F515">
        <v>3.9808400000000002E-10</v>
      </c>
      <c r="G515">
        <v>0</v>
      </c>
    </row>
    <row r="516" spans="1:7" x14ac:dyDescent="0.25">
      <c r="A516">
        <v>515</v>
      </c>
      <c r="B516">
        <v>494247720</v>
      </c>
      <c r="C516" s="7" t="s">
        <v>48</v>
      </c>
      <c r="D516">
        <v>0</v>
      </c>
      <c r="E516">
        <v>0</v>
      </c>
      <c r="F516">
        <v>3.8216100000000001E-10</v>
      </c>
      <c r="G516">
        <v>0</v>
      </c>
    </row>
    <row r="517" spans="1:7" x14ac:dyDescent="0.25">
      <c r="A517">
        <v>516</v>
      </c>
      <c r="B517">
        <v>236952320</v>
      </c>
      <c r="C517" s="7" t="s">
        <v>48</v>
      </c>
      <c r="D517">
        <v>0</v>
      </c>
      <c r="E517">
        <v>0</v>
      </c>
      <c r="F517">
        <v>3.6687499999999999E-10</v>
      </c>
      <c r="G517">
        <v>0</v>
      </c>
    </row>
    <row r="518" spans="1:7" x14ac:dyDescent="0.25">
      <c r="A518">
        <v>517</v>
      </c>
      <c r="B518">
        <v>242745223</v>
      </c>
      <c r="C518" s="7" t="s">
        <v>48</v>
      </c>
      <c r="D518">
        <v>0</v>
      </c>
      <c r="E518">
        <v>0</v>
      </c>
      <c r="F518">
        <v>3.5219999999999998E-10</v>
      </c>
      <c r="G518">
        <v>0</v>
      </c>
    </row>
    <row r="519" spans="1:7" x14ac:dyDescent="0.25">
      <c r="A519">
        <v>518</v>
      </c>
      <c r="B519">
        <v>764888647</v>
      </c>
      <c r="C519" s="7" t="s">
        <v>48</v>
      </c>
      <c r="D519">
        <v>0</v>
      </c>
      <c r="E519">
        <v>0</v>
      </c>
      <c r="F519">
        <v>3.38112E-10</v>
      </c>
      <c r="G519">
        <v>0</v>
      </c>
    </row>
    <row r="520" spans="1:7" x14ac:dyDescent="0.25">
      <c r="A520">
        <v>519</v>
      </c>
      <c r="B520">
        <v>724807039</v>
      </c>
      <c r="C520" s="7" t="s">
        <v>48</v>
      </c>
      <c r="D520">
        <v>0</v>
      </c>
      <c r="E520">
        <v>0</v>
      </c>
      <c r="F520">
        <v>3.2458699999999999E-10</v>
      </c>
      <c r="G520">
        <v>0</v>
      </c>
    </row>
    <row r="521" spans="1:7" x14ac:dyDescent="0.25">
      <c r="A521">
        <v>520</v>
      </c>
      <c r="B521">
        <v>230556942</v>
      </c>
      <c r="C521" s="7" t="s">
        <v>48</v>
      </c>
      <c r="D521">
        <v>0</v>
      </c>
      <c r="E521">
        <v>0</v>
      </c>
      <c r="F521">
        <v>3.1160400000000002E-10</v>
      </c>
      <c r="G521">
        <v>0</v>
      </c>
    </row>
    <row r="522" spans="1:7" x14ac:dyDescent="0.25">
      <c r="A522">
        <v>521</v>
      </c>
      <c r="B522">
        <v>732193093</v>
      </c>
      <c r="C522" s="7" t="s">
        <v>48</v>
      </c>
      <c r="D522">
        <v>0</v>
      </c>
      <c r="E522">
        <v>0</v>
      </c>
      <c r="F522">
        <v>2.99139E-10</v>
      </c>
      <c r="G522">
        <v>0</v>
      </c>
    </row>
    <row r="523" spans="1:7" x14ac:dyDescent="0.25">
      <c r="A523">
        <v>522</v>
      </c>
      <c r="B523">
        <v>858471147</v>
      </c>
      <c r="C523" s="7" t="s">
        <v>48</v>
      </c>
      <c r="D523">
        <v>0</v>
      </c>
      <c r="E523">
        <v>0</v>
      </c>
      <c r="F523">
        <v>2.8717399999999998E-10</v>
      </c>
      <c r="G523">
        <v>0</v>
      </c>
    </row>
    <row r="524" spans="1:7" x14ac:dyDescent="0.25">
      <c r="A524">
        <v>523</v>
      </c>
      <c r="B524">
        <v>513162854</v>
      </c>
      <c r="C524" s="7" t="s">
        <v>48</v>
      </c>
      <c r="D524">
        <v>0</v>
      </c>
      <c r="E524">
        <v>0</v>
      </c>
      <c r="F524">
        <v>2.7568699999999998E-10</v>
      </c>
      <c r="G524">
        <v>0</v>
      </c>
    </row>
    <row r="525" spans="1:7" x14ac:dyDescent="0.25">
      <c r="A525">
        <v>524</v>
      </c>
      <c r="B525">
        <v>243851301</v>
      </c>
      <c r="C525" s="7" t="s">
        <v>48</v>
      </c>
      <c r="D525">
        <v>0</v>
      </c>
      <c r="E525">
        <v>0</v>
      </c>
      <c r="F525">
        <v>2.6465899999999999E-10</v>
      </c>
      <c r="G525">
        <v>0</v>
      </c>
    </row>
    <row r="526" spans="1:7" x14ac:dyDescent="0.25">
      <c r="A526">
        <v>525</v>
      </c>
      <c r="B526">
        <v>205104923</v>
      </c>
      <c r="C526" s="7" t="s">
        <v>48</v>
      </c>
      <c r="D526">
        <v>0</v>
      </c>
      <c r="E526">
        <v>0</v>
      </c>
      <c r="F526">
        <v>2.5407300000000001E-10</v>
      </c>
      <c r="G526">
        <v>0</v>
      </c>
    </row>
    <row r="527" spans="1:7" x14ac:dyDescent="0.25">
      <c r="A527">
        <v>526</v>
      </c>
      <c r="B527">
        <v>392499222</v>
      </c>
      <c r="C527" s="7" t="s">
        <v>48</v>
      </c>
      <c r="D527">
        <v>0</v>
      </c>
      <c r="E527">
        <v>0</v>
      </c>
      <c r="F527">
        <v>2.4390999999999999E-10</v>
      </c>
      <c r="G527">
        <v>0</v>
      </c>
    </row>
    <row r="528" spans="1:7" x14ac:dyDescent="0.25">
      <c r="A528">
        <v>527</v>
      </c>
      <c r="B528">
        <v>299966278</v>
      </c>
      <c r="C528" s="7" t="s">
        <v>48</v>
      </c>
      <c r="D528">
        <v>0</v>
      </c>
      <c r="E528">
        <v>0</v>
      </c>
      <c r="F528">
        <v>2.34154E-10</v>
      </c>
      <c r="G528">
        <v>0</v>
      </c>
    </row>
    <row r="529" spans="1:7" x14ac:dyDescent="0.25">
      <c r="A529">
        <v>528</v>
      </c>
      <c r="B529">
        <v>73289958</v>
      </c>
      <c r="C529" s="7" t="s">
        <v>48</v>
      </c>
      <c r="D529">
        <v>0</v>
      </c>
      <c r="E529">
        <v>0</v>
      </c>
      <c r="F529">
        <v>2.2478799999999999E-10</v>
      </c>
      <c r="G529">
        <v>0</v>
      </c>
    </row>
    <row r="530" spans="1:7" x14ac:dyDescent="0.25">
      <c r="A530">
        <v>529</v>
      </c>
      <c r="B530">
        <v>894240782</v>
      </c>
      <c r="C530" s="7" t="s">
        <v>48</v>
      </c>
      <c r="D530">
        <v>0</v>
      </c>
      <c r="E530">
        <v>0</v>
      </c>
      <c r="F530">
        <v>2.1579600000000001E-10</v>
      </c>
      <c r="G530">
        <v>0</v>
      </c>
    </row>
    <row r="531" spans="1:7" x14ac:dyDescent="0.25">
      <c r="A531">
        <v>530</v>
      </c>
      <c r="B531">
        <v>20219139</v>
      </c>
      <c r="C531" s="7" t="s">
        <v>48</v>
      </c>
      <c r="D531">
        <v>0</v>
      </c>
      <c r="E531">
        <v>0</v>
      </c>
      <c r="F531">
        <v>2.0716399999999999E-10</v>
      </c>
      <c r="G531">
        <v>0</v>
      </c>
    </row>
    <row r="532" spans="1:7" x14ac:dyDescent="0.25">
      <c r="A532">
        <v>531</v>
      </c>
      <c r="B532">
        <v>163730078</v>
      </c>
      <c r="C532" s="7" t="s">
        <v>48</v>
      </c>
      <c r="D532">
        <v>0</v>
      </c>
      <c r="E532">
        <v>0</v>
      </c>
      <c r="F532">
        <v>1.98878E-10</v>
      </c>
      <c r="G532">
        <v>0</v>
      </c>
    </row>
    <row r="533" spans="1:7" x14ac:dyDescent="0.25">
      <c r="A533">
        <v>532</v>
      </c>
      <c r="B533">
        <v>423895455</v>
      </c>
      <c r="C533" s="7" t="s">
        <v>48</v>
      </c>
      <c r="D533">
        <v>0</v>
      </c>
      <c r="E533">
        <v>0</v>
      </c>
      <c r="F533">
        <v>1.90923E-10</v>
      </c>
      <c r="G533">
        <v>0</v>
      </c>
    </row>
    <row r="534" spans="1:7" x14ac:dyDescent="0.25">
      <c r="A534">
        <v>533</v>
      </c>
      <c r="B534">
        <v>835631296</v>
      </c>
      <c r="C534" s="7" t="s">
        <v>48</v>
      </c>
      <c r="D534">
        <v>0</v>
      </c>
      <c r="E534">
        <v>0</v>
      </c>
      <c r="F534">
        <v>1.8328600000000001E-10</v>
      </c>
      <c r="G534">
        <v>0</v>
      </c>
    </row>
    <row r="535" spans="1:7" x14ac:dyDescent="0.25">
      <c r="A535">
        <v>534</v>
      </c>
      <c r="B535">
        <v>654858300</v>
      </c>
      <c r="C535" s="7" t="s">
        <v>48</v>
      </c>
      <c r="D535">
        <v>0</v>
      </c>
      <c r="E535">
        <v>0</v>
      </c>
      <c r="F535">
        <v>1.7595400000000001E-10</v>
      </c>
      <c r="G535">
        <v>0</v>
      </c>
    </row>
    <row r="536" spans="1:7" x14ac:dyDescent="0.25">
      <c r="A536">
        <v>535</v>
      </c>
      <c r="B536">
        <v>833074052</v>
      </c>
      <c r="C536" s="7" t="s">
        <v>48</v>
      </c>
      <c r="D536">
        <v>0</v>
      </c>
      <c r="E536">
        <v>0</v>
      </c>
      <c r="F536">
        <v>1.6891599999999999E-10</v>
      </c>
      <c r="G536">
        <v>0</v>
      </c>
    </row>
    <row r="537" spans="1:7" x14ac:dyDescent="0.25">
      <c r="A537">
        <v>536</v>
      </c>
      <c r="B537">
        <v>703504162</v>
      </c>
      <c r="C537" s="7" t="s">
        <v>48</v>
      </c>
      <c r="D537">
        <v>0</v>
      </c>
      <c r="E537">
        <v>0</v>
      </c>
      <c r="F537">
        <v>1.62159E-10</v>
      </c>
      <c r="G537">
        <v>0</v>
      </c>
    </row>
    <row r="538" spans="1:7" x14ac:dyDescent="0.25">
      <c r="A538">
        <v>537</v>
      </c>
      <c r="B538">
        <v>57864621</v>
      </c>
      <c r="C538" s="7" t="s">
        <v>48</v>
      </c>
      <c r="D538">
        <v>0</v>
      </c>
      <c r="E538">
        <v>0</v>
      </c>
      <c r="F538">
        <v>1.5567299999999999E-10</v>
      </c>
      <c r="G538">
        <v>0</v>
      </c>
    </row>
    <row r="539" spans="1:7" x14ac:dyDescent="0.25">
      <c r="A539">
        <v>538</v>
      </c>
      <c r="B539">
        <v>652601678</v>
      </c>
      <c r="C539" s="7" t="s">
        <v>48</v>
      </c>
      <c r="D539">
        <v>0</v>
      </c>
      <c r="E539">
        <v>0</v>
      </c>
      <c r="F539">
        <v>1.49446E-10</v>
      </c>
      <c r="G539">
        <v>0</v>
      </c>
    </row>
    <row r="540" spans="1:7" x14ac:dyDescent="0.25">
      <c r="A540">
        <v>539</v>
      </c>
      <c r="B540">
        <v>374604819</v>
      </c>
      <c r="C540" s="7" t="s">
        <v>48</v>
      </c>
      <c r="D540">
        <v>0</v>
      </c>
      <c r="E540">
        <v>0</v>
      </c>
      <c r="F540">
        <v>1.4346800000000001E-10</v>
      </c>
      <c r="G540">
        <v>0</v>
      </c>
    </row>
    <row r="541" spans="1:7" x14ac:dyDescent="0.25">
      <c r="A541">
        <v>540</v>
      </c>
      <c r="B541">
        <v>691232818</v>
      </c>
      <c r="C541" s="7" t="s">
        <v>48</v>
      </c>
      <c r="D541">
        <v>0</v>
      </c>
      <c r="E541">
        <v>0</v>
      </c>
      <c r="F541">
        <v>1.3773E-10</v>
      </c>
      <c r="G541">
        <v>0</v>
      </c>
    </row>
    <row r="542" spans="1:7" x14ac:dyDescent="0.25">
      <c r="A542">
        <v>541</v>
      </c>
      <c r="B542">
        <v>484947485</v>
      </c>
      <c r="C542" s="7" t="s">
        <v>48</v>
      </c>
      <c r="D542">
        <v>0</v>
      </c>
      <c r="E542">
        <v>0</v>
      </c>
      <c r="F542">
        <v>1.3222000000000001E-10</v>
      </c>
      <c r="G542">
        <v>0</v>
      </c>
    </row>
    <row r="543" spans="1:7" x14ac:dyDescent="0.25">
      <c r="A543">
        <v>542</v>
      </c>
      <c r="B543">
        <v>395702996</v>
      </c>
      <c r="C543" s="7" t="s">
        <v>48</v>
      </c>
      <c r="D543">
        <v>0</v>
      </c>
      <c r="E543">
        <v>0</v>
      </c>
      <c r="F543">
        <v>1.2693200000000001E-10</v>
      </c>
      <c r="G543">
        <v>0</v>
      </c>
    </row>
    <row r="544" spans="1:7" x14ac:dyDescent="0.25">
      <c r="A544">
        <v>543</v>
      </c>
      <c r="B544">
        <v>625420719</v>
      </c>
      <c r="C544" s="7" t="s">
        <v>48</v>
      </c>
      <c r="D544">
        <v>0</v>
      </c>
      <c r="E544">
        <v>0</v>
      </c>
      <c r="F544">
        <v>1.2185400000000001E-10</v>
      </c>
      <c r="G544">
        <v>0</v>
      </c>
    </row>
    <row r="545" spans="1:7" x14ac:dyDescent="0.25">
      <c r="A545">
        <v>544</v>
      </c>
      <c r="B545">
        <v>706313679</v>
      </c>
      <c r="C545" s="7" t="s">
        <v>48</v>
      </c>
      <c r="D545">
        <v>0</v>
      </c>
      <c r="E545">
        <v>0</v>
      </c>
      <c r="F545">
        <v>1.1697999999999999E-10</v>
      </c>
      <c r="G545">
        <v>0</v>
      </c>
    </row>
    <row r="546" spans="1:7" x14ac:dyDescent="0.25">
      <c r="A546">
        <v>545</v>
      </c>
      <c r="B546">
        <v>450469365</v>
      </c>
      <c r="C546" s="7" t="s">
        <v>48</v>
      </c>
      <c r="D546">
        <v>0</v>
      </c>
      <c r="E546">
        <v>0</v>
      </c>
      <c r="F546">
        <v>1.12301E-10</v>
      </c>
      <c r="G546">
        <v>0</v>
      </c>
    </row>
    <row r="547" spans="1:7" x14ac:dyDescent="0.25">
      <c r="A547">
        <v>546</v>
      </c>
      <c r="B547">
        <v>185310551</v>
      </c>
      <c r="C547" s="7" t="s">
        <v>48</v>
      </c>
      <c r="D547">
        <v>0</v>
      </c>
      <c r="E547">
        <v>0</v>
      </c>
      <c r="F547">
        <v>1.07809E-10</v>
      </c>
      <c r="G547">
        <v>0</v>
      </c>
    </row>
    <row r="548" spans="1:7" x14ac:dyDescent="0.25">
      <c r="A548">
        <v>547</v>
      </c>
      <c r="B548">
        <v>642266846</v>
      </c>
      <c r="C548" s="7" t="s">
        <v>48</v>
      </c>
      <c r="D548">
        <v>0</v>
      </c>
      <c r="E548">
        <v>0</v>
      </c>
      <c r="F548">
        <v>1.03497E-10</v>
      </c>
      <c r="G548">
        <v>0</v>
      </c>
    </row>
    <row r="549" spans="1:7" x14ac:dyDescent="0.25">
      <c r="A549">
        <v>548</v>
      </c>
      <c r="B549">
        <v>104149848</v>
      </c>
      <c r="C549" s="7" t="s">
        <v>48</v>
      </c>
      <c r="D549">
        <v>0</v>
      </c>
      <c r="E549">
        <v>0</v>
      </c>
      <c r="F549">
        <v>9.9356700000000001E-11</v>
      </c>
      <c r="G549">
        <v>0</v>
      </c>
    </row>
    <row r="550" spans="1:7" x14ac:dyDescent="0.25">
      <c r="A550">
        <v>549</v>
      </c>
      <c r="B550">
        <v>147134192</v>
      </c>
      <c r="C550" s="7" t="s">
        <v>48</v>
      </c>
      <c r="D550">
        <v>0</v>
      </c>
      <c r="E550">
        <v>0</v>
      </c>
      <c r="F550">
        <v>9.53824E-11</v>
      </c>
      <c r="G550">
        <v>0</v>
      </c>
    </row>
    <row r="551" spans="1:7" x14ac:dyDescent="0.25">
      <c r="A551">
        <v>550</v>
      </c>
      <c r="B551">
        <v>840371924</v>
      </c>
      <c r="C551" s="7" t="s">
        <v>48</v>
      </c>
      <c r="D551">
        <v>0</v>
      </c>
      <c r="E551">
        <v>0</v>
      </c>
      <c r="F551">
        <v>9.1567100000000006E-11</v>
      </c>
      <c r="G551">
        <v>0</v>
      </c>
    </row>
    <row r="552" spans="1:7" x14ac:dyDescent="0.25">
      <c r="A552">
        <v>551</v>
      </c>
      <c r="B552">
        <v>997494178</v>
      </c>
      <c r="C552" s="7" t="s">
        <v>48</v>
      </c>
      <c r="D552">
        <v>0</v>
      </c>
      <c r="E552">
        <v>0</v>
      </c>
      <c r="F552">
        <v>8.7904399999999995E-11</v>
      </c>
      <c r="G552">
        <v>0</v>
      </c>
    </row>
    <row r="553" spans="1:7" x14ac:dyDescent="0.25">
      <c r="A553">
        <v>552</v>
      </c>
      <c r="B553">
        <v>966987220</v>
      </c>
      <c r="C553" s="7" t="s">
        <v>48</v>
      </c>
      <c r="D553">
        <v>0</v>
      </c>
      <c r="E553">
        <v>0</v>
      </c>
      <c r="F553">
        <v>8.43882E-11</v>
      </c>
      <c r="G553">
        <v>0</v>
      </c>
    </row>
    <row r="554" spans="1:7" x14ac:dyDescent="0.25">
      <c r="A554">
        <v>553</v>
      </c>
      <c r="B554">
        <v>782146069</v>
      </c>
      <c r="C554" s="7" t="s">
        <v>48</v>
      </c>
      <c r="D554">
        <v>0</v>
      </c>
      <c r="E554">
        <v>0</v>
      </c>
      <c r="F554">
        <v>8.1012699999999995E-11</v>
      </c>
      <c r="G554">
        <v>0</v>
      </c>
    </row>
    <row r="555" spans="1:7" x14ac:dyDescent="0.25">
      <c r="A555">
        <v>554</v>
      </c>
      <c r="B555">
        <v>47520730</v>
      </c>
      <c r="C555" s="7" t="s">
        <v>48</v>
      </c>
      <c r="D555">
        <v>0</v>
      </c>
      <c r="E555">
        <v>0</v>
      </c>
      <c r="F555">
        <v>7.7772199999999997E-11</v>
      </c>
      <c r="G555">
        <v>0</v>
      </c>
    </row>
    <row r="556" spans="1:7" x14ac:dyDescent="0.25">
      <c r="A556">
        <v>555</v>
      </c>
      <c r="B556">
        <v>304009755</v>
      </c>
      <c r="C556" s="7" t="s">
        <v>48</v>
      </c>
      <c r="D556">
        <v>0</v>
      </c>
      <c r="E556">
        <v>0</v>
      </c>
      <c r="F556">
        <v>7.4661300000000005E-11</v>
      </c>
      <c r="G556">
        <v>0</v>
      </c>
    </row>
    <row r="557" spans="1:7" x14ac:dyDescent="0.25">
      <c r="A557">
        <v>556</v>
      </c>
      <c r="B557">
        <v>306670589</v>
      </c>
      <c r="C557" s="7" t="s">
        <v>48</v>
      </c>
      <c r="D557">
        <v>0</v>
      </c>
      <c r="E557">
        <v>0</v>
      </c>
      <c r="F557">
        <v>7.1674899999999995E-11</v>
      </c>
      <c r="G557">
        <v>0</v>
      </c>
    </row>
    <row r="558" spans="1:7" x14ac:dyDescent="0.25">
      <c r="A558">
        <v>557</v>
      </c>
      <c r="B558">
        <v>17435906</v>
      </c>
      <c r="C558" s="7" t="s">
        <v>48</v>
      </c>
      <c r="D558">
        <v>0</v>
      </c>
      <c r="E558">
        <v>0</v>
      </c>
      <c r="F558">
        <v>6.8807899999999996E-11</v>
      </c>
      <c r="G558">
        <v>0</v>
      </c>
    </row>
    <row r="559" spans="1:7" x14ac:dyDescent="0.25">
      <c r="A559">
        <v>558</v>
      </c>
      <c r="B559">
        <v>920793874</v>
      </c>
      <c r="C559" s="7" t="s">
        <v>48</v>
      </c>
      <c r="D559">
        <v>0</v>
      </c>
      <c r="E559">
        <v>0</v>
      </c>
      <c r="F559">
        <v>6.6055599999999996E-11</v>
      </c>
      <c r="G559">
        <v>0</v>
      </c>
    </row>
    <row r="560" spans="1:7" x14ac:dyDescent="0.25">
      <c r="A560">
        <v>559</v>
      </c>
      <c r="B560">
        <v>250454009</v>
      </c>
      <c r="C560" s="7" t="s">
        <v>48</v>
      </c>
      <c r="D560">
        <v>0</v>
      </c>
      <c r="E560">
        <v>0</v>
      </c>
      <c r="F560">
        <v>6.3413299999999996E-11</v>
      </c>
      <c r="G560">
        <v>0</v>
      </c>
    </row>
    <row r="561" spans="1:7" x14ac:dyDescent="0.25">
      <c r="A561">
        <v>560</v>
      </c>
      <c r="B561">
        <v>689824482</v>
      </c>
      <c r="C561" s="7" t="s">
        <v>48</v>
      </c>
      <c r="D561">
        <v>0</v>
      </c>
      <c r="E561">
        <v>0</v>
      </c>
      <c r="F561">
        <v>6.0876800000000002E-11</v>
      </c>
      <c r="G561">
        <v>0</v>
      </c>
    </row>
    <row r="562" spans="1:7" x14ac:dyDescent="0.25">
      <c r="A562">
        <v>561</v>
      </c>
      <c r="B562">
        <v>396321386</v>
      </c>
      <c r="C562" s="7" t="s">
        <v>48</v>
      </c>
      <c r="D562">
        <v>0</v>
      </c>
      <c r="E562">
        <v>0</v>
      </c>
      <c r="F562">
        <v>5.8441700000000006E-11</v>
      </c>
      <c r="G562">
        <v>0</v>
      </c>
    </row>
    <row r="563" spans="1:7" x14ac:dyDescent="0.25">
      <c r="A563">
        <v>562</v>
      </c>
      <c r="B563">
        <v>641156914</v>
      </c>
      <c r="C563" s="7" t="s">
        <v>48</v>
      </c>
      <c r="D563">
        <v>0</v>
      </c>
      <c r="E563">
        <v>0</v>
      </c>
      <c r="F563">
        <v>5.61041E-11</v>
      </c>
      <c r="G563">
        <v>0</v>
      </c>
    </row>
    <row r="564" spans="1:7" x14ac:dyDescent="0.25">
      <c r="A564">
        <v>563</v>
      </c>
      <c r="B564">
        <v>154114664</v>
      </c>
      <c r="C564" s="7" t="s">
        <v>48</v>
      </c>
      <c r="D564">
        <v>0</v>
      </c>
      <c r="E564">
        <v>0</v>
      </c>
      <c r="F564">
        <v>5.3859900000000002E-11</v>
      </c>
      <c r="G564">
        <v>0</v>
      </c>
    </row>
    <row r="565" spans="1:7" x14ac:dyDescent="0.25">
      <c r="A565">
        <v>564</v>
      </c>
      <c r="B565">
        <v>139461457</v>
      </c>
      <c r="C565" s="7" t="s">
        <v>48</v>
      </c>
      <c r="D565">
        <v>0</v>
      </c>
      <c r="E565">
        <v>0</v>
      </c>
      <c r="F565">
        <v>5.1705500000000002E-11</v>
      </c>
      <c r="G565">
        <v>0</v>
      </c>
    </row>
    <row r="566" spans="1:7" x14ac:dyDescent="0.25">
      <c r="A566">
        <v>565</v>
      </c>
      <c r="B566">
        <v>682017030</v>
      </c>
      <c r="C566" s="7" t="s">
        <v>48</v>
      </c>
      <c r="D566">
        <v>0</v>
      </c>
      <c r="E566">
        <v>0</v>
      </c>
      <c r="F566">
        <v>4.9637300000000001E-11</v>
      </c>
      <c r="G566">
        <v>0</v>
      </c>
    </row>
    <row r="567" spans="1:7" x14ac:dyDescent="0.25">
      <c r="A567">
        <v>566</v>
      </c>
      <c r="B567">
        <v>413719600</v>
      </c>
      <c r="C567" s="7" t="s">
        <v>48</v>
      </c>
      <c r="D567">
        <v>0</v>
      </c>
      <c r="E567">
        <v>0</v>
      </c>
      <c r="F567">
        <v>4.7651799999999997E-11</v>
      </c>
      <c r="G567">
        <v>0</v>
      </c>
    </row>
    <row r="568" spans="1:7" x14ac:dyDescent="0.25">
      <c r="A568">
        <v>567</v>
      </c>
      <c r="B568">
        <v>427793256</v>
      </c>
      <c r="C568" s="7" t="s">
        <v>48</v>
      </c>
      <c r="D568">
        <v>0</v>
      </c>
      <c r="E568">
        <v>0</v>
      </c>
      <c r="F568">
        <v>4.5745700000000003E-11</v>
      </c>
      <c r="G568">
        <v>0</v>
      </c>
    </row>
    <row r="569" spans="1:7" x14ac:dyDescent="0.25">
      <c r="A569">
        <v>568</v>
      </c>
      <c r="B569">
        <v>850796978</v>
      </c>
      <c r="C569" s="7" t="s">
        <v>48</v>
      </c>
      <c r="D569">
        <v>0</v>
      </c>
      <c r="E569">
        <v>0</v>
      </c>
      <c r="F569">
        <v>4.39159E-11</v>
      </c>
      <c r="G569">
        <v>0</v>
      </c>
    </row>
    <row r="570" spans="1:7" x14ac:dyDescent="0.25">
      <c r="A570">
        <v>569</v>
      </c>
      <c r="B570">
        <v>795318923</v>
      </c>
      <c r="C570" s="7" t="s">
        <v>48</v>
      </c>
      <c r="D570">
        <v>0</v>
      </c>
      <c r="E570">
        <v>0</v>
      </c>
      <c r="F570">
        <v>4.2159300000000003E-11</v>
      </c>
      <c r="G570">
        <v>0</v>
      </c>
    </row>
    <row r="571" spans="1:7" x14ac:dyDescent="0.25">
      <c r="A571">
        <v>570</v>
      </c>
      <c r="B571">
        <v>741589086</v>
      </c>
      <c r="C571" s="7" t="s">
        <v>48</v>
      </c>
      <c r="D571">
        <v>0</v>
      </c>
      <c r="E571">
        <v>0</v>
      </c>
      <c r="F571">
        <v>4.0472899999999997E-11</v>
      </c>
      <c r="G571">
        <v>0</v>
      </c>
    </row>
    <row r="572" spans="1:7" x14ac:dyDescent="0.25">
      <c r="A572">
        <v>571</v>
      </c>
      <c r="B572">
        <v>53622919</v>
      </c>
      <c r="C572" s="7" t="s">
        <v>48</v>
      </c>
      <c r="D572">
        <v>0</v>
      </c>
      <c r="E572">
        <v>0</v>
      </c>
      <c r="F572">
        <v>3.8854000000000002E-11</v>
      </c>
      <c r="G572">
        <v>0</v>
      </c>
    </row>
    <row r="573" spans="1:7" x14ac:dyDescent="0.25">
      <c r="A573">
        <v>572</v>
      </c>
      <c r="B573">
        <v>40947491</v>
      </c>
      <c r="C573" s="7" t="s">
        <v>48</v>
      </c>
      <c r="D573">
        <v>0</v>
      </c>
      <c r="E573">
        <v>0</v>
      </c>
      <c r="F573">
        <v>3.7299799999999997E-11</v>
      </c>
      <c r="G573">
        <v>0</v>
      </c>
    </row>
    <row r="574" spans="1:7" x14ac:dyDescent="0.25">
      <c r="A574">
        <v>573</v>
      </c>
      <c r="B574">
        <v>649284530</v>
      </c>
      <c r="C574" s="7" t="s">
        <v>48</v>
      </c>
      <c r="D574">
        <v>0</v>
      </c>
      <c r="E574">
        <v>0</v>
      </c>
      <c r="F574">
        <v>3.58078E-11</v>
      </c>
      <c r="G574">
        <v>0</v>
      </c>
    </row>
    <row r="575" spans="1:7" x14ac:dyDescent="0.25">
      <c r="A575">
        <v>574</v>
      </c>
      <c r="B575">
        <v>400874929</v>
      </c>
      <c r="C575" s="7" t="s">
        <v>48</v>
      </c>
      <c r="D575">
        <v>0</v>
      </c>
      <c r="E575">
        <v>0</v>
      </c>
      <c r="F575">
        <v>3.4375500000000002E-11</v>
      </c>
      <c r="G575">
        <v>0</v>
      </c>
    </row>
    <row r="576" spans="1:7" x14ac:dyDescent="0.25">
      <c r="A576">
        <v>575</v>
      </c>
      <c r="B576">
        <v>794368455</v>
      </c>
      <c r="C576" s="7" t="s">
        <v>48</v>
      </c>
      <c r="D576">
        <v>0</v>
      </c>
      <c r="E576">
        <v>0</v>
      </c>
      <c r="F576">
        <v>3.30005E-11</v>
      </c>
      <c r="G576">
        <v>0</v>
      </c>
    </row>
    <row r="577" spans="1:7" x14ac:dyDescent="0.25">
      <c r="A577">
        <v>576</v>
      </c>
      <c r="B577">
        <v>74650589</v>
      </c>
      <c r="C577" s="7" t="s">
        <v>48</v>
      </c>
      <c r="D577">
        <v>0</v>
      </c>
      <c r="E577">
        <v>0</v>
      </c>
      <c r="F577">
        <v>3.1680499999999999E-11</v>
      </c>
      <c r="G577">
        <v>0</v>
      </c>
    </row>
    <row r="578" spans="1:7" x14ac:dyDescent="0.25">
      <c r="A578">
        <v>577</v>
      </c>
      <c r="B578">
        <v>167736248</v>
      </c>
      <c r="C578" s="7" t="s">
        <v>48</v>
      </c>
      <c r="D578">
        <v>0</v>
      </c>
      <c r="E578">
        <v>0</v>
      </c>
      <c r="F578">
        <v>3.0413200000000001E-11</v>
      </c>
      <c r="G578">
        <v>0</v>
      </c>
    </row>
    <row r="579" spans="1:7" x14ac:dyDescent="0.25">
      <c r="A579">
        <v>578</v>
      </c>
      <c r="B579">
        <v>466144085</v>
      </c>
      <c r="C579" s="7" t="s">
        <v>48</v>
      </c>
      <c r="D579">
        <v>0</v>
      </c>
      <c r="E579">
        <v>0</v>
      </c>
      <c r="F579">
        <v>2.9196700000000001E-11</v>
      </c>
      <c r="G579">
        <v>0</v>
      </c>
    </row>
    <row r="580" spans="1:7" x14ac:dyDescent="0.25">
      <c r="A580">
        <v>579</v>
      </c>
      <c r="B580">
        <v>163100630</v>
      </c>
      <c r="C580" s="7" t="s">
        <v>48</v>
      </c>
      <c r="D580">
        <v>0</v>
      </c>
      <c r="E580">
        <v>0</v>
      </c>
      <c r="F580">
        <v>2.8028800000000001E-11</v>
      </c>
      <c r="G580">
        <v>0</v>
      </c>
    </row>
    <row r="581" spans="1:7" x14ac:dyDescent="0.25">
      <c r="A581">
        <v>580</v>
      </c>
      <c r="B581">
        <v>50386655</v>
      </c>
      <c r="C581" s="7" t="s">
        <v>48</v>
      </c>
      <c r="D581">
        <v>0</v>
      </c>
      <c r="E581">
        <v>0</v>
      </c>
      <c r="F581">
        <v>2.6907700000000001E-11</v>
      </c>
      <c r="G581">
        <v>0</v>
      </c>
    </row>
    <row r="582" spans="1:7" x14ac:dyDescent="0.25">
      <c r="A582">
        <v>581</v>
      </c>
      <c r="B582">
        <v>292758604</v>
      </c>
      <c r="C582" s="7" t="s">
        <v>48</v>
      </c>
      <c r="D582">
        <v>0</v>
      </c>
      <c r="E582">
        <v>0</v>
      </c>
      <c r="F582">
        <v>2.58314E-11</v>
      </c>
      <c r="G582">
        <v>0</v>
      </c>
    </row>
    <row r="583" spans="1:7" x14ac:dyDescent="0.25">
      <c r="A583">
        <v>582</v>
      </c>
      <c r="B583">
        <v>744934638</v>
      </c>
      <c r="C583" s="7" t="s">
        <v>48</v>
      </c>
      <c r="D583">
        <v>0</v>
      </c>
      <c r="E583">
        <v>0</v>
      </c>
      <c r="F583">
        <v>2.47981E-11</v>
      </c>
      <c r="G583">
        <v>0</v>
      </c>
    </row>
    <row r="584" spans="1:7" x14ac:dyDescent="0.25">
      <c r="A584">
        <v>583</v>
      </c>
      <c r="B584">
        <v>107829282</v>
      </c>
      <c r="C584" s="7" t="s">
        <v>48</v>
      </c>
      <c r="D584">
        <v>0</v>
      </c>
      <c r="E584">
        <v>0</v>
      </c>
      <c r="F584">
        <v>2.38062E-11</v>
      </c>
      <c r="G584">
        <v>0</v>
      </c>
    </row>
    <row r="585" spans="1:7" x14ac:dyDescent="0.25">
      <c r="A585">
        <v>584</v>
      </c>
      <c r="B585">
        <v>186276170</v>
      </c>
      <c r="C585" s="7" t="s">
        <v>48</v>
      </c>
      <c r="D585">
        <v>0</v>
      </c>
      <c r="E585">
        <v>0</v>
      </c>
      <c r="F585">
        <v>2.2853999999999999E-11</v>
      </c>
      <c r="G585">
        <v>0</v>
      </c>
    </row>
    <row r="586" spans="1:7" x14ac:dyDescent="0.25">
      <c r="A586">
        <v>585</v>
      </c>
      <c r="B586">
        <v>115593516</v>
      </c>
      <c r="C586" s="7" t="s">
        <v>48</v>
      </c>
      <c r="D586">
        <v>0</v>
      </c>
      <c r="E586">
        <v>0</v>
      </c>
      <c r="F586">
        <v>2.1939800000000001E-11</v>
      </c>
      <c r="G586">
        <v>0</v>
      </c>
    </row>
    <row r="587" spans="1:7" x14ac:dyDescent="0.25">
      <c r="A587">
        <v>586</v>
      </c>
      <c r="B587">
        <v>193699344</v>
      </c>
      <c r="C587" s="7" t="s">
        <v>48</v>
      </c>
      <c r="D587">
        <v>0</v>
      </c>
      <c r="E587">
        <v>0</v>
      </c>
      <c r="F587">
        <v>2.10622E-11</v>
      </c>
      <c r="G587">
        <v>0</v>
      </c>
    </row>
    <row r="588" spans="1:7" x14ac:dyDescent="0.25">
      <c r="A588">
        <v>587</v>
      </c>
      <c r="B588">
        <v>446024289</v>
      </c>
      <c r="C588" s="7" t="s">
        <v>48</v>
      </c>
      <c r="D588">
        <v>0</v>
      </c>
      <c r="E588">
        <v>0</v>
      </c>
      <c r="F588">
        <v>2.02197E-11</v>
      </c>
      <c r="G588">
        <v>0</v>
      </c>
    </row>
    <row r="589" spans="1:7" x14ac:dyDescent="0.25">
      <c r="A589">
        <v>588</v>
      </c>
      <c r="B589">
        <v>694452899</v>
      </c>
      <c r="C589" s="7" t="s">
        <v>48</v>
      </c>
      <c r="D589">
        <v>0</v>
      </c>
      <c r="E589">
        <v>0</v>
      </c>
      <c r="F589">
        <v>1.94109E-11</v>
      </c>
      <c r="G589">
        <v>0</v>
      </c>
    </row>
    <row r="590" spans="1:7" x14ac:dyDescent="0.25">
      <c r="A590">
        <v>589</v>
      </c>
      <c r="B590">
        <v>500954632</v>
      </c>
      <c r="C590" s="7" t="s">
        <v>48</v>
      </c>
      <c r="D590">
        <v>0</v>
      </c>
      <c r="E590">
        <v>0</v>
      </c>
      <c r="F590">
        <v>1.8634500000000001E-11</v>
      </c>
      <c r="G590">
        <v>0</v>
      </c>
    </row>
    <row r="591" spans="1:7" x14ac:dyDescent="0.25">
      <c r="A591">
        <v>590</v>
      </c>
      <c r="B591">
        <v>911195647</v>
      </c>
      <c r="C591" s="7" t="s">
        <v>48</v>
      </c>
      <c r="D591">
        <v>0</v>
      </c>
      <c r="E591">
        <v>0</v>
      </c>
      <c r="F591">
        <v>1.78891E-11</v>
      </c>
      <c r="G591">
        <v>0</v>
      </c>
    </row>
    <row r="592" spans="1:7" x14ac:dyDescent="0.25">
      <c r="A592">
        <v>591</v>
      </c>
      <c r="B592">
        <v>914136103</v>
      </c>
      <c r="C592" s="7" t="s">
        <v>48</v>
      </c>
      <c r="D592">
        <v>0</v>
      </c>
      <c r="E592">
        <v>0</v>
      </c>
      <c r="F592">
        <v>1.7173500000000001E-11</v>
      </c>
      <c r="G592">
        <v>0</v>
      </c>
    </row>
    <row r="593" spans="1:7" x14ac:dyDescent="0.25">
      <c r="A593">
        <v>592</v>
      </c>
      <c r="B593">
        <v>234375272</v>
      </c>
      <c r="C593" s="7" t="s">
        <v>48</v>
      </c>
      <c r="D593">
        <v>0</v>
      </c>
      <c r="E593">
        <v>0</v>
      </c>
      <c r="F593">
        <v>1.6486600000000001E-11</v>
      </c>
      <c r="G593">
        <v>0</v>
      </c>
    </row>
    <row r="594" spans="1:7" x14ac:dyDescent="0.25">
      <c r="A594">
        <v>593</v>
      </c>
      <c r="B594">
        <v>215198456</v>
      </c>
      <c r="C594" s="7" t="s">
        <v>48</v>
      </c>
      <c r="D594">
        <v>0</v>
      </c>
      <c r="E594">
        <v>0</v>
      </c>
      <c r="F594">
        <v>1.5827100000000001E-11</v>
      </c>
      <c r="G594">
        <v>0</v>
      </c>
    </row>
    <row r="595" spans="1:7" x14ac:dyDescent="0.25">
      <c r="A595">
        <v>594</v>
      </c>
      <c r="B595">
        <v>64295982</v>
      </c>
      <c r="C595" s="7" t="s">
        <v>48</v>
      </c>
      <c r="D595">
        <v>0</v>
      </c>
      <c r="E595">
        <v>0</v>
      </c>
      <c r="F595">
        <v>1.51941E-11</v>
      </c>
      <c r="G595">
        <v>0</v>
      </c>
    </row>
    <row r="596" spans="1:7" x14ac:dyDescent="0.25">
      <c r="A596">
        <v>595</v>
      </c>
      <c r="B596">
        <v>199707554</v>
      </c>
      <c r="C596" s="7" t="s">
        <v>48</v>
      </c>
      <c r="D596">
        <v>0</v>
      </c>
      <c r="E596">
        <v>0</v>
      </c>
      <c r="F596">
        <v>1.4586300000000001E-11</v>
      </c>
      <c r="G596">
        <v>0</v>
      </c>
    </row>
    <row r="597" spans="1:7" x14ac:dyDescent="0.25">
      <c r="A597">
        <v>596</v>
      </c>
      <c r="B597">
        <v>723323844</v>
      </c>
      <c r="C597" s="7" t="s">
        <v>48</v>
      </c>
      <c r="D597">
        <v>0</v>
      </c>
      <c r="E597">
        <v>0</v>
      </c>
      <c r="F597">
        <v>1.4002799999999999E-11</v>
      </c>
      <c r="G597">
        <v>0</v>
      </c>
    </row>
    <row r="598" spans="1:7" x14ac:dyDescent="0.25">
      <c r="A598">
        <v>597</v>
      </c>
      <c r="B598">
        <v>567701316</v>
      </c>
      <c r="C598" s="7" t="s">
        <v>48</v>
      </c>
      <c r="D598">
        <v>0</v>
      </c>
      <c r="E598">
        <v>0</v>
      </c>
      <c r="F598">
        <v>1.34427E-11</v>
      </c>
      <c r="G598">
        <v>0</v>
      </c>
    </row>
    <row r="599" spans="1:7" x14ac:dyDescent="0.25">
      <c r="A599">
        <v>598</v>
      </c>
      <c r="B599">
        <v>542740875</v>
      </c>
      <c r="C599" s="7" t="s">
        <v>48</v>
      </c>
      <c r="D599">
        <v>0</v>
      </c>
      <c r="E599">
        <v>0</v>
      </c>
      <c r="F599">
        <v>1.2905E-11</v>
      </c>
      <c r="G599">
        <v>0</v>
      </c>
    </row>
    <row r="600" spans="1:7" x14ac:dyDescent="0.25">
      <c r="A600">
        <v>599</v>
      </c>
      <c r="B600">
        <v>416745890</v>
      </c>
      <c r="C600" s="7" t="s">
        <v>48</v>
      </c>
      <c r="D600">
        <v>0</v>
      </c>
      <c r="E600">
        <v>0</v>
      </c>
      <c r="F600">
        <v>1.2388800000000001E-11</v>
      </c>
      <c r="G600">
        <v>0</v>
      </c>
    </row>
    <row r="601" spans="1:7" x14ac:dyDescent="0.25">
      <c r="A601">
        <v>600</v>
      </c>
      <c r="B601">
        <v>657282236</v>
      </c>
      <c r="C601" s="7" t="s">
        <v>48</v>
      </c>
      <c r="D601">
        <v>0</v>
      </c>
      <c r="E601">
        <v>0</v>
      </c>
      <c r="F601">
        <v>1.1893300000000001E-11</v>
      </c>
      <c r="G601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09250-3B0E-4FBD-A299-FABD2B8AD4D4}">
  <dimension ref="A1:AB601"/>
  <sheetViews>
    <sheetView tabSelected="1" topLeftCell="A64" workbookViewId="0">
      <selection activeCell="I71" sqref="I71:I86"/>
    </sheetView>
  </sheetViews>
  <sheetFormatPr defaultRowHeight="15" x14ac:dyDescent="0.25"/>
  <cols>
    <col min="1" max="1" width="10.42578125" bestFit="1" customWidth="1"/>
    <col min="2" max="2" width="10" bestFit="1" customWidth="1"/>
    <col min="3" max="3" width="7.5703125" bestFit="1" customWidth="1"/>
    <col min="4" max="4" width="11.7109375" bestFit="1" customWidth="1"/>
    <col min="5" max="5" width="8" bestFit="1" customWidth="1"/>
    <col min="6" max="6" width="9.7109375" bestFit="1" customWidth="1"/>
    <col min="7" max="7" width="9.28515625" bestFit="1" customWidth="1"/>
    <col min="8" max="8" width="9" bestFit="1" customWidth="1"/>
    <col min="9" max="9" width="10.7109375" bestFit="1" customWidth="1"/>
    <col min="10" max="10" width="13" bestFit="1" customWidth="1"/>
    <col min="11" max="11" width="10.5703125" bestFit="1" customWidth="1"/>
    <col min="12" max="12" width="12" bestFit="1" customWidth="1"/>
    <col min="13" max="13" width="20.140625" bestFit="1" customWidth="1"/>
    <col min="14" max="14" width="12" bestFit="1" customWidth="1"/>
    <col min="15" max="15" width="17.42578125" bestFit="1" customWidth="1"/>
    <col min="16" max="16" width="10" bestFit="1" customWidth="1"/>
    <col min="17" max="17" width="81.140625" bestFit="1" customWidth="1"/>
    <col min="18" max="18" width="58.42578125" bestFit="1" customWidth="1"/>
    <col min="19" max="19" width="11.7109375" customWidth="1"/>
    <col min="20" max="20" width="9.140625" bestFit="1" customWidth="1"/>
    <col min="21" max="21" width="13.140625" bestFit="1" customWidth="1"/>
    <col min="22" max="22" width="11" bestFit="1" customWidth="1"/>
    <col min="23" max="23" width="21.5703125" bestFit="1" customWidth="1"/>
    <col min="24" max="24" width="22" bestFit="1" customWidth="1"/>
    <col min="25" max="25" width="11.85546875" bestFit="1" customWidth="1"/>
    <col min="26" max="26" width="18.140625" bestFit="1" customWidth="1"/>
    <col min="27" max="27" width="14.5703125" bestFit="1" customWidth="1"/>
    <col min="28" max="28" width="17" bestFit="1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</row>
    <row r="2" spans="1:28" x14ac:dyDescent="0.25">
      <c r="A2">
        <v>1</v>
      </c>
      <c r="B2">
        <v>568513272</v>
      </c>
      <c r="C2" s="7" t="s">
        <v>27</v>
      </c>
      <c r="D2">
        <v>11.132999999999999</v>
      </c>
      <c r="E2">
        <v>2.4</v>
      </c>
      <c r="F2">
        <v>11.2</v>
      </c>
      <c r="G2" s="3">
        <f>firm_data[[#This Row],[production]]-firm_data[[#This Row],[sales]]</f>
        <v>0</v>
      </c>
      <c r="H2">
        <v>0</v>
      </c>
      <c r="I2">
        <v>0.33513500000000002</v>
      </c>
      <c r="J2">
        <v>3</v>
      </c>
      <c r="K2" s="3">
        <v>3</v>
      </c>
      <c r="L2">
        <v>0</v>
      </c>
      <c r="M2">
        <v>5</v>
      </c>
      <c r="N2">
        <v>0</v>
      </c>
      <c r="O2">
        <v>0.66</v>
      </c>
      <c r="P2">
        <v>0</v>
      </c>
      <c r="Q2" s="7" t="s">
        <v>28</v>
      </c>
      <c r="R2" s="7" t="s">
        <v>150</v>
      </c>
      <c r="S2">
        <v>0</v>
      </c>
      <c r="T2">
        <v>9.81982</v>
      </c>
      <c r="U2">
        <v>5</v>
      </c>
      <c r="V2">
        <v>0</v>
      </c>
      <c r="W2">
        <v>5</v>
      </c>
      <c r="X2">
        <v>0</v>
      </c>
      <c r="Y2">
        <v>6</v>
      </c>
      <c r="Z2">
        <v>0</v>
      </c>
      <c r="AA2">
        <v>23.567599999999999</v>
      </c>
      <c r="AB2">
        <v>15</v>
      </c>
    </row>
    <row r="3" spans="1:28" x14ac:dyDescent="0.25">
      <c r="A3">
        <v>2</v>
      </c>
      <c r="B3">
        <v>116381266</v>
      </c>
      <c r="C3" s="7" t="s">
        <v>27</v>
      </c>
      <c r="D3">
        <v>12.054399999999999</v>
      </c>
      <c r="E3">
        <v>2.4</v>
      </c>
      <c r="F3">
        <v>12.333</v>
      </c>
      <c r="G3" s="3">
        <f>firm_data[[#This Row],[production]]-firm_data[[#This Row],[sales]]</f>
        <v>0</v>
      </c>
      <c r="H3">
        <v>0</v>
      </c>
      <c r="I3">
        <v>1.3928700000000001</v>
      </c>
      <c r="J3">
        <v>3</v>
      </c>
      <c r="K3">
        <v>3</v>
      </c>
      <c r="L3">
        <v>0.154583</v>
      </c>
      <c r="M3">
        <v>5</v>
      </c>
      <c r="N3">
        <v>0</v>
      </c>
      <c r="O3">
        <v>8.8817800000000003E-16</v>
      </c>
      <c r="P3">
        <v>0</v>
      </c>
      <c r="Q3" s="7" t="s">
        <v>28</v>
      </c>
      <c r="R3" s="7" t="s">
        <v>150</v>
      </c>
      <c r="S3">
        <v>0</v>
      </c>
      <c r="T3">
        <v>9.63964</v>
      </c>
      <c r="U3">
        <v>7.0045000000000002</v>
      </c>
      <c r="V3">
        <v>0</v>
      </c>
      <c r="W3">
        <v>3</v>
      </c>
      <c r="X3">
        <v>0</v>
      </c>
      <c r="Y3">
        <v>6</v>
      </c>
      <c r="Z3">
        <v>0</v>
      </c>
      <c r="AA3">
        <v>24.213000000000001</v>
      </c>
      <c r="AB3">
        <v>15</v>
      </c>
    </row>
    <row r="4" spans="1:28" x14ac:dyDescent="0.25">
      <c r="A4">
        <v>3</v>
      </c>
      <c r="B4">
        <v>561622615</v>
      </c>
      <c r="C4" s="7" t="s">
        <v>27</v>
      </c>
      <c r="D4">
        <v>8.1925100000000004</v>
      </c>
      <c r="E4">
        <v>2.4</v>
      </c>
      <c r="F4">
        <v>8.1925100000000004</v>
      </c>
      <c r="G4" s="3">
        <f>firm_data[[#This Row],[production]]-firm_data[[#This Row],[sales]]</f>
        <v>2.109121</v>
      </c>
      <c r="H4">
        <v>0</v>
      </c>
      <c r="I4">
        <v>-5.3490700000000002</v>
      </c>
      <c r="J4">
        <v>3</v>
      </c>
      <c r="K4" s="4">
        <v>0.89087899999999998</v>
      </c>
      <c r="L4">
        <v>0</v>
      </c>
      <c r="M4">
        <v>5</v>
      </c>
      <c r="N4">
        <v>0</v>
      </c>
      <c r="O4">
        <v>0.27825</v>
      </c>
      <c r="P4">
        <v>0</v>
      </c>
      <c r="Q4" s="7" t="s">
        <v>28</v>
      </c>
      <c r="R4" s="7" t="s">
        <v>150</v>
      </c>
      <c r="S4">
        <v>0</v>
      </c>
      <c r="T4">
        <v>9.45946</v>
      </c>
      <c r="U4">
        <v>8.0067599999999999</v>
      </c>
      <c r="V4">
        <v>0</v>
      </c>
      <c r="W4">
        <v>3.1391300000000002</v>
      </c>
      <c r="X4">
        <v>0</v>
      </c>
      <c r="Y4">
        <v>6</v>
      </c>
      <c r="Z4">
        <v>0</v>
      </c>
      <c r="AA4">
        <v>23.167100000000001</v>
      </c>
      <c r="AB4">
        <v>15</v>
      </c>
    </row>
    <row r="5" spans="1:28" x14ac:dyDescent="0.25">
      <c r="A5">
        <v>4</v>
      </c>
      <c r="B5">
        <v>580265595</v>
      </c>
      <c r="C5" s="7" t="s">
        <v>27</v>
      </c>
      <c r="D5">
        <v>7.3664300000000003</v>
      </c>
      <c r="E5">
        <v>2.3501599999999998</v>
      </c>
      <c r="F5">
        <v>7.3664300000000003</v>
      </c>
      <c r="G5" s="3">
        <f>firm_data[[#This Row],[production]]-firm_data[[#This Row],[sales]]</f>
        <v>0.79848000000000008</v>
      </c>
      <c r="H5">
        <v>0</v>
      </c>
      <c r="I5">
        <v>-2.3663799999999999</v>
      </c>
      <c r="J5">
        <v>3</v>
      </c>
      <c r="K5">
        <v>2.2015199999999999</v>
      </c>
      <c r="L5">
        <v>1.7715099999999999E-17</v>
      </c>
      <c r="M5">
        <v>5</v>
      </c>
      <c r="N5">
        <v>0</v>
      </c>
      <c r="O5">
        <v>0.27825</v>
      </c>
      <c r="P5">
        <v>0</v>
      </c>
      <c r="Q5" s="7" t="s">
        <v>28</v>
      </c>
      <c r="R5" s="7" t="s">
        <v>150</v>
      </c>
      <c r="S5">
        <v>0</v>
      </c>
      <c r="T5">
        <v>9.27928</v>
      </c>
      <c r="U5">
        <v>8.5078800000000001</v>
      </c>
      <c r="V5">
        <v>0</v>
      </c>
      <c r="W5">
        <v>3.1391300000000002</v>
      </c>
      <c r="X5">
        <v>0</v>
      </c>
      <c r="Y5">
        <v>6</v>
      </c>
      <c r="Z5">
        <v>0</v>
      </c>
      <c r="AA5">
        <v>22.055099999999999</v>
      </c>
      <c r="AB5">
        <v>15</v>
      </c>
    </row>
    <row r="6" spans="1:28" x14ac:dyDescent="0.25">
      <c r="A6">
        <v>5</v>
      </c>
      <c r="B6">
        <v>92974295</v>
      </c>
      <c r="C6" s="7" t="s">
        <v>27</v>
      </c>
      <c r="D6">
        <v>8.27881</v>
      </c>
      <c r="E6">
        <v>2.3041299999999998</v>
      </c>
      <c r="F6">
        <v>8.27881</v>
      </c>
      <c r="G6" s="3">
        <f>firm_data[[#This Row],[production]]-firm_data[[#This Row],[sales]]</f>
        <v>0</v>
      </c>
      <c r="H6">
        <v>0</v>
      </c>
      <c r="I6">
        <v>-0.59545599999999999</v>
      </c>
      <c r="J6">
        <v>3</v>
      </c>
      <c r="K6">
        <v>3</v>
      </c>
      <c r="L6">
        <v>6.6868799999999996E-34</v>
      </c>
      <c r="M6">
        <v>5</v>
      </c>
      <c r="N6">
        <v>0</v>
      </c>
      <c r="O6">
        <v>0.18</v>
      </c>
      <c r="P6">
        <v>0</v>
      </c>
      <c r="Q6" s="7" t="s">
        <v>28</v>
      </c>
      <c r="R6" s="7" t="s">
        <v>150</v>
      </c>
      <c r="S6">
        <v>0</v>
      </c>
      <c r="T6">
        <v>9.0991</v>
      </c>
      <c r="U6">
        <v>8.7584499999999998</v>
      </c>
      <c r="V6">
        <v>0</v>
      </c>
      <c r="W6">
        <v>3.1391300000000002</v>
      </c>
      <c r="X6">
        <v>0</v>
      </c>
      <c r="Y6">
        <v>6</v>
      </c>
      <c r="Z6">
        <v>0</v>
      </c>
      <c r="AA6">
        <v>20.962299999999999</v>
      </c>
      <c r="AB6">
        <v>15</v>
      </c>
    </row>
    <row r="7" spans="1:28" x14ac:dyDescent="0.25">
      <c r="A7">
        <v>6</v>
      </c>
      <c r="B7">
        <v>844295000</v>
      </c>
      <c r="C7" s="7" t="s">
        <v>27</v>
      </c>
      <c r="D7">
        <v>9.1912000000000003</v>
      </c>
      <c r="E7">
        <v>2.3041299999999998</v>
      </c>
      <c r="F7">
        <v>9.1912000000000003</v>
      </c>
      <c r="G7" s="3">
        <f>firm_data[[#This Row],[production]]-firm_data[[#This Row],[sales]]</f>
        <v>0</v>
      </c>
      <c r="H7">
        <v>0</v>
      </c>
      <c r="I7">
        <v>-0.46389900000000001</v>
      </c>
      <c r="J7">
        <v>3</v>
      </c>
      <c r="K7">
        <v>3</v>
      </c>
      <c r="L7">
        <v>0</v>
      </c>
      <c r="M7">
        <v>5</v>
      </c>
      <c r="N7">
        <v>0</v>
      </c>
      <c r="O7">
        <v>0</v>
      </c>
      <c r="P7">
        <v>0</v>
      </c>
      <c r="Q7" s="7" t="s">
        <v>28</v>
      </c>
      <c r="R7" s="7" t="s">
        <v>150</v>
      </c>
      <c r="S7">
        <v>0</v>
      </c>
      <c r="T7">
        <v>8.91892</v>
      </c>
      <c r="U7">
        <v>8.8837299999999999</v>
      </c>
      <c r="V7">
        <v>0</v>
      </c>
      <c r="W7">
        <v>3</v>
      </c>
      <c r="X7">
        <v>0</v>
      </c>
      <c r="Y7">
        <v>6</v>
      </c>
      <c r="Z7">
        <v>0</v>
      </c>
      <c r="AA7">
        <v>19.989899999999999</v>
      </c>
      <c r="AB7">
        <v>15</v>
      </c>
    </row>
    <row r="8" spans="1:28" x14ac:dyDescent="0.25">
      <c r="A8">
        <v>7</v>
      </c>
      <c r="B8">
        <v>461579371</v>
      </c>
      <c r="C8" s="7" t="s">
        <v>27</v>
      </c>
      <c r="D8">
        <v>10.0345</v>
      </c>
      <c r="E8">
        <v>2.3041299999999998</v>
      </c>
      <c r="F8">
        <v>10.0345</v>
      </c>
      <c r="G8" s="3">
        <f>firm_data[[#This Row],[production]]-firm_data[[#This Row],[sales]]</f>
        <v>0</v>
      </c>
      <c r="H8">
        <v>0</v>
      </c>
      <c r="I8">
        <v>-0.46163300000000002</v>
      </c>
      <c r="J8">
        <v>2.97</v>
      </c>
      <c r="K8">
        <v>2.97</v>
      </c>
      <c r="L8">
        <v>9.5954399999999995E-2</v>
      </c>
      <c r="M8">
        <v>5</v>
      </c>
      <c r="N8">
        <v>0</v>
      </c>
      <c r="O8">
        <v>0</v>
      </c>
      <c r="P8">
        <v>0</v>
      </c>
      <c r="Q8" s="7" t="s">
        <v>28</v>
      </c>
      <c r="R8" s="7" t="s">
        <v>150</v>
      </c>
      <c r="S8">
        <v>0</v>
      </c>
      <c r="T8">
        <v>8.7405399999999993</v>
      </c>
      <c r="U8">
        <v>8.9463699999999999</v>
      </c>
      <c r="V8">
        <v>0</v>
      </c>
      <c r="W8">
        <v>3</v>
      </c>
      <c r="X8">
        <v>0</v>
      </c>
      <c r="Y8">
        <v>6</v>
      </c>
      <c r="Z8">
        <v>0</v>
      </c>
      <c r="AA8">
        <v>19.074200000000001</v>
      </c>
      <c r="AB8">
        <v>15</v>
      </c>
    </row>
    <row r="9" spans="1:28" x14ac:dyDescent="0.25">
      <c r="A9">
        <v>8</v>
      </c>
      <c r="B9">
        <v>924166741</v>
      </c>
      <c r="C9" s="7" t="s">
        <v>27</v>
      </c>
      <c r="D9">
        <v>10.7409</v>
      </c>
      <c r="E9">
        <v>2.3041299999999998</v>
      </c>
      <c r="F9">
        <v>10.7409</v>
      </c>
      <c r="G9" s="3">
        <f>firm_data[[#This Row],[production]]-firm_data[[#This Row],[sales]]</f>
        <v>0</v>
      </c>
      <c r="H9">
        <v>0</v>
      </c>
      <c r="I9">
        <v>-0.44443100000000002</v>
      </c>
      <c r="J9">
        <v>2.9106000000000001</v>
      </c>
      <c r="K9">
        <v>2.9106000000000001</v>
      </c>
      <c r="L9">
        <v>0</v>
      </c>
      <c r="M9">
        <v>5</v>
      </c>
      <c r="N9">
        <v>0</v>
      </c>
      <c r="O9">
        <v>0</v>
      </c>
      <c r="P9">
        <v>0</v>
      </c>
      <c r="Q9" s="7" t="s">
        <v>28</v>
      </c>
      <c r="R9" s="7" t="s">
        <v>150</v>
      </c>
      <c r="S9">
        <v>0</v>
      </c>
      <c r="T9">
        <v>8.5657300000000003</v>
      </c>
      <c r="U9">
        <v>8.9326399999999992</v>
      </c>
      <c r="V9">
        <v>0</v>
      </c>
      <c r="W9">
        <v>3.0563600000000002</v>
      </c>
      <c r="X9">
        <v>0</v>
      </c>
      <c r="Y9">
        <v>6</v>
      </c>
      <c r="Z9">
        <v>0</v>
      </c>
      <c r="AA9">
        <v>18.296800000000001</v>
      </c>
      <c r="AB9">
        <v>15</v>
      </c>
    </row>
    <row r="10" spans="1:28" x14ac:dyDescent="0.25">
      <c r="A10">
        <v>9</v>
      </c>
      <c r="B10">
        <v>656175618</v>
      </c>
      <c r="C10" s="7" t="s">
        <v>27</v>
      </c>
      <c r="D10">
        <v>5.3815999999999997</v>
      </c>
      <c r="E10">
        <v>2.3041299999999998</v>
      </c>
      <c r="F10">
        <v>6.3434999999999997</v>
      </c>
      <c r="G10" s="3">
        <f>firm_data[[#This Row],[production]]-firm_data[[#This Row],[sales]]</f>
        <v>0</v>
      </c>
      <c r="H10">
        <v>0</v>
      </c>
      <c r="I10">
        <v>4.8094900000000003</v>
      </c>
      <c r="J10">
        <v>2.8523900000000002</v>
      </c>
      <c r="K10">
        <v>2.8523900000000002</v>
      </c>
      <c r="L10">
        <v>4.2762599999999998E-2</v>
      </c>
      <c r="M10">
        <v>5</v>
      </c>
      <c r="N10">
        <v>0</v>
      </c>
      <c r="O10">
        <v>0</v>
      </c>
      <c r="P10">
        <v>0</v>
      </c>
      <c r="Q10" s="7" t="s">
        <v>28</v>
      </c>
      <c r="R10" s="7" t="s">
        <v>150</v>
      </c>
      <c r="S10">
        <v>0</v>
      </c>
      <c r="T10">
        <v>10.9316</v>
      </c>
      <c r="U10">
        <v>8.8365899999999993</v>
      </c>
      <c r="V10">
        <v>4.9696300000000004</v>
      </c>
      <c r="W10">
        <v>2.9106000000000001</v>
      </c>
      <c r="X10">
        <v>2.5371899999999998</v>
      </c>
      <c r="Y10">
        <v>6</v>
      </c>
      <c r="Z10">
        <v>5.3133400000000002</v>
      </c>
      <c r="AA10">
        <v>22.892800000000001</v>
      </c>
      <c r="AB10">
        <v>10.396000000000001</v>
      </c>
    </row>
    <row r="11" spans="1:28" x14ac:dyDescent="0.25">
      <c r="A11">
        <v>10</v>
      </c>
      <c r="B11">
        <v>290272111</v>
      </c>
      <c r="C11" s="7" t="s">
        <v>27</v>
      </c>
      <c r="D11">
        <v>6.29399</v>
      </c>
      <c r="E11">
        <v>2.3041299999999998</v>
      </c>
      <c r="F11">
        <v>6.29399</v>
      </c>
      <c r="G11" s="3">
        <f>firm_data[[#This Row],[production]]-firm_data[[#This Row],[sales]]</f>
        <v>0</v>
      </c>
      <c r="H11">
        <v>0</v>
      </c>
      <c r="I11">
        <v>-0.31806499999999999</v>
      </c>
      <c r="J11">
        <v>3</v>
      </c>
      <c r="K11">
        <v>3</v>
      </c>
      <c r="L11">
        <v>3.7690800000000003E-2</v>
      </c>
      <c r="M11">
        <v>5</v>
      </c>
      <c r="N11">
        <v>0</v>
      </c>
      <c r="O11">
        <v>0</v>
      </c>
      <c r="P11">
        <v>0</v>
      </c>
      <c r="Q11" s="7" t="s">
        <v>28</v>
      </c>
      <c r="R11" s="7" t="s">
        <v>150</v>
      </c>
      <c r="S11">
        <v>0</v>
      </c>
      <c r="T11">
        <v>10.7514</v>
      </c>
      <c r="U11">
        <v>8.7011599999999998</v>
      </c>
      <c r="V11">
        <v>0</v>
      </c>
      <c r="W11">
        <v>2.8908700000000001</v>
      </c>
      <c r="X11">
        <v>0</v>
      </c>
      <c r="Y11">
        <v>6</v>
      </c>
      <c r="Z11">
        <v>0</v>
      </c>
      <c r="AA11">
        <v>22.031600000000001</v>
      </c>
      <c r="AB11">
        <v>10.396000000000001</v>
      </c>
    </row>
    <row r="12" spans="1:28" x14ac:dyDescent="0.25">
      <c r="A12">
        <v>11</v>
      </c>
      <c r="B12">
        <v>3764035</v>
      </c>
      <c r="C12" s="7" t="s">
        <v>27</v>
      </c>
      <c r="D12">
        <v>7.0629299999999997</v>
      </c>
      <c r="E12">
        <v>2.3041299999999998</v>
      </c>
      <c r="F12">
        <v>7.0629299999999997</v>
      </c>
      <c r="G12" s="3">
        <f>firm_data[[#This Row],[production]]-firm_data[[#This Row],[sales]]</f>
        <v>6.2250000000000139E-2</v>
      </c>
      <c r="H12">
        <v>0</v>
      </c>
      <c r="I12">
        <v>-0.35739900000000002</v>
      </c>
      <c r="J12">
        <v>3</v>
      </c>
      <c r="K12">
        <v>2.9377499999999999</v>
      </c>
      <c r="L12">
        <v>0</v>
      </c>
      <c r="M12">
        <v>5</v>
      </c>
      <c r="N12">
        <v>0</v>
      </c>
      <c r="O12">
        <v>6.7843399999999998E-2</v>
      </c>
      <c r="P12">
        <v>0</v>
      </c>
      <c r="Q12" s="7" t="s">
        <v>28</v>
      </c>
      <c r="R12" s="7" t="s">
        <v>150</v>
      </c>
      <c r="S12">
        <v>0</v>
      </c>
      <c r="T12">
        <v>10.571199999999999</v>
      </c>
      <c r="U12">
        <v>8.8550900000000006</v>
      </c>
      <c r="V12">
        <v>0</v>
      </c>
      <c r="W12">
        <v>3.0339200000000002</v>
      </c>
      <c r="X12">
        <v>0</v>
      </c>
      <c r="Y12">
        <v>6</v>
      </c>
      <c r="Z12">
        <v>0</v>
      </c>
      <c r="AA12">
        <v>21.267700000000001</v>
      </c>
      <c r="AB12">
        <v>10.396000000000001</v>
      </c>
    </row>
    <row r="13" spans="1:28" x14ac:dyDescent="0.25">
      <c r="A13">
        <v>12</v>
      </c>
      <c r="B13">
        <v>121302646</v>
      </c>
      <c r="C13" s="7" t="s">
        <v>27</v>
      </c>
      <c r="D13">
        <v>7.4307100000000004</v>
      </c>
      <c r="E13">
        <v>2.1225900000000002</v>
      </c>
      <c r="F13">
        <v>7.4307100000000004</v>
      </c>
      <c r="G13" s="3">
        <f>firm_data[[#This Row],[production]]-firm_data[[#This Row],[sales]]</f>
        <v>0</v>
      </c>
      <c r="H13">
        <v>0</v>
      </c>
      <c r="I13">
        <v>-0.73229</v>
      </c>
      <c r="J13">
        <v>3</v>
      </c>
      <c r="K13">
        <v>3</v>
      </c>
      <c r="L13">
        <v>0</v>
      </c>
      <c r="M13">
        <v>5</v>
      </c>
      <c r="N13">
        <v>0</v>
      </c>
      <c r="O13">
        <v>0</v>
      </c>
      <c r="P13">
        <v>0</v>
      </c>
      <c r="Q13" s="7" t="s">
        <v>28</v>
      </c>
      <c r="R13" s="7" t="s">
        <v>150</v>
      </c>
      <c r="S13">
        <v>0</v>
      </c>
      <c r="T13">
        <v>10.3911</v>
      </c>
      <c r="U13">
        <v>8.9320500000000003</v>
      </c>
      <c r="V13">
        <v>0</v>
      </c>
      <c r="W13">
        <v>2.9439700000000002</v>
      </c>
      <c r="X13">
        <v>0</v>
      </c>
      <c r="Y13">
        <v>6</v>
      </c>
      <c r="Z13">
        <v>0</v>
      </c>
      <c r="AA13">
        <v>20.523499999999999</v>
      </c>
      <c r="AB13">
        <v>10.396000000000001</v>
      </c>
    </row>
    <row r="14" spans="1:28" x14ac:dyDescent="0.25">
      <c r="A14">
        <v>13</v>
      </c>
      <c r="B14">
        <v>238110832</v>
      </c>
      <c r="C14" s="7" t="s">
        <v>27</v>
      </c>
      <c r="D14">
        <v>7.7984799999999996</v>
      </c>
      <c r="E14">
        <v>2.1225900000000002</v>
      </c>
      <c r="F14">
        <v>7.7984799999999996</v>
      </c>
      <c r="G14" s="3">
        <f>firm_data[[#This Row],[production]]-firm_data[[#This Row],[sales]]</f>
        <v>0</v>
      </c>
      <c r="H14">
        <v>0</v>
      </c>
      <c r="I14">
        <v>-0.40384999999999999</v>
      </c>
      <c r="J14">
        <v>3</v>
      </c>
      <c r="K14">
        <v>3</v>
      </c>
      <c r="L14">
        <v>0</v>
      </c>
      <c r="M14">
        <v>5</v>
      </c>
      <c r="N14">
        <v>0</v>
      </c>
      <c r="O14">
        <v>0</v>
      </c>
      <c r="P14">
        <v>0</v>
      </c>
      <c r="Q14" s="7" t="s">
        <v>28</v>
      </c>
      <c r="R14" s="7" t="s">
        <v>150</v>
      </c>
      <c r="S14">
        <v>0</v>
      </c>
      <c r="T14">
        <v>10.210900000000001</v>
      </c>
      <c r="U14">
        <v>8.9705300000000001</v>
      </c>
      <c r="V14">
        <v>0</v>
      </c>
      <c r="W14">
        <v>2.9439700000000002</v>
      </c>
      <c r="X14">
        <v>0</v>
      </c>
      <c r="Y14">
        <v>6</v>
      </c>
      <c r="Z14">
        <v>0</v>
      </c>
      <c r="AA14">
        <v>20.1067</v>
      </c>
      <c r="AB14">
        <v>10.396000000000001</v>
      </c>
    </row>
    <row r="15" spans="1:28" x14ac:dyDescent="0.25">
      <c r="A15">
        <v>14</v>
      </c>
      <c r="B15">
        <v>961221646</v>
      </c>
      <c r="C15" s="7" t="s">
        <v>27</v>
      </c>
      <c r="D15">
        <v>8.1662499999999998</v>
      </c>
      <c r="E15">
        <v>2.1225900000000002</v>
      </c>
      <c r="F15">
        <v>8.1662499999999998</v>
      </c>
      <c r="G15" s="3">
        <f>firm_data[[#This Row],[production]]-firm_data[[#This Row],[sales]]</f>
        <v>0</v>
      </c>
      <c r="H15">
        <v>0</v>
      </c>
      <c r="I15">
        <v>-0.40323399999999998</v>
      </c>
      <c r="J15">
        <v>3</v>
      </c>
      <c r="K15">
        <v>3</v>
      </c>
      <c r="L15">
        <v>0</v>
      </c>
      <c r="M15">
        <v>5</v>
      </c>
      <c r="N15">
        <v>0</v>
      </c>
      <c r="O15">
        <v>0</v>
      </c>
      <c r="P15">
        <v>0</v>
      </c>
      <c r="Q15" s="7" t="s">
        <v>28</v>
      </c>
      <c r="R15" s="7" t="s">
        <v>150</v>
      </c>
      <c r="S15">
        <v>0</v>
      </c>
      <c r="T15">
        <v>10.0307</v>
      </c>
      <c r="U15">
        <v>8.98977</v>
      </c>
      <c r="V15">
        <v>0</v>
      </c>
      <c r="W15">
        <v>2.9439700000000002</v>
      </c>
      <c r="X15">
        <v>0</v>
      </c>
      <c r="Y15">
        <v>6</v>
      </c>
      <c r="Z15">
        <v>0</v>
      </c>
      <c r="AA15">
        <v>19.689399999999999</v>
      </c>
      <c r="AB15">
        <v>10.396000000000001</v>
      </c>
    </row>
    <row r="16" spans="1:28" x14ac:dyDescent="0.25">
      <c r="A16">
        <v>15</v>
      </c>
      <c r="B16">
        <v>831476582</v>
      </c>
      <c r="C16" s="7" t="s">
        <v>27</v>
      </c>
      <c r="D16">
        <v>8.5340199999999999</v>
      </c>
      <c r="E16">
        <v>2.1225900000000002</v>
      </c>
      <c r="F16">
        <v>8.5340199999999999</v>
      </c>
      <c r="G16" s="3">
        <f>firm_data[[#This Row],[production]]-firm_data[[#This Row],[sales]]</f>
        <v>0</v>
      </c>
      <c r="H16">
        <v>0</v>
      </c>
      <c r="I16">
        <v>-0.39193299999999998</v>
      </c>
      <c r="J16">
        <v>3</v>
      </c>
      <c r="K16">
        <v>3</v>
      </c>
      <c r="L16">
        <v>0</v>
      </c>
      <c r="M16">
        <v>5</v>
      </c>
      <c r="N16">
        <v>0</v>
      </c>
      <c r="O16">
        <v>0</v>
      </c>
      <c r="P16">
        <v>0</v>
      </c>
      <c r="Q16" s="7" t="s">
        <v>28</v>
      </c>
      <c r="R16" s="7" t="s">
        <v>150</v>
      </c>
      <c r="S16">
        <v>0</v>
      </c>
      <c r="T16">
        <v>9.8505199999999995</v>
      </c>
      <c r="U16">
        <v>8.99939</v>
      </c>
      <c r="V16">
        <v>0</v>
      </c>
      <c r="W16">
        <v>2.9439700000000002</v>
      </c>
      <c r="X16">
        <v>0</v>
      </c>
      <c r="Y16">
        <v>6</v>
      </c>
      <c r="Z16">
        <v>0</v>
      </c>
      <c r="AA16">
        <v>19.282399999999999</v>
      </c>
      <c r="AB16">
        <v>10.396000000000001</v>
      </c>
    </row>
    <row r="17" spans="1:28" x14ac:dyDescent="0.25">
      <c r="A17">
        <v>16</v>
      </c>
      <c r="B17">
        <v>104392272</v>
      </c>
      <c r="C17" s="7" t="s">
        <v>27</v>
      </c>
      <c r="D17">
        <v>8.9017900000000001</v>
      </c>
      <c r="E17">
        <v>2.1225900000000002</v>
      </c>
      <c r="F17">
        <v>8.9017900000000001</v>
      </c>
      <c r="G17" s="3">
        <f>firm_data[[#This Row],[production]]-firm_data[[#This Row],[sales]]</f>
        <v>0</v>
      </c>
      <c r="H17">
        <v>0</v>
      </c>
      <c r="I17">
        <v>-0.32324900000000001</v>
      </c>
      <c r="J17">
        <v>3</v>
      </c>
      <c r="K17">
        <v>3</v>
      </c>
      <c r="L17">
        <v>0</v>
      </c>
      <c r="M17">
        <v>5</v>
      </c>
      <c r="N17">
        <v>0</v>
      </c>
      <c r="O17">
        <v>0</v>
      </c>
      <c r="P17">
        <v>0</v>
      </c>
      <c r="Q17" s="7" t="s">
        <v>28</v>
      </c>
      <c r="R17" s="7" t="s">
        <v>150</v>
      </c>
      <c r="S17">
        <v>0</v>
      </c>
      <c r="T17">
        <v>9.6703399999999995</v>
      </c>
      <c r="U17">
        <v>9.0042000000000009</v>
      </c>
      <c r="V17">
        <v>0</v>
      </c>
      <c r="W17">
        <v>2.9439700000000002</v>
      </c>
      <c r="X17">
        <v>0</v>
      </c>
      <c r="Y17">
        <v>6</v>
      </c>
      <c r="Z17">
        <v>0</v>
      </c>
      <c r="AA17">
        <v>18.944299999999998</v>
      </c>
      <c r="AB17">
        <v>10.396000000000001</v>
      </c>
    </row>
    <row r="18" spans="1:28" x14ac:dyDescent="0.25">
      <c r="A18">
        <v>17</v>
      </c>
      <c r="B18">
        <v>916001675</v>
      </c>
      <c r="C18" s="7" t="s">
        <v>27</v>
      </c>
      <c r="D18">
        <v>9.2695600000000002</v>
      </c>
      <c r="E18">
        <v>2.1225900000000002</v>
      </c>
      <c r="F18">
        <v>9.2695600000000002</v>
      </c>
      <c r="G18" s="3">
        <f>firm_data[[#This Row],[production]]-firm_data[[#This Row],[sales]]</f>
        <v>0</v>
      </c>
      <c r="H18">
        <v>0</v>
      </c>
      <c r="I18">
        <v>-0.32722299999999999</v>
      </c>
      <c r="J18">
        <v>3</v>
      </c>
      <c r="K18">
        <v>3</v>
      </c>
      <c r="L18">
        <v>0</v>
      </c>
      <c r="M18">
        <v>5</v>
      </c>
      <c r="N18">
        <v>0</v>
      </c>
      <c r="O18">
        <v>0</v>
      </c>
      <c r="P18">
        <v>0</v>
      </c>
      <c r="Q18" s="7" t="s">
        <v>28</v>
      </c>
      <c r="R18" s="7" t="s">
        <v>150</v>
      </c>
      <c r="S18">
        <v>0</v>
      </c>
      <c r="T18">
        <v>9.4901599999999995</v>
      </c>
      <c r="U18">
        <v>9.0066000000000006</v>
      </c>
      <c r="V18">
        <v>0</v>
      </c>
      <c r="W18">
        <v>2.9439700000000002</v>
      </c>
      <c r="X18">
        <v>0</v>
      </c>
      <c r="Y18">
        <v>6</v>
      </c>
      <c r="Z18">
        <v>0</v>
      </c>
      <c r="AA18">
        <v>18.602499999999999</v>
      </c>
      <c r="AB18">
        <v>10.396000000000001</v>
      </c>
    </row>
    <row r="19" spans="1:28" x14ac:dyDescent="0.25">
      <c r="A19">
        <v>18</v>
      </c>
      <c r="B19">
        <v>936052797</v>
      </c>
      <c r="C19" s="7" t="s">
        <v>27</v>
      </c>
      <c r="D19">
        <v>9.6373300000000004</v>
      </c>
      <c r="E19">
        <v>2.1225900000000002</v>
      </c>
      <c r="F19">
        <v>9.6373300000000004</v>
      </c>
      <c r="G19" s="3">
        <f>firm_data[[#This Row],[production]]-firm_data[[#This Row],[sales]]</f>
        <v>0</v>
      </c>
      <c r="H19">
        <v>0</v>
      </c>
      <c r="I19">
        <v>-0.28475</v>
      </c>
      <c r="J19">
        <v>3</v>
      </c>
      <c r="K19">
        <v>3</v>
      </c>
      <c r="L19">
        <v>0</v>
      </c>
      <c r="M19">
        <v>5</v>
      </c>
      <c r="N19">
        <v>0</v>
      </c>
      <c r="O19">
        <v>0</v>
      </c>
      <c r="P19">
        <v>0</v>
      </c>
      <c r="Q19" s="7" t="s">
        <v>28</v>
      </c>
      <c r="R19" s="7" t="s">
        <v>150</v>
      </c>
      <c r="S19">
        <v>0</v>
      </c>
      <c r="T19">
        <v>9.3099799999999995</v>
      </c>
      <c r="U19">
        <v>9.0078099999999992</v>
      </c>
      <c r="V19">
        <v>0</v>
      </c>
      <c r="W19">
        <v>2.9439700000000002</v>
      </c>
      <c r="X19">
        <v>0</v>
      </c>
      <c r="Y19">
        <v>6</v>
      </c>
      <c r="Z19">
        <v>0</v>
      </c>
      <c r="AA19">
        <v>18.304300000000001</v>
      </c>
      <c r="AB19">
        <v>10.396000000000001</v>
      </c>
    </row>
    <row r="20" spans="1:28" x14ac:dyDescent="0.25">
      <c r="A20">
        <v>19</v>
      </c>
      <c r="B20">
        <v>77616671</v>
      </c>
      <c r="C20" s="7" t="s">
        <v>27</v>
      </c>
      <c r="D20">
        <v>6.8630699999999996</v>
      </c>
      <c r="E20">
        <v>2.1225900000000002</v>
      </c>
      <c r="F20">
        <v>7.3577000000000004</v>
      </c>
      <c r="G20" s="3">
        <f>firm_data[[#This Row],[production]]-firm_data[[#This Row],[sales]]</f>
        <v>0</v>
      </c>
      <c r="H20">
        <v>0</v>
      </c>
      <c r="I20">
        <v>2.4731299999999998</v>
      </c>
      <c r="J20">
        <v>3</v>
      </c>
      <c r="K20">
        <v>3</v>
      </c>
      <c r="L20">
        <v>0</v>
      </c>
      <c r="M20">
        <v>5</v>
      </c>
      <c r="N20">
        <v>0</v>
      </c>
      <c r="O20">
        <v>0</v>
      </c>
      <c r="P20">
        <v>0</v>
      </c>
      <c r="Q20" s="7" t="s">
        <v>28</v>
      </c>
      <c r="R20" s="7" t="s">
        <v>150</v>
      </c>
      <c r="S20">
        <v>0</v>
      </c>
      <c r="T20">
        <v>10.527200000000001</v>
      </c>
      <c r="U20">
        <v>9.0084099999999996</v>
      </c>
      <c r="V20">
        <v>2.6474000000000002</v>
      </c>
      <c r="W20">
        <v>2.9439700000000002</v>
      </c>
      <c r="X20">
        <v>2.0088200000000001</v>
      </c>
      <c r="Y20">
        <v>6</v>
      </c>
      <c r="Z20">
        <v>3.9624299999999999</v>
      </c>
      <c r="AA20">
        <v>20.765000000000001</v>
      </c>
      <c r="AB20">
        <v>10.598100000000001</v>
      </c>
    </row>
    <row r="21" spans="1:28" x14ac:dyDescent="0.25">
      <c r="A21">
        <v>20</v>
      </c>
      <c r="B21">
        <v>680394204</v>
      </c>
      <c r="C21" s="7" t="s">
        <v>27</v>
      </c>
      <c r="D21">
        <v>7.2308500000000002</v>
      </c>
      <c r="E21">
        <v>2.1225900000000002</v>
      </c>
      <c r="F21">
        <v>7.2308500000000002</v>
      </c>
      <c r="G21" s="3">
        <f>firm_data[[#This Row],[production]]-firm_data[[#This Row],[sales]]</f>
        <v>0</v>
      </c>
      <c r="H21">
        <v>0</v>
      </c>
      <c r="I21">
        <v>-0.29058200000000001</v>
      </c>
      <c r="J21">
        <v>3</v>
      </c>
      <c r="K21">
        <v>3</v>
      </c>
      <c r="L21">
        <v>0</v>
      </c>
      <c r="M21">
        <v>5</v>
      </c>
      <c r="N21">
        <v>0</v>
      </c>
      <c r="O21">
        <v>0</v>
      </c>
      <c r="P21">
        <v>0</v>
      </c>
      <c r="Q21" s="7" t="s">
        <v>28</v>
      </c>
      <c r="R21" s="7" t="s">
        <v>150</v>
      </c>
      <c r="S21">
        <v>0</v>
      </c>
      <c r="T21">
        <v>10.347</v>
      </c>
      <c r="U21">
        <v>9.0087100000000007</v>
      </c>
      <c r="V21">
        <v>0</v>
      </c>
      <c r="W21">
        <v>2.9439700000000002</v>
      </c>
      <c r="X21">
        <v>0</v>
      </c>
      <c r="Y21">
        <v>6</v>
      </c>
      <c r="Z21">
        <v>0</v>
      </c>
      <c r="AA21">
        <v>20.463000000000001</v>
      </c>
      <c r="AB21">
        <v>10.598100000000001</v>
      </c>
    </row>
    <row r="22" spans="1:28" x14ac:dyDescent="0.25">
      <c r="A22">
        <v>21</v>
      </c>
      <c r="B22">
        <v>658983578</v>
      </c>
      <c r="C22" s="7" t="s">
        <v>27</v>
      </c>
      <c r="D22">
        <v>7.5986200000000004</v>
      </c>
      <c r="E22">
        <v>2.1225900000000002</v>
      </c>
      <c r="F22">
        <v>7.5986200000000004</v>
      </c>
      <c r="G22" s="3">
        <f>firm_data[[#This Row],[production]]-firm_data[[#This Row],[sales]]</f>
        <v>0</v>
      </c>
      <c r="H22">
        <v>0</v>
      </c>
      <c r="I22">
        <v>-0.270592</v>
      </c>
      <c r="J22">
        <v>3</v>
      </c>
      <c r="K22">
        <v>3</v>
      </c>
      <c r="L22">
        <v>0</v>
      </c>
      <c r="M22">
        <v>5</v>
      </c>
      <c r="N22">
        <v>0</v>
      </c>
      <c r="O22">
        <v>0</v>
      </c>
      <c r="P22">
        <v>0</v>
      </c>
      <c r="Q22" s="7" t="s">
        <v>28</v>
      </c>
      <c r="R22" s="7" t="s">
        <v>150</v>
      </c>
      <c r="S22">
        <v>0</v>
      </c>
      <c r="T22">
        <v>10.1668</v>
      </c>
      <c r="U22">
        <v>9.0088600000000003</v>
      </c>
      <c r="V22">
        <v>0</v>
      </c>
      <c r="W22">
        <v>2.9439700000000002</v>
      </c>
      <c r="X22">
        <v>0</v>
      </c>
      <c r="Y22">
        <v>6</v>
      </c>
      <c r="Z22">
        <v>0</v>
      </c>
      <c r="AA22">
        <v>20.182300000000001</v>
      </c>
      <c r="AB22">
        <v>10.598100000000001</v>
      </c>
    </row>
    <row r="23" spans="1:28" x14ac:dyDescent="0.25">
      <c r="A23">
        <v>22</v>
      </c>
      <c r="B23">
        <v>211060894</v>
      </c>
      <c r="C23" s="7" t="s">
        <v>27</v>
      </c>
      <c r="D23">
        <v>7.9663899999999996</v>
      </c>
      <c r="E23">
        <v>2.1225900000000002</v>
      </c>
      <c r="F23">
        <v>7.9663899999999996</v>
      </c>
      <c r="G23" s="3">
        <f>firm_data[[#This Row],[production]]-firm_data[[#This Row],[sales]]</f>
        <v>0</v>
      </c>
      <c r="H23">
        <v>0</v>
      </c>
      <c r="I23">
        <v>-0.25189699999999998</v>
      </c>
      <c r="J23">
        <v>3</v>
      </c>
      <c r="K23">
        <v>3</v>
      </c>
      <c r="L23">
        <v>0</v>
      </c>
      <c r="M23">
        <v>5</v>
      </c>
      <c r="N23">
        <v>0</v>
      </c>
      <c r="O23">
        <v>0</v>
      </c>
      <c r="P23">
        <v>0</v>
      </c>
      <c r="Q23" s="7" t="s">
        <v>28</v>
      </c>
      <c r="R23" s="7" t="s">
        <v>150</v>
      </c>
      <c r="S23">
        <v>0</v>
      </c>
      <c r="T23">
        <v>9.9866200000000003</v>
      </c>
      <c r="U23">
        <v>9.0089299999999994</v>
      </c>
      <c r="V23">
        <v>0</v>
      </c>
      <c r="W23">
        <v>2.9439700000000002</v>
      </c>
      <c r="X23">
        <v>0</v>
      </c>
      <c r="Y23">
        <v>6</v>
      </c>
      <c r="Z23">
        <v>0</v>
      </c>
      <c r="AA23">
        <v>19.9221</v>
      </c>
      <c r="AB23">
        <v>10.598100000000001</v>
      </c>
    </row>
    <row r="24" spans="1:28" x14ac:dyDescent="0.25">
      <c r="A24">
        <v>23</v>
      </c>
      <c r="B24">
        <v>770567819</v>
      </c>
      <c r="C24" s="7" t="s">
        <v>27</v>
      </c>
      <c r="D24">
        <v>8.3341600000000007</v>
      </c>
      <c r="E24">
        <v>2.1225900000000002</v>
      </c>
      <c r="F24">
        <v>8.3341600000000007</v>
      </c>
      <c r="G24" s="3">
        <f>firm_data[[#This Row],[production]]-firm_data[[#This Row],[sales]]</f>
        <v>0</v>
      </c>
      <c r="H24">
        <v>0</v>
      </c>
      <c r="I24">
        <v>-0.246694</v>
      </c>
      <c r="J24">
        <v>3</v>
      </c>
      <c r="K24">
        <v>3</v>
      </c>
      <c r="L24">
        <v>0</v>
      </c>
      <c r="M24">
        <v>5</v>
      </c>
      <c r="N24">
        <v>0</v>
      </c>
      <c r="O24">
        <v>0</v>
      </c>
      <c r="P24">
        <v>0</v>
      </c>
      <c r="Q24" s="7" t="s">
        <v>28</v>
      </c>
      <c r="R24" s="7" t="s">
        <v>150</v>
      </c>
      <c r="S24">
        <v>0</v>
      </c>
      <c r="T24">
        <v>9.8064499999999999</v>
      </c>
      <c r="U24">
        <v>9.0089699999999997</v>
      </c>
      <c r="V24">
        <v>0</v>
      </c>
      <c r="W24">
        <v>2.9439700000000002</v>
      </c>
      <c r="X24">
        <v>0</v>
      </c>
      <c r="Y24">
        <v>6</v>
      </c>
      <c r="Z24">
        <v>0</v>
      </c>
      <c r="AA24">
        <v>19.669</v>
      </c>
      <c r="AB24">
        <v>10.598100000000001</v>
      </c>
    </row>
    <row r="25" spans="1:28" x14ac:dyDescent="0.25">
      <c r="A25">
        <v>24</v>
      </c>
      <c r="B25">
        <v>501229029</v>
      </c>
      <c r="C25" s="7" t="s">
        <v>27</v>
      </c>
      <c r="D25">
        <v>8.7019300000000008</v>
      </c>
      <c r="E25">
        <v>2.1225900000000002</v>
      </c>
      <c r="F25">
        <v>8.7019300000000008</v>
      </c>
      <c r="G25" s="3">
        <f>firm_data[[#This Row],[production]]-firm_data[[#This Row],[sales]]</f>
        <v>0</v>
      </c>
      <c r="H25">
        <v>0</v>
      </c>
      <c r="I25">
        <v>-0.222471</v>
      </c>
      <c r="J25">
        <v>3</v>
      </c>
      <c r="K25">
        <v>3</v>
      </c>
      <c r="L25">
        <v>0</v>
      </c>
      <c r="M25">
        <v>5</v>
      </c>
      <c r="N25">
        <v>0</v>
      </c>
      <c r="O25">
        <v>0</v>
      </c>
      <c r="P25">
        <v>0</v>
      </c>
      <c r="Q25" s="7" t="s">
        <v>28</v>
      </c>
      <c r="R25" s="7" t="s">
        <v>150</v>
      </c>
      <c r="S25">
        <v>0</v>
      </c>
      <c r="T25">
        <v>9.6262600000000003</v>
      </c>
      <c r="U25">
        <v>9.0089900000000007</v>
      </c>
      <c r="V25">
        <v>0</v>
      </c>
      <c r="W25">
        <v>2.9439700000000002</v>
      </c>
      <c r="X25">
        <v>0</v>
      </c>
      <c r="Y25">
        <v>6</v>
      </c>
      <c r="Z25">
        <v>0</v>
      </c>
      <c r="AA25">
        <v>19.442699999999999</v>
      </c>
      <c r="AB25">
        <v>10.598100000000001</v>
      </c>
    </row>
    <row r="26" spans="1:28" x14ac:dyDescent="0.25">
      <c r="A26">
        <v>25</v>
      </c>
      <c r="B26">
        <v>276334154</v>
      </c>
      <c r="C26" s="7" t="s">
        <v>27</v>
      </c>
      <c r="D26">
        <v>9.0696999999999992</v>
      </c>
      <c r="E26">
        <v>2.1225900000000002</v>
      </c>
      <c r="F26">
        <v>9.0696999999999992</v>
      </c>
      <c r="G26" s="3">
        <f>firm_data[[#This Row],[production]]-firm_data[[#This Row],[sales]]</f>
        <v>0</v>
      </c>
      <c r="H26">
        <v>0</v>
      </c>
      <c r="I26">
        <v>-0.20371500000000001</v>
      </c>
      <c r="J26">
        <v>3</v>
      </c>
      <c r="K26">
        <v>3</v>
      </c>
      <c r="L26">
        <v>0</v>
      </c>
      <c r="M26">
        <v>5</v>
      </c>
      <c r="N26">
        <v>0</v>
      </c>
      <c r="O26">
        <v>0</v>
      </c>
      <c r="P26">
        <v>0</v>
      </c>
      <c r="Q26" s="7" t="s">
        <v>28</v>
      </c>
      <c r="R26" s="7" t="s">
        <v>150</v>
      </c>
      <c r="S26">
        <v>0</v>
      </c>
      <c r="T26">
        <v>9.4460800000000003</v>
      </c>
      <c r="U26">
        <v>9.0090000000000003</v>
      </c>
      <c r="V26">
        <v>0</v>
      </c>
      <c r="W26">
        <v>2.9439700000000002</v>
      </c>
      <c r="X26">
        <v>0</v>
      </c>
      <c r="Y26">
        <v>6</v>
      </c>
      <c r="Z26">
        <v>0</v>
      </c>
      <c r="AA26">
        <v>19.238199999999999</v>
      </c>
      <c r="AB26">
        <v>10.598100000000001</v>
      </c>
    </row>
    <row r="27" spans="1:28" x14ac:dyDescent="0.25">
      <c r="A27">
        <v>26</v>
      </c>
      <c r="B27">
        <v>502571959</v>
      </c>
      <c r="C27" s="7" t="s">
        <v>27</v>
      </c>
      <c r="D27">
        <v>9.4374699999999994</v>
      </c>
      <c r="E27">
        <v>2.1225900000000002</v>
      </c>
      <c r="F27">
        <v>9.4374699999999994</v>
      </c>
      <c r="G27" s="3">
        <f>firm_data[[#This Row],[production]]-firm_data[[#This Row],[sales]]</f>
        <v>0</v>
      </c>
      <c r="H27">
        <v>0</v>
      </c>
      <c r="I27">
        <v>-0.30121199999999998</v>
      </c>
      <c r="J27">
        <v>3</v>
      </c>
      <c r="K27">
        <v>3</v>
      </c>
      <c r="L27">
        <v>0</v>
      </c>
      <c r="M27">
        <v>5</v>
      </c>
      <c r="N27">
        <v>0</v>
      </c>
      <c r="O27">
        <v>0</v>
      </c>
      <c r="P27">
        <v>0</v>
      </c>
      <c r="Q27" s="7" t="s">
        <v>28</v>
      </c>
      <c r="R27" s="7" t="s">
        <v>150</v>
      </c>
      <c r="S27">
        <v>0</v>
      </c>
      <c r="T27">
        <v>9.2659000000000002</v>
      </c>
      <c r="U27">
        <v>9.0090000000000003</v>
      </c>
      <c r="V27">
        <v>0</v>
      </c>
      <c r="W27">
        <v>2.9439700000000002</v>
      </c>
      <c r="X27">
        <v>0</v>
      </c>
      <c r="Y27">
        <v>6</v>
      </c>
      <c r="Z27">
        <v>0</v>
      </c>
      <c r="AA27">
        <v>18.9375</v>
      </c>
      <c r="AB27">
        <v>10.598100000000001</v>
      </c>
    </row>
    <row r="28" spans="1:28" x14ac:dyDescent="0.25">
      <c r="A28">
        <v>27</v>
      </c>
      <c r="B28">
        <v>131486380</v>
      </c>
      <c r="C28" s="7" t="s">
        <v>27</v>
      </c>
      <c r="D28">
        <v>9.8052399999999995</v>
      </c>
      <c r="E28">
        <v>2.1225900000000002</v>
      </c>
      <c r="F28">
        <v>9.8052399999999995</v>
      </c>
      <c r="G28" s="3">
        <f>firm_data[[#This Row],[production]]-firm_data[[#This Row],[sales]]</f>
        <v>0</v>
      </c>
      <c r="H28">
        <v>0</v>
      </c>
      <c r="I28">
        <v>-0.21163499999999999</v>
      </c>
      <c r="J28">
        <v>3</v>
      </c>
      <c r="K28">
        <v>3</v>
      </c>
      <c r="L28">
        <v>6.5579600000000002E-2</v>
      </c>
      <c r="M28">
        <v>5</v>
      </c>
      <c r="N28">
        <v>0</v>
      </c>
      <c r="O28">
        <v>0</v>
      </c>
      <c r="P28">
        <v>0</v>
      </c>
      <c r="Q28" s="7" t="s">
        <v>28</v>
      </c>
      <c r="R28" s="7" t="s">
        <v>150</v>
      </c>
      <c r="S28">
        <v>0</v>
      </c>
      <c r="T28">
        <v>9.0857200000000002</v>
      </c>
      <c r="U28">
        <v>9.00901</v>
      </c>
      <c r="V28">
        <v>0</v>
      </c>
      <c r="W28">
        <v>2.9439700000000002</v>
      </c>
      <c r="X28">
        <v>0</v>
      </c>
      <c r="Y28">
        <v>6</v>
      </c>
      <c r="Z28">
        <v>0</v>
      </c>
      <c r="AA28">
        <v>18.729500000000002</v>
      </c>
      <c r="AB28">
        <v>10.598100000000001</v>
      </c>
    </row>
    <row r="29" spans="1:28" x14ac:dyDescent="0.25">
      <c r="A29">
        <v>28</v>
      </c>
      <c r="B29">
        <v>811259257</v>
      </c>
      <c r="C29" s="7" t="s">
        <v>27</v>
      </c>
      <c r="D29">
        <v>10.257300000000001</v>
      </c>
      <c r="E29">
        <v>2.15069</v>
      </c>
      <c r="F29">
        <v>10.257300000000001</v>
      </c>
      <c r="G29" s="3">
        <f>firm_data[[#This Row],[production]]-firm_data[[#This Row],[sales]]</f>
        <v>0</v>
      </c>
      <c r="H29">
        <v>0</v>
      </c>
      <c r="I29">
        <v>-0.117605</v>
      </c>
      <c r="J29">
        <v>3</v>
      </c>
      <c r="K29">
        <v>3</v>
      </c>
      <c r="L29">
        <v>1.14585E-2</v>
      </c>
      <c r="M29">
        <v>5</v>
      </c>
      <c r="N29">
        <v>0</v>
      </c>
      <c r="O29">
        <v>0</v>
      </c>
      <c r="P29">
        <v>0</v>
      </c>
      <c r="Q29" s="7" t="s">
        <v>28</v>
      </c>
      <c r="R29" s="7" t="s">
        <v>150</v>
      </c>
      <c r="S29">
        <v>0</v>
      </c>
      <c r="T29">
        <v>8.9055400000000002</v>
      </c>
      <c r="U29">
        <v>9.00901</v>
      </c>
      <c r="V29">
        <v>0</v>
      </c>
      <c r="W29">
        <v>2.9439700000000002</v>
      </c>
      <c r="X29">
        <v>0</v>
      </c>
      <c r="Y29">
        <v>6</v>
      </c>
      <c r="Z29">
        <v>0</v>
      </c>
      <c r="AA29">
        <v>18.534800000000001</v>
      </c>
      <c r="AB29">
        <v>10.598100000000001</v>
      </c>
    </row>
    <row r="30" spans="1:28" x14ac:dyDescent="0.25">
      <c r="A30">
        <v>29</v>
      </c>
      <c r="B30">
        <v>802722953</v>
      </c>
      <c r="C30" s="7" t="s">
        <v>27</v>
      </c>
      <c r="D30">
        <v>10.637700000000001</v>
      </c>
      <c r="E30">
        <v>2.15151</v>
      </c>
      <c r="F30">
        <v>10.637700000000001</v>
      </c>
      <c r="G30" s="3">
        <f>firm_data[[#This Row],[production]]-firm_data[[#This Row],[sales]]</f>
        <v>0</v>
      </c>
      <c r="H30">
        <v>0</v>
      </c>
      <c r="I30">
        <v>-0.155052</v>
      </c>
      <c r="J30">
        <v>2.9655499999999999</v>
      </c>
      <c r="K30">
        <v>2.9655499999999999</v>
      </c>
      <c r="L30">
        <v>0</v>
      </c>
      <c r="M30">
        <v>5</v>
      </c>
      <c r="N30">
        <v>0</v>
      </c>
      <c r="O30">
        <v>0</v>
      </c>
      <c r="P30">
        <v>0</v>
      </c>
      <c r="Q30" s="7" t="s">
        <v>28</v>
      </c>
      <c r="R30" s="7" t="s">
        <v>150</v>
      </c>
      <c r="S30">
        <v>0</v>
      </c>
      <c r="T30">
        <v>8.72743</v>
      </c>
      <c r="U30">
        <v>9.00901</v>
      </c>
      <c r="V30">
        <v>0</v>
      </c>
      <c r="W30">
        <v>2.9439700000000002</v>
      </c>
      <c r="X30">
        <v>0</v>
      </c>
      <c r="Y30">
        <v>6</v>
      </c>
      <c r="Z30">
        <v>0</v>
      </c>
      <c r="AA30">
        <v>18.374300000000002</v>
      </c>
      <c r="AB30">
        <v>10.598100000000001</v>
      </c>
    </row>
    <row r="31" spans="1:28" x14ac:dyDescent="0.25">
      <c r="A31">
        <v>30</v>
      </c>
      <c r="B31">
        <v>61986554</v>
      </c>
      <c r="C31" s="7" t="s">
        <v>27</v>
      </c>
      <c r="D31">
        <v>10.890499999999999</v>
      </c>
      <c r="E31">
        <v>2.15151</v>
      </c>
      <c r="F31">
        <v>10.890499999999999</v>
      </c>
      <c r="G31" s="3">
        <f>firm_data[[#This Row],[production]]-firm_data[[#This Row],[sales]]</f>
        <v>0</v>
      </c>
      <c r="H31">
        <v>0</v>
      </c>
      <c r="I31">
        <v>-0.35432900000000001</v>
      </c>
      <c r="J31">
        <v>2.9062399999999999</v>
      </c>
      <c r="K31">
        <v>2.9062399999999999</v>
      </c>
      <c r="L31">
        <v>9.3566199999999995E-3</v>
      </c>
      <c r="M31">
        <v>5</v>
      </c>
      <c r="N31">
        <v>0</v>
      </c>
      <c r="O31">
        <v>0</v>
      </c>
      <c r="P31">
        <v>0</v>
      </c>
      <c r="Q31" s="7" t="s">
        <v>28</v>
      </c>
      <c r="R31" s="7" t="s">
        <v>150</v>
      </c>
      <c r="S31">
        <v>0</v>
      </c>
      <c r="T31">
        <v>8.55288</v>
      </c>
      <c r="U31">
        <v>8.9572800000000008</v>
      </c>
      <c r="V31">
        <v>0</v>
      </c>
      <c r="W31">
        <v>2.9439700000000002</v>
      </c>
      <c r="X31">
        <v>0</v>
      </c>
      <c r="Y31">
        <v>6</v>
      </c>
      <c r="Z31">
        <v>0</v>
      </c>
      <c r="AA31">
        <v>18.1373</v>
      </c>
      <c r="AB31">
        <v>10.598100000000001</v>
      </c>
    </row>
    <row r="32" spans="1:28" x14ac:dyDescent="0.25">
      <c r="A32">
        <v>31</v>
      </c>
      <c r="B32">
        <v>238863426</v>
      </c>
      <c r="C32" s="7" t="s">
        <v>27</v>
      </c>
      <c r="D32">
        <v>11.085000000000001</v>
      </c>
      <c r="E32">
        <v>2.1749299999999998</v>
      </c>
      <c r="F32">
        <v>11.085000000000001</v>
      </c>
      <c r="G32" s="3">
        <f>firm_data[[#This Row],[production]]-firm_data[[#This Row],[sales]]</f>
        <v>0</v>
      </c>
      <c r="H32">
        <v>0</v>
      </c>
      <c r="I32">
        <v>-0.51776699999999998</v>
      </c>
      <c r="J32">
        <v>2.8481100000000001</v>
      </c>
      <c r="K32">
        <v>2.8481100000000001</v>
      </c>
      <c r="L32">
        <v>0</v>
      </c>
      <c r="M32">
        <v>5</v>
      </c>
      <c r="N32">
        <v>0</v>
      </c>
      <c r="O32">
        <v>0</v>
      </c>
      <c r="P32">
        <v>0</v>
      </c>
      <c r="Q32" s="7" t="s">
        <v>28</v>
      </c>
      <c r="R32" s="7" t="s">
        <v>150</v>
      </c>
      <c r="S32">
        <v>0</v>
      </c>
      <c r="T32">
        <v>8.3818300000000008</v>
      </c>
      <c r="U32">
        <v>8.8423499999999997</v>
      </c>
      <c r="V32">
        <v>0</v>
      </c>
      <c r="W32">
        <v>2.91466</v>
      </c>
      <c r="X32">
        <v>0</v>
      </c>
      <c r="Y32">
        <v>6</v>
      </c>
      <c r="Z32">
        <v>0</v>
      </c>
      <c r="AA32">
        <v>17.7881</v>
      </c>
      <c r="AB32">
        <v>10.598100000000001</v>
      </c>
    </row>
    <row r="33" spans="1:28" x14ac:dyDescent="0.25">
      <c r="A33">
        <v>32</v>
      </c>
      <c r="B33">
        <v>56500805</v>
      </c>
      <c r="C33" s="7" t="s">
        <v>27</v>
      </c>
      <c r="D33">
        <v>8.7711799999999993</v>
      </c>
      <c r="E33">
        <v>2.1749299999999998</v>
      </c>
      <c r="F33">
        <v>9.0687200000000008</v>
      </c>
      <c r="G33" s="3">
        <f>firm_data[[#This Row],[production]]-firm_data[[#This Row],[sales]]</f>
        <v>0</v>
      </c>
      <c r="H33">
        <v>0</v>
      </c>
      <c r="I33">
        <v>1.4877100000000001</v>
      </c>
      <c r="J33">
        <v>2.79115</v>
      </c>
      <c r="K33">
        <v>2.79115</v>
      </c>
      <c r="L33">
        <v>0.92610300000000001</v>
      </c>
      <c r="M33">
        <v>5</v>
      </c>
      <c r="N33">
        <v>0</v>
      </c>
      <c r="O33">
        <v>0</v>
      </c>
      <c r="P33">
        <v>0</v>
      </c>
      <c r="Q33" s="7" t="s">
        <v>28</v>
      </c>
      <c r="R33" s="7" t="s">
        <v>150</v>
      </c>
      <c r="S33">
        <v>0</v>
      </c>
      <c r="T33">
        <v>9.1843900000000005</v>
      </c>
      <c r="U33">
        <v>8.6976200000000006</v>
      </c>
      <c r="V33">
        <v>2.0868099999999998</v>
      </c>
      <c r="W33">
        <v>2.8481100000000001</v>
      </c>
      <c r="X33">
        <v>2.5464799999999999</v>
      </c>
      <c r="Y33">
        <v>6</v>
      </c>
      <c r="Z33">
        <v>5.4238900000000001</v>
      </c>
      <c r="AA33">
        <v>19.5624</v>
      </c>
      <c r="AB33">
        <v>10.2325</v>
      </c>
    </row>
    <row r="34" spans="1:28" x14ac:dyDescent="0.25">
      <c r="A34">
        <v>33</v>
      </c>
      <c r="B34">
        <v>578502809</v>
      </c>
      <c r="C34" s="7" t="s">
        <v>27</v>
      </c>
      <c r="D34">
        <v>9.2959800000000001</v>
      </c>
      <c r="E34">
        <v>2.1749299999999998</v>
      </c>
      <c r="F34">
        <v>9.2959800000000001</v>
      </c>
      <c r="G34" s="3">
        <f>firm_data[[#This Row],[production]]-firm_data[[#This Row],[sales]]</f>
        <v>0</v>
      </c>
      <c r="H34">
        <v>0</v>
      </c>
      <c r="I34">
        <v>-6.8475800000000003E-2</v>
      </c>
      <c r="J34">
        <v>3</v>
      </c>
      <c r="K34">
        <v>3</v>
      </c>
      <c r="L34">
        <v>0.544937</v>
      </c>
      <c r="M34">
        <v>5</v>
      </c>
      <c r="N34">
        <v>0</v>
      </c>
      <c r="O34">
        <v>0.11680400000000001</v>
      </c>
      <c r="P34">
        <v>0</v>
      </c>
      <c r="Q34" s="7" t="s">
        <v>28</v>
      </c>
      <c r="R34" s="7" t="s">
        <v>150</v>
      </c>
      <c r="S34">
        <v>0</v>
      </c>
      <c r="T34">
        <v>9.0042100000000005</v>
      </c>
      <c r="U34">
        <v>8.5397200000000009</v>
      </c>
      <c r="V34">
        <v>0</v>
      </c>
      <c r="W34">
        <v>3.6246399999999999</v>
      </c>
      <c r="X34">
        <v>0</v>
      </c>
      <c r="Y34">
        <v>6</v>
      </c>
      <c r="Z34">
        <v>0</v>
      </c>
      <c r="AA34">
        <v>19.356400000000001</v>
      </c>
      <c r="AB34">
        <v>10.2325</v>
      </c>
    </row>
    <row r="35" spans="1:28" x14ac:dyDescent="0.25">
      <c r="A35">
        <v>34</v>
      </c>
      <c r="B35">
        <v>798280695</v>
      </c>
      <c r="C35" s="7" t="s">
        <v>27</v>
      </c>
      <c r="D35">
        <v>9.8172999999999995</v>
      </c>
      <c r="E35">
        <v>2.1749299999999998</v>
      </c>
      <c r="F35">
        <v>9.8172999999999995</v>
      </c>
      <c r="G35" s="3">
        <f>firm_data[[#This Row],[production]]-firm_data[[#This Row],[sales]]</f>
        <v>0</v>
      </c>
      <c r="H35">
        <v>0</v>
      </c>
      <c r="I35">
        <v>-3.5340200000000002E-2</v>
      </c>
      <c r="J35">
        <v>2.9984000000000002</v>
      </c>
      <c r="K35">
        <v>2.9984000000000002</v>
      </c>
      <c r="L35">
        <v>0.289962</v>
      </c>
      <c r="M35">
        <v>5</v>
      </c>
      <c r="N35">
        <v>0</v>
      </c>
      <c r="O35">
        <v>0</v>
      </c>
      <c r="P35">
        <v>0</v>
      </c>
      <c r="Q35" s="7" t="s">
        <v>28</v>
      </c>
      <c r="R35" s="7" t="s">
        <v>150</v>
      </c>
      <c r="S35">
        <v>0</v>
      </c>
      <c r="T35">
        <v>8.8241300000000003</v>
      </c>
      <c r="U35">
        <v>8.7743699999999993</v>
      </c>
      <c r="V35">
        <v>0</v>
      </c>
      <c r="W35">
        <v>3.49044</v>
      </c>
      <c r="X35">
        <v>0</v>
      </c>
      <c r="Y35">
        <v>6</v>
      </c>
      <c r="Z35">
        <v>0</v>
      </c>
      <c r="AA35">
        <v>19.191400000000002</v>
      </c>
      <c r="AB35">
        <v>10.2325</v>
      </c>
    </row>
    <row r="36" spans="1:28" x14ac:dyDescent="0.25">
      <c r="A36">
        <v>35</v>
      </c>
      <c r="B36">
        <v>963350314</v>
      </c>
      <c r="C36" s="7" t="s">
        <v>27</v>
      </c>
      <c r="D36">
        <v>10.2082</v>
      </c>
      <c r="E36">
        <v>2.1749299999999998</v>
      </c>
      <c r="F36">
        <v>10.2082</v>
      </c>
      <c r="G36" s="3">
        <f>firm_data[[#This Row],[production]]-firm_data[[#This Row],[sales]]</f>
        <v>0</v>
      </c>
      <c r="H36">
        <v>0</v>
      </c>
      <c r="I36">
        <v>-0.245225</v>
      </c>
      <c r="J36">
        <v>2.9384299999999999</v>
      </c>
      <c r="K36">
        <v>2.9384299999999999</v>
      </c>
      <c r="L36">
        <v>1.3139100000000001E-2</v>
      </c>
      <c r="M36">
        <v>5</v>
      </c>
      <c r="N36">
        <v>0</v>
      </c>
      <c r="O36">
        <v>0</v>
      </c>
      <c r="P36">
        <v>0</v>
      </c>
      <c r="Q36" s="7" t="s">
        <v>28</v>
      </c>
      <c r="R36" s="7" t="s">
        <v>150</v>
      </c>
      <c r="S36">
        <v>0</v>
      </c>
      <c r="T36">
        <v>8.6476400000000009</v>
      </c>
      <c r="U36">
        <v>8.8892900000000008</v>
      </c>
      <c r="V36">
        <v>0</v>
      </c>
      <c r="W36">
        <v>3.2593700000000001</v>
      </c>
      <c r="X36">
        <v>0</v>
      </c>
      <c r="Y36">
        <v>6</v>
      </c>
      <c r="Z36">
        <v>0</v>
      </c>
      <c r="AA36">
        <v>18.9419</v>
      </c>
      <c r="AB36">
        <v>10.2325</v>
      </c>
    </row>
    <row r="37" spans="1:28" x14ac:dyDescent="0.25">
      <c r="A37">
        <v>36</v>
      </c>
      <c r="B37">
        <v>519322908</v>
      </c>
      <c r="C37" s="7" t="s">
        <v>27</v>
      </c>
      <c r="D37">
        <v>10.471299999999999</v>
      </c>
      <c r="E37">
        <v>2.1749299999999998</v>
      </c>
      <c r="F37">
        <v>10.471299999999999</v>
      </c>
      <c r="G37" s="3">
        <f>firm_data[[#This Row],[production]]-firm_data[[#This Row],[sales]]</f>
        <v>0</v>
      </c>
      <c r="H37">
        <v>0</v>
      </c>
      <c r="I37">
        <v>-0.43240600000000001</v>
      </c>
      <c r="J37">
        <v>2.87967</v>
      </c>
      <c r="K37">
        <v>2.87967</v>
      </c>
      <c r="L37">
        <v>0</v>
      </c>
      <c r="M37">
        <v>5</v>
      </c>
      <c r="N37">
        <v>0</v>
      </c>
      <c r="O37">
        <v>0</v>
      </c>
      <c r="P37">
        <v>0</v>
      </c>
      <c r="Q37" s="7" t="s">
        <v>28</v>
      </c>
      <c r="R37" s="7" t="s">
        <v>150</v>
      </c>
      <c r="S37">
        <v>0</v>
      </c>
      <c r="T37">
        <v>8.4746900000000007</v>
      </c>
      <c r="U37">
        <v>8.8567099999999996</v>
      </c>
      <c r="V37">
        <v>0</v>
      </c>
      <c r="W37">
        <v>2.9502600000000001</v>
      </c>
      <c r="X37">
        <v>0</v>
      </c>
      <c r="Y37">
        <v>6</v>
      </c>
      <c r="Z37">
        <v>0</v>
      </c>
      <c r="AA37">
        <v>18.6265</v>
      </c>
      <c r="AB37">
        <v>10.2325</v>
      </c>
    </row>
    <row r="38" spans="1:28" x14ac:dyDescent="0.25">
      <c r="A38">
        <v>37</v>
      </c>
      <c r="B38">
        <v>26405910</v>
      </c>
      <c r="C38" s="7" t="s">
        <v>27</v>
      </c>
      <c r="D38">
        <v>10.6091</v>
      </c>
      <c r="E38">
        <v>2.1749299999999998</v>
      </c>
      <c r="F38">
        <v>10.6091</v>
      </c>
      <c r="G38" s="3">
        <f>firm_data[[#This Row],[production]]-firm_data[[#This Row],[sales]]</f>
        <v>0</v>
      </c>
      <c r="H38">
        <v>0</v>
      </c>
      <c r="I38">
        <v>-0.36158400000000002</v>
      </c>
      <c r="J38">
        <v>2.8220700000000001</v>
      </c>
      <c r="K38">
        <v>2.8220700000000001</v>
      </c>
      <c r="L38">
        <v>0.12903899999999999</v>
      </c>
      <c r="M38">
        <v>5</v>
      </c>
      <c r="N38">
        <v>0</v>
      </c>
      <c r="O38">
        <v>0</v>
      </c>
      <c r="P38">
        <v>0</v>
      </c>
      <c r="Q38" s="7" t="s">
        <v>28</v>
      </c>
      <c r="R38" s="7" t="s">
        <v>150</v>
      </c>
      <c r="S38">
        <v>0</v>
      </c>
      <c r="T38">
        <v>8.3051999999999992</v>
      </c>
      <c r="U38">
        <v>8.7521799999999992</v>
      </c>
      <c r="V38">
        <v>0</v>
      </c>
      <c r="W38">
        <v>2.87967</v>
      </c>
      <c r="X38">
        <v>0</v>
      </c>
      <c r="Y38">
        <v>6</v>
      </c>
      <c r="Z38">
        <v>0</v>
      </c>
      <c r="AA38">
        <v>18.504799999999999</v>
      </c>
      <c r="AB38">
        <v>10.2325</v>
      </c>
    </row>
    <row r="39" spans="1:28" x14ac:dyDescent="0.25">
      <c r="A39">
        <v>38</v>
      </c>
      <c r="B39">
        <v>789979588</v>
      </c>
      <c r="C39" s="7" t="s">
        <v>27</v>
      </c>
      <c r="D39">
        <v>10.6242</v>
      </c>
      <c r="E39">
        <v>2.1749299999999998</v>
      </c>
      <c r="F39">
        <v>10.6242</v>
      </c>
      <c r="G39" s="3">
        <f>firm_data[[#This Row],[production]]-firm_data[[#This Row],[sales]]</f>
        <v>0</v>
      </c>
      <c r="H39">
        <v>0</v>
      </c>
      <c r="I39">
        <v>-0.63351000000000002</v>
      </c>
      <c r="J39">
        <v>2.7656299999999998</v>
      </c>
      <c r="K39">
        <v>2.7656299999999998</v>
      </c>
      <c r="L39">
        <v>5.5567999999999998E-3</v>
      </c>
      <c r="M39">
        <v>5</v>
      </c>
      <c r="N39">
        <v>0</v>
      </c>
      <c r="O39">
        <v>0</v>
      </c>
      <c r="P39">
        <v>0</v>
      </c>
      <c r="Q39" s="7" t="s">
        <v>28</v>
      </c>
      <c r="R39" s="7" t="s">
        <v>150</v>
      </c>
      <c r="S39">
        <v>0</v>
      </c>
      <c r="T39">
        <v>8.1390899999999995</v>
      </c>
      <c r="U39">
        <v>8.6134299999999993</v>
      </c>
      <c r="V39">
        <v>0</v>
      </c>
      <c r="W39">
        <v>2.9382100000000002</v>
      </c>
      <c r="X39">
        <v>0</v>
      </c>
      <c r="Y39">
        <v>6</v>
      </c>
      <c r="Z39">
        <v>0</v>
      </c>
      <c r="AA39">
        <v>18.228200000000001</v>
      </c>
      <c r="AB39">
        <v>10.2325</v>
      </c>
    </row>
    <row r="40" spans="1:28" x14ac:dyDescent="0.25">
      <c r="A40">
        <v>39</v>
      </c>
      <c r="B40">
        <v>258068337</v>
      </c>
      <c r="C40" s="7" t="s">
        <v>27</v>
      </c>
      <c r="D40">
        <v>6.7211499999999997</v>
      </c>
      <c r="E40">
        <v>2.1749299999999998</v>
      </c>
      <c r="F40">
        <v>7.25814</v>
      </c>
      <c r="G40" s="3">
        <f>firm_data[[#This Row],[production]]-firm_data[[#This Row],[sales]]</f>
        <v>0</v>
      </c>
      <c r="H40">
        <v>0</v>
      </c>
      <c r="I40">
        <v>2.68493</v>
      </c>
      <c r="J40">
        <v>2.7103199999999998</v>
      </c>
      <c r="K40">
        <v>2.7103199999999998</v>
      </c>
      <c r="L40">
        <v>7.2178299999999997E-3</v>
      </c>
      <c r="M40">
        <v>5</v>
      </c>
      <c r="N40">
        <v>0</v>
      </c>
      <c r="O40">
        <v>0</v>
      </c>
      <c r="P40">
        <v>0</v>
      </c>
      <c r="Q40" s="7" t="s">
        <v>28</v>
      </c>
      <c r="R40" s="7" t="s">
        <v>150</v>
      </c>
      <c r="S40">
        <v>0</v>
      </c>
      <c r="T40">
        <v>9.46631</v>
      </c>
      <c r="U40">
        <v>8.4593100000000003</v>
      </c>
      <c r="V40">
        <v>3.2607699999999999</v>
      </c>
      <c r="W40">
        <v>2.7706300000000001</v>
      </c>
      <c r="X40">
        <v>2.4897900000000002</v>
      </c>
      <c r="Y40">
        <v>6</v>
      </c>
      <c r="Z40">
        <v>5.6248800000000001</v>
      </c>
      <c r="AA40">
        <v>21.386099999999999</v>
      </c>
      <c r="AB40">
        <v>9.95214</v>
      </c>
    </row>
    <row r="41" spans="1:28" x14ac:dyDescent="0.25">
      <c r="A41">
        <v>40</v>
      </c>
      <c r="B41">
        <v>882293954</v>
      </c>
      <c r="C41" s="7" t="s">
        <v>27</v>
      </c>
      <c r="D41">
        <v>4.6315200000000001</v>
      </c>
      <c r="E41">
        <v>2.1749299999999998</v>
      </c>
      <c r="F41">
        <v>4.6315200000000001</v>
      </c>
      <c r="G41" s="3">
        <f>firm_data[[#This Row],[production]]-firm_data[[#This Row],[sales]]</f>
        <v>1.20208</v>
      </c>
      <c r="H41">
        <v>0</v>
      </c>
      <c r="I41">
        <v>-2.7463500000000001</v>
      </c>
      <c r="J41">
        <v>3</v>
      </c>
      <c r="K41">
        <v>1.79792</v>
      </c>
      <c r="L41">
        <v>0</v>
      </c>
      <c r="M41">
        <v>5</v>
      </c>
      <c r="N41">
        <v>0</v>
      </c>
      <c r="O41">
        <v>0</v>
      </c>
      <c r="P41">
        <v>0</v>
      </c>
      <c r="Q41" s="7" t="s">
        <v>28</v>
      </c>
      <c r="R41" s="7" t="s">
        <v>150</v>
      </c>
      <c r="S41">
        <v>0</v>
      </c>
      <c r="T41">
        <v>9.28613</v>
      </c>
      <c r="U41">
        <v>8.2992000000000008</v>
      </c>
      <c r="V41">
        <v>0</v>
      </c>
      <c r="W41">
        <v>2.7168100000000002</v>
      </c>
      <c r="X41">
        <v>0</v>
      </c>
      <c r="Y41">
        <v>6</v>
      </c>
      <c r="Z41">
        <v>0</v>
      </c>
      <c r="AA41">
        <v>21.139600000000002</v>
      </c>
      <c r="AB41">
        <v>9.95214</v>
      </c>
    </row>
    <row r="42" spans="1:28" x14ac:dyDescent="0.25">
      <c r="A42">
        <v>41</v>
      </c>
      <c r="B42">
        <v>696091386</v>
      </c>
      <c r="C42" s="7" t="s">
        <v>27</v>
      </c>
      <c r="D42">
        <v>4.7758700000000003</v>
      </c>
      <c r="E42">
        <v>2.0721799999999999</v>
      </c>
      <c r="F42">
        <v>4.7758700000000003</v>
      </c>
      <c r="G42" s="3">
        <f>firm_data[[#This Row],[production]]-firm_data[[#This Row],[sales]]</f>
        <v>0</v>
      </c>
      <c r="H42">
        <v>0</v>
      </c>
      <c r="I42">
        <v>-0.30449599999999999</v>
      </c>
      <c r="J42">
        <v>2</v>
      </c>
      <c r="K42">
        <v>2</v>
      </c>
      <c r="L42">
        <v>0</v>
      </c>
      <c r="M42">
        <v>5</v>
      </c>
      <c r="N42">
        <v>0</v>
      </c>
      <c r="O42">
        <v>0</v>
      </c>
      <c r="P42">
        <v>0</v>
      </c>
      <c r="Q42" s="7" t="s">
        <v>28</v>
      </c>
      <c r="R42" s="7" t="s">
        <v>151</v>
      </c>
      <c r="S42">
        <v>0</v>
      </c>
      <c r="T42">
        <v>9.16601</v>
      </c>
      <c r="U42">
        <v>8.6541099999999993</v>
      </c>
      <c r="V42">
        <v>0</v>
      </c>
      <c r="W42">
        <v>1.9181299999999999</v>
      </c>
      <c r="X42">
        <v>0</v>
      </c>
      <c r="Y42">
        <v>4</v>
      </c>
      <c r="Z42">
        <v>0</v>
      </c>
      <c r="AA42">
        <v>20.965499999999999</v>
      </c>
      <c r="AB42">
        <v>9.95214</v>
      </c>
    </row>
    <row r="43" spans="1:28" x14ac:dyDescent="0.25">
      <c r="A43">
        <v>42</v>
      </c>
      <c r="B43">
        <v>139397762</v>
      </c>
      <c r="C43" s="7" t="s">
        <v>27</v>
      </c>
      <c r="D43">
        <v>4.9202199999999996</v>
      </c>
      <c r="E43">
        <v>2.0721799999999999</v>
      </c>
      <c r="F43">
        <v>4.9202199999999996</v>
      </c>
      <c r="G43" s="3">
        <f>firm_data[[#This Row],[production]]-firm_data[[#This Row],[sales]]</f>
        <v>0</v>
      </c>
      <c r="H43">
        <v>0</v>
      </c>
      <c r="I43">
        <v>-0.13825200000000001</v>
      </c>
      <c r="J43">
        <v>2</v>
      </c>
      <c r="K43">
        <v>2</v>
      </c>
      <c r="L43">
        <v>0.37535400000000002</v>
      </c>
      <c r="M43">
        <v>5</v>
      </c>
      <c r="N43">
        <v>0</v>
      </c>
      <c r="O43">
        <v>0</v>
      </c>
      <c r="P43">
        <v>0</v>
      </c>
      <c r="Q43" s="7" t="s">
        <v>28</v>
      </c>
      <c r="R43" s="7" t="s">
        <v>151</v>
      </c>
      <c r="S43">
        <v>0</v>
      </c>
      <c r="T43">
        <v>9.04589</v>
      </c>
      <c r="U43">
        <v>7.3300599999999996</v>
      </c>
      <c r="V43">
        <v>0</v>
      </c>
      <c r="W43">
        <v>1.9181299999999999</v>
      </c>
      <c r="X43">
        <v>0</v>
      </c>
      <c r="Y43">
        <v>4</v>
      </c>
      <c r="Z43">
        <v>0</v>
      </c>
      <c r="AA43">
        <v>20.961200000000002</v>
      </c>
      <c r="AB43">
        <v>9.95214</v>
      </c>
    </row>
    <row r="44" spans="1:28" x14ac:dyDescent="0.25">
      <c r="A44">
        <v>43</v>
      </c>
      <c r="B44">
        <v>404803651</v>
      </c>
      <c r="C44" s="7" t="s">
        <v>27</v>
      </c>
      <c r="D44">
        <v>5.1678199999999999</v>
      </c>
      <c r="E44">
        <v>2.1238000000000001</v>
      </c>
      <c r="F44">
        <v>5.1678199999999999</v>
      </c>
      <c r="G44" s="3">
        <f>firm_data[[#This Row],[production]]-firm_data[[#This Row],[sales]]</f>
        <v>0</v>
      </c>
      <c r="H44">
        <v>0</v>
      </c>
      <c r="I44">
        <v>-4.6414799999999999E-2</v>
      </c>
      <c r="J44">
        <v>2</v>
      </c>
      <c r="K44">
        <v>2</v>
      </c>
      <c r="L44">
        <v>0</v>
      </c>
      <c r="M44">
        <v>5</v>
      </c>
      <c r="N44">
        <v>0</v>
      </c>
      <c r="O44">
        <v>0.67563700000000004</v>
      </c>
      <c r="P44">
        <v>0</v>
      </c>
      <c r="Q44" s="7" t="s">
        <v>28</v>
      </c>
      <c r="R44" s="7" t="s">
        <v>151</v>
      </c>
      <c r="S44">
        <v>0</v>
      </c>
      <c r="T44">
        <v>8.92577</v>
      </c>
      <c r="U44">
        <v>6.6680299999999999</v>
      </c>
      <c r="V44">
        <v>0</v>
      </c>
      <c r="W44">
        <v>2.3378199999999998</v>
      </c>
      <c r="X44">
        <v>0</v>
      </c>
      <c r="Y44">
        <v>4</v>
      </c>
      <c r="Z44">
        <v>0</v>
      </c>
      <c r="AA44">
        <v>20.949100000000001</v>
      </c>
      <c r="AB44">
        <v>9.95214</v>
      </c>
    </row>
    <row r="45" spans="1:28" x14ac:dyDescent="0.25">
      <c r="A45">
        <v>44</v>
      </c>
      <c r="B45">
        <v>711004912</v>
      </c>
      <c r="C45" s="7" t="s">
        <v>27</v>
      </c>
      <c r="D45">
        <v>5.4154200000000001</v>
      </c>
      <c r="E45">
        <v>2.1238000000000001</v>
      </c>
      <c r="F45">
        <v>5.4154200000000001</v>
      </c>
      <c r="G45" s="3">
        <f>firm_data[[#This Row],[production]]-firm_data[[#This Row],[sales]]</f>
        <v>0</v>
      </c>
      <c r="H45">
        <v>0</v>
      </c>
      <c r="I45">
        <v>-0.235516</v>
      </c>
      <c r="J45">
        <v>2</v>
      </c>
      <c r="K45">
        <v>2</v>
      </c>
      <c r="L45">
        <v>5.5783399999999997E-2</v>
      </c>
      <c r="M45">
        <v>5</v>
      </c>
      <c r="N45">
        <v>0</v>
      </c>
      <c r="O45">
        <v>0</v>
      </c>
      <c r="P45">
        <v>0</v>
      </c>
      <c r="Q45" s="7" t="s">
        <v>28</v>
      </c>
      <c r="R45" s="7" t="s">
        <v>151</v>
      </c>
      <c r="S45">
        <v>0</v>
      </c>
      <c r="T45">
        <v>8.80565</v>
      </c>
      <c r="U45">
        <v>6.3370199999999999</v>
      </c>
      <c r="V45">
        <v>0</v>
      </c>
      <c r="W45">
        <v>2</v>
      </c>
      <c r="X45">
        <v>0</v>
      </c>
      <c r="Y45">
        <v>4</v>
      </c>
      <c r="Z45">
        <v>0</v>
      </c>
      <c r="AA45">
        <v>20.749099999999999</v>
      </c>
      <c r="AB45">
        <v>9.95214</v>
      </c>
    </row>
    <row r="46" spans="1:28" x14ac:dyDescent="0.25">
      <c r="A46">
        <v>45</v>
      </c>
      <c r="B46">
        <v>213932851</v>
      </c>
      <c r="C46" s="7" t="s">
        <v>27</v>
      </c>
      <c r="D46">
        <v>5.6630200000000004</v>
      </c>
      <c r="E46">
        <v>2.1238000000000001</v>
      </c>
      <c r="F46">
        <v>5.6630200000000004</v>
      </c>
      <c r="G46" s="3">
        <f>firm_data[[#This Row],[production]]-firm_data[[#This Row],[sales]]</f>
        <v>0</v>
      </c>
      <c r="H46">
        <v>0</v>
      </c>
      <c r="I46">
        <v>-9.0652800000000006E-2</v>
      </c>
      <c r="J46">
        <v>2</v>
      </c>
      <c r="K46">
        <v>2</v>
      </c>
      <c r="L46">
        <v>0</v>
      </c>
      <c r="M46">
        <v>5</v>
      </c>
      <c r="N46">
        <v>0</v>
      </c>
      <c r="O46">
        <v>0.10041</v>
      </c>
      <c r="P46">
        <v>0</v>
      </c>
      <c r="Q46" s="7" t="s">
        <v>28</v>
      </c>
      <c r="R46" s="7" t="s">
        <v>151</v>
      </c>
      <c r="S46">
        <v>0</v>
      </c>
      <c r="T46">
        <v>8.68553</v>
      </c>
      <c r="U46">
        <v>6.1715099999999996</v>
      </c>
      <c r="V46">
        <v>0</v>
      </c>
      <c r="W46">
        <v>2.0501999999999998</v>
      </c>
      <c r="X46">
        <v>0</v>
      </c>
      <c r="Y46">
        <v>4</v>
      </c>
      <c r="Z46">
        <v>0</v>
      </c>
      <c r="AA46">
        <v>20.696999999999999</v>
      </c>
      <c r="AB46">
        <v>9.95214</v>
      </c>
    </row>
    <row r="47" spans="1:28" x14ac:dyDescent="0.25">
      <c r="A47">
        <v>46</v>
      </c>
      <c r="B47">
        <v>124159291</v>
      </c>
      <c r="C47" s="7" t="s">
        <v>27</v>
      </c>
      <c r="D47">
        <v>5.9106300000000003</v>
      </c>
      <c r="E47">
        <v>2.1238000000000001</v>
      </c>
      <c r="F47">
        <v>5.9106300000000003</v>
      </c>
      <c r="G47" s="3">
        <f>firm_data[[#This Row],[production]]-firm_data[[#This Row],[sales]]</f>
        <v>0</v>
      </c>
      <c r="H47">
        <v>0</v>
      </c>
      <c r="I47">
        <v>-0.164077</v>
      </c>
      <c r="J47">
        <v>2</v>
      </c>
      <c r="K47">
        <v>2</v>
      </c>
      <c r="L47">
        <v>1.1299699999999999</v>
      </c>
      <c r="M47">
        <v>5</v>
      </c>
      <c r="N47">
        <v>0</v>
      </c>
      <c r="O47">
        <v>8.8817800000000003E-16</v>
      </c>
      <c r="P47">
        <v>0</v>
      </c>
      <c r="Q47" s="7" t="s">
        <v>28</v>
      </c>
      <c r="R47" s="7" t="s">
        <v>151</v>
      </c>
      <c r="S47">
        <v>0</v>
      </c>
      <c r="T47">
        <v>8.56541</v>
      </c>
      <c r="U47">
        <v>6.0887599999999997</v>
      </c>
      <c r="V47">
        <v>0</v>
      </c>
      <c r="W47">
        <v>2</v>
      </c>
      <c r="X47">
        <v>0</v>
      </c>
      <c r="Y47">
        <v>4</v>
      </c>
      <c r="Z47">
        <v>0</v>
      </c>
      <c r="AA47">
        <v>20.573899999999998</v>
      </c>
      <c r="AB47">
        <v>7.1632499999999997</v>
      </c>
    </row>
    <row r="48" spans="1:28" x14ac:dyDescent="0.25">
      <c r="A48">
        <v>47</v>
      </c>
      <c r="B48">
        <v>579575343</v>
      </c>
      <c r="C48" s="7" t="s">
        <v>27</v>
      </c>
      <c r="D48">
        <v>6.2201300000000002</v>
      </c>
      <c r="E48">
        <v>2.1238000000000001</v>
      </c>
      <c r="F48">
        <v>6.2201300000000002</v>
      </c>
      <c r="G48" s="3">
        <f>firm_data[[#This Row],[production]]-firm_data[[#This Row],[sales]]</f>
        <v>0</v>
      </c>
      <c r="H48">
        <v>0</v>
      </c>
      <c r="I48">
        <v>-0.23583000000000001</v>
      </c>
      <c r="J48">
        <v>2.5</v>
      </c>
      <c r="K48">
        <v>2.5</v>
      </c>
      <c r="L48">
        <v>0.337281</v>
      </c>
      <c r="M48">
        <v>5</v>
      </c>
      <c r="N48">
        <v>0</v>
      </c>
      <c r="O48">
        <v>0.70456300000000005</v>
      </c>
      <c r="P48">
        <v>0</v>
      </c>
      <c r="Q48" s="7" t="s">
        <v>28</v>
      </c>
      <c r="R48" s="7" t="s">
        <v>152</v>
      </c>
      <c r="S48">
        <v>0</v>
      </c>
      <c r="T48">
        <v>8.41526</v>
      </c>
      <c r="U48">
        <v>6.0473800000000004</v>
      </c>
      <c r="V48">
        <v>0</v>
      </c>
      <c r="W48">
        <v>3.0169700000000002</v>
      </c>
      <c r="X48">
        <v>0</v>
      </c>
      <c r="Y48">
        <v>5</v>
      </c>
      <c r="Z48">
        <v>0</v>
      </c>
      <c r="AA48">
        <v>20.392399999999999</v>
      </c>
      <c r="AB48">
        <v>7.1632499999999997</v>
      </c>
    </row>
    <row r="49" spans="1:28" x14ac:dyDescent="0.25">
      <c r="A49">
        <v>48</v>
      </c>
      <c r="B49">
        <v>116845730</v>
      </c>
      <c r="C49" s="7" t="s">
        <v>27</v>
      </c>
      <c r="D49">
        <v>6.52963</v>
      </c>
      <c r="E49">
        <v>2.1238000000000001</v>
      </c>
      <c r="F49">
        <v>6.52963</v>
      </c>
      <c r="G49" s="3">
        <f>firm_data[[#This Row],[production]]-firm_data[[#This Row],[sales]]</f>
        <v>0</v>
      </c>
      <c r="H49">
        <v>0</v>
      </c>
      <c r="I49">
        <v>-0.235871</v>
      </c>
      <c r="J49">
        <v>2.5</v>
      </c>
      <c r="K49">
        <v>2.5</v>
      </c>
      <c r="L49">
        <v>0.59605300000000006</v>
      </c>
      <c r="M49">
        <v>5</v>
      </c>
      <c r="N49">
        <v>0</v>
      </c>
      <c r="O49">
        <v>0.60456299999999996</v>
      </c>
      <c r="P49">
        <v>0</v>
      </c>
      <c r="Q49" s="7" t="s">
        <v>28</v>
      </c>
      <c r="R49" s="7" t="s">
        <v>152</v>
      </c>
      <c r="S49">
        <v>0</v>
      </c>
      <c r="T49">
        <v>8.26511</v>
      </c>
      <c r="U49">
        <v>6.7774400000000004</v>
      </c>
      <c r="V49">
        <v>0</v>
      </c>
      <c r="W49">
        <v>2.80355</v>
      </c>
      <c r="X49">
        <v>0</v>
      </c>
      <c r="Y49">
        <v>5</v>
      </c>
      <c r="Z49">
        <v>0</v>
      </c>
      <c r="AA49">
        <v>20.214300000000001</v>
      </c>
      <c r="AB49">
        <v>7.1632499999999997</v>
      </c>
    </row>
    <row r="50" spans="1:28" x14ac:dyDescent="0.25">
      <c r="A50">
        <v>49</v>
      </c>
      <c r="B50">
        <v>524959716</v>
      </c>
      <c r="C50" s="7" t="s">
        <v>27</v>
      </c>
      <c r="D50">
        <v>6.8391299999999999</v>
      </c>
      <c r="E50">
        <v>2.1238000000000001</v>
      </c>
      <c r="F50">
        <v>6.8391299999999999</v>
      </c>
      <c r="G50" s="3">
        <f>firm_data[[#This Row],[production]]-firm_data[[#This Row],[sales]]</f>
        <v>0</v>
      </c>
      <c r="H50">
        <v>0</v>
      </c>
      <c r="I50">
        <v>-0.33417200000000002</v>
      </c>
      <c r="J50">
        <v>2.5</v>
      </c>
      <c r="K50">
        <v>2.5</v>
      </c>
      <c r="L50">
        <v>0.247867</v>
      </c>
      <c r="M50">
        <v>5</v>
      </c>
      <c r="N50">
        <v>0</v>
      </c>
      <c r="O50">
        <v>0.50456299999999998</v>
      </c>
      <c r="P50">
        <v>0</v>
      </c>
      <c r="Q50" s="7" t="s">
        <v>28</v>
      </c>
      <c r="R50" s="7" t="s">
        <v>152</v>
      </c>
      <c r="S50">
        <v>0</v>
      </c>
      <c r="T50">
        <v>8.11496</v>
      </c>
      <c r="U50">
        <v>7.1424799999999999</v>
      </c>
      <c r="V50">
        <v>0</v>
      </c>
      <c r="W50">
        <v>3.0364499999999999</v>
      </c>
      <c r="X50">
        <v>0</v>
      </c>
      <c r="Y50">
        <v>5</v>
      </c>
      <c r="Z50">
        <v>0</v>
      </c>
      <c r="AA50">
        <v>19.939499999999999</v>
      </c>
      <c r="AB50">
        <v>7.1632499999999997</v>
      </c>
    </row>
    <row r="51" spans="1:28" x14ac:dyDescent="0.25">
      <c r="A51">
        <v>50</v>
      </c>
      <c r="B51">
        <v>757509101</v>
      </c>
      <c r="C51" s="7" t="s">
        <v>27</v>
      </c>
      <c r="D51">
        <v>4.0102700000000002</v>
      </c>
      <c r="E51">
        <v>2.1238000000000001</v>
      </c>
      <c r="F51">
        <v>4.4800300000000002</v>
      </c>
      <c r="G51" s="3">
        <f>firm_data[[#This Row],[production]]-firm_data[[#This Row],[sales]]</f>
        <v>0</v>
      </c>
      <c r="H51">
        <v>0</v>
      </c>
      <c r="I51">
        <v>2.34884</v>
      </c>
      <c r="J51">
        <v>2.5</v>
      </c>
      <c r="K51">
        <v>2.5</v>
      </c>
      <c r="L51">
        <v>0.44538899999999998</v>
      </c>
      <c r="M51">
        <v>5</v>
      </c>
      <c r="N51">
        <v>0</v>
      </c>
      <c r="O51">
        <v>0.40456300000000001</v>
      </c>
      <c r="P51">
        <v>0</v>
      </c>
      <c r="Q51" s="7" t="s">
        <v>28</v>
      </c>
      <c r="R51" s="7" t="s">
        <v>152</v>
      </c>
      <c r="S51">
        <v>0</v>
      </c>
      <c r="T51">
        <v>9.05349</v>
      </c>
      <c r="U51">
        <v>7.3249899999999997</v>
      </c>
      <c r="V51">
        <v>2.6686000000000001</v>
      </c>
      <c r="W51">
        <v>2.7230799999999999</v>
      </c>
      <c r="X51">
        <v>1.0886800000000001</v>
      </c>
      <c r="Y51">
        <v>5</v>
      </c>
      <c r="Z51">
        <v>2.6875200000000001</v>
      </c>
      <c r="AA51">
        <v>22.349499999999999</v>
      </c>
      <c r="AB51">
        <v>8.6176399999999997</v>
      </c>
    </row>
    <row r="52" spans="1:28" x14ac:dyDescent="0.25">
      <c r="A52">
        <v>51</v>
      </c>
      <c r="B52">
        <v>752074527</v>
      </c>
      <c r="C52" s="7" t="s">
        <v>27</v>
      </c>
      <c r="D52">
        <v>4.3197700000000001</v>
      </c>
      <c r="E52">
        <v>2.1238000000000001</v>
      </c>
      <c r="F52">
        <v>4.3197700000000001</v>
      </c>
      <c r="G52" s="3">
        <f>firm_data[[#This Row],[production]]-firm_data[[#This Row],[sales]]</f>
        <v>0</v>
      </c>
      <c r="H52">
        <v>0</v>
      </c>
      <c r="I52">
        <v>-0.219919</v>
      </c>
      <c r="J52">
        <v>2.5</v>
      </c>
      <c r="K52">
        <v>2.5</v>
      </c>
      <c r="L52">
        <v>6.4061300000000002E-2</v>
      </c>
      <c r="M52">
        <v>5</v>
      </c>
      <c r="N52">
        <v>0</v>
      </c>
      <c r="O52">
        <v>0.80169999999999997</v>
      </c>
      <c r="P52">
        <v>0</v>
      </c>
      <c r="Q52" s="7" t="s">
        <v>28</v>
      </c>
      <c r="R52" s="7" t="s">
        <v>152</v>
      </c>
      <c r="S52">
        <v>0</v>
      </c>
      <c r="T52">
        <v>8.90334</v>
      </c>
      <c r="U52">
        <v>7.4162499999999998</v>
      </c>
      <c r="V52">
        <v>0</v>
      </c>
      <c r="W52">
        <v>2.9008500000000002</v>
      </c>
      <c r="X52">
        <v>0</v>
      </c>
      <c r="Y52">
        <v>5</v>
      </c>
      <c r="Z52">
        <v>0</v>
      </c>
      <c r="AA52">
        <v>22.194400000000002</v>
      </c>
      <c r="AB52">
        <v>8.6176399999999997</v>
      </c>
    </row>
    <row r="53" spans="1:28" x14ac:dyDescent="0.25">
      <c r="A53">
        <v>52</v>
      </c>
      <c r="B53">
        <v>731272528</v>
      </c>
      <c r="C53" s="7" t="s">
        <v>27</v>
      </c>
      <c r="D53">
        <v>4.62927</v>
      </c>
      <c r="E53">
        <v>2.1238000000000001</v>
      </c>
      <c r="F53">
        <v>4.62927</v>
      </c>
      <c r="G53" s="3">
        <f>firm_data[[#This Row],[production]]-firm_data[[#This Row],[sales]]</f>
        <v>0</v>
      </c>
      <c r="H53">
        <v>0</v>
      </c>
      <c r="I53">
        <v>-0.21546999999999999</v>
      </c>
      <c r="J53">
        <v>2.5</v>
      </c>
      <c r="K53">
        <v>2.5</v>
      </c>
      <c r="L53">
        <v>0.19273999999999999</v>
      </c>
      <c r="M53">
        <v>5</v>
      </c>
      <c r="N53">
        <v>0</v>
      </c>
      <c r="O53">
        <v>0.11531</v>
      </c>
      <c r="P53">
        <v>0</v>
      </c>
      <c r="Q53" s="7" t="s">
        <v>28</v>
      </c>
      <c r="R53" s="7" t="s">
        <v>152</v>
      </c>
      <c r="S53">
        <v>0</v>
      </c>
      <c r="T53">
        <v>8.75319</v>
      </c>
      <c r="U53">
        <v>7.4618799999999998</v>
      </c>
      <c r="V53">
        <v>0</v>
      </c>
      <c r="W53">
        <v>2.5576599999999998</v>
      </c>
      <c r="X53">
        <v>0</v>
      </c>
      <c r="Y53">
        <v>5</v>
      </c>
      <c r="Z53">
        <v>0</v>
      </c>
      <c r="AA53">
        <v>22.047599999999999</v>
      </c>
      <c r="AB53">
        <v>8.6176399999999997</v>
      </c>
    </row>
    <row r="54" spans="1:28" x14ac:dyDescent="0.25">
      <c r="A54">
        <v>53</v>
      </c>
      <c r="B54">
        <v>936623480</v>
      </c>
      <c r="C54" s="7" t="s">
        <v>27</v>
      </c>
      <c r="D54">
        <v>4.9387699999999999</v>
      </c>
      <c r="E54">
        <v>2.1238000000000001</v>
      </c>
      <c r="F54">
        <v>4.9387699999999999</v>
      </c>
      <c r="G54" s="3">
        <f>firm_data[[#This Row],[production]]-firm_data[[#This Row],[sales]]</f>
        <v>0</v>
      </c>
      <c r="H54">
        <v>0</v>
      </c>
      <c r="I54">
        <v>-0.186695</v>
      </c>
      <c r="J54">
        <v>2.5</v>
      </c>
      <c r="K54">
        <v>2.5</v>
      </c>
      <c r="L54">
        <v>0.56715499999999996</v>
      </c>
      <c r="M54">
        <v>5</v>
      </c>
      <c r="N54">
        <v>0</v>
      </c>
      <c r="O54">
        <v>0.34693200000000002</v>
      </c>
      <c r="P54">
        <v>0</v>
      </c>
      <c r="Q54" s="7" t="s">
        <v>28</v>
      </c>
      <c r="R54" s="7" t="s">
        <v>152</v>
      </c>
      <c r="S54">
        <v>0</v>
      </c>
      <c r="T54">
        <v>8.60304</v>
      </c>
      <c r="U54">
        <v>7.4846899999999996</v>
      </c>
      <c r="V54">
        <v>0</v>
      </c>
      <c r="W54">
        <v>2.67347</v>
      </c>
      <c r="X54">
        <v>0</v>
      </c>
      <c r="Y54">
        <v>5</v>
      </c>
      <c r="Z54">
        <v>0</v>
      </c>
      <c r="AA54">
        <v>21.9343</v>
      </c>
      <c r="AB54">
        <v>8.6176399999999997</v>
      </c>
    </row>
    <row r="55" spans="1:28" x14ac:dyDescent="0.25">
      <c r="A55">
        <v>54</v>
      </c>
      <c r="B55">
        <v>695622944</v>
      </c>
      <c r="C55" s="7" t="s">
        <v>27</v>
      </c>
      <c r="D55">
        <v>5.2482699999999998</v>
      </c>
      <c r="E55">
        <v>2.1238000000000001</v>
      </c>
      <c r="F55">
        <v>5.2482699999999998</v>
      </c>
      <c r="G55" s="3">
        <f>firm_data[[#This Row],[production]]-firm_data[[#This Row],[sales]]</f>
        <v>0</v>
      </c>
      <c r="H55">
        <v>0</v>
      </c>
      <c r="I55">
        <v>-0.41828900000000002</v>
      </c>
      <c r="J55">
        <v>2.5</v>
      </c>
      <c r="K55">
        <v>2.5</v>
      </c>
      <c r="L55">
        <v>0.70094699999999999</v>
      </c>
      <c r="M55">
        <v>5</v>
      </c>
      <c r="N55">
        <v>0</v>
      </c>
      <c r="O55">
        <v>0.72962199999999999</v>
      </c>
      <c r="P55">
        <v>0</v>
      </c>
      <c r="Q55" s="7" t="s">
        <v>28</v>
      </c>
      <c r="R55" s="7" t="s">
        <v>152</v>
      </c>
      <c r="S55">
        <v>0</v>
      </c>
      <c r="T55">
        <v>8.45289</v>
      </c>
      <c r="U55">
        <v>7.4961000000000002</v>
      </c>
      <c r="V55">
        <v>0</v>
      </c>
      <c r="W55">
        <v>3.01044</v>
      </c>
      <c r="X55">
        <v>0</v>
      </c>
      <c r="Y55">
        <v>5</v>
      </c>
      <c r="Z55">
        <v>0</v>
      </c>
      <c r="AA55">
        <v>21.59</v>
      </c>
      <c r="AB55">
        <v>8.6176399999999997</v>
      </c>
    </row>
    <row r="56" spans="1:28" x14ac:dyDescent="0.25">
      <c r="A56">
        <v>55</v>
      </c>
      <c r="B56">
        <v>820378914</v>
      </c>
      <c r="C56" s="7" t="s">
        <v>27</v>
      </c>
      <c r="D56">
        <v>5.5577800000000002</v>
      </c>
      <c r="E56">
        <v>2.1238000000000001</v>
      </c>
      <c r="F56">
        <v>5.5577800000000002</v>
      </c>
      <c r="G56" s="3">
        <f>firm_data[[#This Row],[production]]-firm_data[[#This Row],[sales]]</f>
        <v>0</v>
      </c>
      <c r="H56">
        <v>0</v>
      </c>
      <c r="I56">
        <v>-0.37834099999999998</v>
      </c>
      <c r="J56">
        <v>2.5</v>
      </c>
      <c r="K56">
        <v>2.5</v>
      </c>
      <c r="L56">
        <v>0.121582</v>
      </c>
      <c r="M56">
        <v>5</v>
      </c>
      <c r="N56">
        <v>0</v>
      </c>
      <c r="O56">
        <v>0.62962200000000001</v>
      </c>
      <c r="P56">
        <v>0</v>
      </c>
      <c r="Q56" s="7" t="s">
        <v>28</v>
      </c>
      <c r="R56" s="7" t="s">
        <v>152</v>
      </c>
      <c r="S56">
        <v>0</v>
      </c>
      <c r="T56">
        <v>8.30274</v>
      </c>
      <c r="U56">
        <v>7.5018000000000002</v>
      </c>
      <c r="V56">
        <v>0</v>
      </c>
      <c r="W56">
        <v>3.1308500000000001</v>
      </c>
      <c r="X56">
        <v>0</v>
      </c>
      <c r="Y56">
        <v>5</v>
      </c>
      <c r="Z56">
        <v>0</v>
      </c>
      <c r="AA56">
        <v>21.287099999999999</v>
      </c>
      <c r="AB56">
        <v>8.6176399999999997</v>
      </c>
    </row>
    <row r="57" spans="1:28" x14ac:dyDescent="0.25">
      <c r="A57">
        <v>56</v>
      </c>
      <c r="B57">
        <v>49883617</v>
      </c>
      <c r="C57" s="7" t="s">
        <v>27</v>
      </c>
      <c r="D57">
        <v>3.20065</v>
      </c>
      <c r="E57">
        <v>2.1238000000000001</v>
      </c>
      <c r="F57">
        <v>2.8821699999999999</v>
      </c>
      <c r="G57" s="3">
        <f>firm_data[[#This Row],[production]]-firm_data[[#This Row],[sales]]</f>
        <v>0.74320000000000008</v>
      </c>
      <c r="H57">
        <v>0.31848199999999999</v>
      </c>
      <c r="I57">
        <v>-0.50839999999999996</v>
      </c>
      <c r="J57">
        <v>2.5</v>
      </c>
      <c r="K57">
        <v>1.7567999999999999</v>
      </c>
      <c r="L57">
        <v>0</v>
      </c>
      <c r="M57">
        <v>5</v>
      </c>
      <c r="N57">
        <v>3.7559600000000001E-4</v>
      </c>
      <c r="O57">
        <v>0.21884700000000001</v>
      </c>
      <c r="P57">
        <v>5.6888399999999999E-2</v>
      </c>
      <c r="Q57" s="7" t="s">
        <v>153</v>
      </c>
      <c r="R57" s="7" t="s">
        <v>152</v>
      </c>
      <c r="S57">
        <v>0</v>
      </c>
      <c r="T57">
        <v>8.7363999999999997</v>
      </c>
      <c r="U57">
        <v>7.5046600000000003</v>
      </c>
      <c r="V57">
        <v>1.3991899999999999</v>
      </c>
      <c r="W57">
        <v>2.6094200000000001</v>
      </c>
      <c r="X57">
        <v>1.1266400000000001</v>
      </c>
      <c r="Y57">
        <v>5</v>
      </c>
      <c r="Z57">
        <v>2.8930199999999999</v>
      </c>
      <c r="AA57">
        <v>22.433499999999999</v>
      </c>
      <c r="AB57">
        <v>8.8290100000000002</v>
      </c>
    </row>
    <row r="58" spans="1:28" x14ac:dyDescent="0.25">
      <c r="A58">
        <v>57</v>
      </c>
      <c r="B58">
        <v>327204046</v>
      </c>
      <c r="C58" s="7" t="s">
        <v>27</v>
      </c>
      <c r="D58">
        <v>3.0046200000000001</v>
      </c>
      <c r="E58">
        <v>1.91351</v>
      </c>
      <c r="F58">
        <v>2.7020599999999999</v>
      </c>
      <c r="G58" s="3">
        <f>firm_data[[#This Row],[production]]-firm_data[[#This Row],[sales]]</f>
        <v>0</v>
      </c>
      <c r="H58">
        <v>0.30255799999999999</v>
      </c>
      <c r="I58">
        <v>-0.64166900000000004</v>
      </c>
      <c r="J58">
        <v>2</v>
      </c>
      <c r="K58">
        <v>2</v>
      </c>
      <c r="L58">
        <v>0</v>
      </c>
      <c r="M58">
        <v>5</v>
      </c>
      <c r="N58">
        <v>3.5681599999999998E-4</v>
      </c>
      <c r="O58">
        <v>0</v>
      </c>
      <c r="P58">
        <v>9.9505399999999994E-2</v>
      </c>
      <c r="Q58" s="7" t="s">
        <v>154</v>
      </c>
      <c r="R58" s="7" t="s">
        <v>151</v>
      </c>
      <c r="S58">
        <v>0</v>
      </c>
      <c r="T58">
        <v>8.6162799999999997</v>
      </c>
      <c r="U58">
        <v>7.5060799999999999</v>
      </c>
      <c r="V58">
        <v>0</v>
      </c>
      <c r="W58">
        <v>1.8311200000000001</v>
      </c>
      <c r="X58">
        <v>0</v>
      </c>
      <c r="Y58">
        <v>4</v>
      </c>
      <c r="Z58">
        <v>0</v>
      </c>
      <c r="AA58">
        <v>22.275700000000001</v>
      </c>
      <c r="AB58">
        <v>8.8290100000000002</v>
      </c>
    </row>
    <row r="59" spans="1:28" x14ac:dyDescent="0.25">
      <c r="A59">
        <v>58</v>
      </c>
      <c r="B59">
        <v>737990378</v>
      </c>
      <c r="C59" s="7" t="s">
        <v>27</v>
      </c>
      <c r="D59">
        <v>2.8097400000000001</v>
      </c>
      <c r="E59">
        <v>1.91351</v>
      </c>
      <c r="F59">
        <v>2.5223100000000001</v>
      </c>
      <c r="G59" s="3">
        <f>firm_data[[#This Row],[production]]-firm_data[[#This Row],[sales]]</f>
        <v>0</v>
      </c>
      <c r="H59">
        <v>0.28743000000000002</v>
      </c>
      <c r="I59">
        <v>-0.63643400000000006</v>
      </c>
      <c r="J59">
        <v>2</v>
      </c>
      <c r="K59">
        <v>2</v>
      </c>
      <c r="L59">
        <v>0</v>
      </c>
      <c r="M59">
        <v>5</v>
      </c>
      <c r="N59">
        <v>3.3897499999999999E-4</v>
      </c>
      <c r="O59">
        <v>0</v>
      </c>
      <c r="P59">
        <v>0.100698</v>
      </c>
      <c r="Q59" s="7" t="s">
        <v>155</v>
      </c>
      <c r="R59" s="7" t="s">
        <v>151</v>
      </c>
      <c r="S59">
        <v>0</v>
      </c>
      <c r="T59">
        <v>8.4961599999999997</v>
      </c>
      <c r="U59">
        <v>6.7560399999999996</v>
      </c>
      <c r="V59">
        <v>0</v>
      </c>
      <c r="W59">
        <v>1.8311200000000001</v>
      </c>
      <c r="X59">
        <v>0</v>
      </c>
      <c r="Y59">
        <v>4</v>
      </c>
      <c r="Z59">
        <v>0</v>
      </c>
      <c r="AA59">
        <v>22.125399999999999</v>
      </c>
      <c r="AB59">
        <v>8.8290100000000002</v>
      </c>
    </row>
    <row r="60" spans="1:28" x14ac:dyDescent="0.25">
      <c r="A60">
        <v>59</v>
      </c>
      <c r="B60">
        <v>605582596</v>
      </c>
      <c r="C60" s="7" t="s">
        <v>27</v>
      </c>
      <c r="D60">
        <v>2.6159599999999998</v>
      </c>
      <c r="E60">
        <v>1.91351</v>
      </c>
      <c r="F60">
        <v>2.3429000000000002</v>
      </c>
      <c r="G60" s="3">
        <f>firm_data[[#This Row],[production]]-firm_data[[#This Row],[sales]]</f>
        <v>0</v>
      </c>
      <c r="H60">
        <v>0.273059</v>
      </c>
      <c r="I60">
        <v>-0.56433900000000004</v>
      </c>
      <c r="J60">
        <v>2</v>
      </c>
      <c r="K60">
        <v>2</v>
      </c>
      <c r="L60">
        <v>0</v>
      </c>
      <c r="M60">
        <v>5</v>
      </c>
      <c r="N60">
        <v>3.22026E-4</v>
      </c>
      <c r="O60">
        <v>0</v>
      </c>
      <c r="P60">
        <v>0.102298</v>
      </c>
      <c r="Q60" s="7" t="s">
        <v>156</v>
      </c>
      <c r="R60" s="7" t="s">
        <v>151</v>
      </c>
      <c r="S60">
        <v>0</v>
      </c>
      <c r="T60">
        <v>8.3760399999999997</v>
      </c>
      <c r="U60">
        <v>6.3810200000000004</v>
      </c>
      <c r="V60">
        <v>0</v>
      </c>
      <c r="W60">
        <v>1.8311200000000001</v>
      </c>
      <c r="X60">
        <v>0</v>
      </c>
      <c r="Y60">
        <v>4</v>
      </c>
      <c r="Z60">
        <v>0</v>
      </c>
      <c r="AA60">
        <v>22.050599999999999</v>
      </c>
      <c r="AB60">
        <v>8.8290100000000002</v>
      </c>
    </row>
    <row r="61" spans="1:28" x14ac:dyDescent="0.25">
      <c r="A61">
        <v>60</v>
      </c>
      <c r="B61">
        <v>577084075</v>
      </c>
      <c r="C61" s="7" t="s">
        <v>27</v>
      </c>
      <c r="D61">
        <v>2.4232200000000002</v>
      </c>
      <c r="E61">
        <v>1.91351</v>
      </c>
      <c r="F61">
        <v>2.1638099999999998</v>
      </c>
      <c r="G61" s="3">
        <f>firm_data[[#This Row],[production]]-firm_data[[#This Row],[sales]]</f>
        <v>0</v>
      </c>
      <c r="H61">
        <v>0.25940600000000003</v>
      </c>
      <c r="I61">
        <v>-0.72736100000000004</v>
      </c>
      <c r="J61">
        <v>2</v>
      </c>
      <c r="K61">
        <v>2</v>
      </c>
      <c r="L61">
        <v>0</v>
      </c>
      <c r="M61">
        <v>5</v>
      </c>
      <c r="N61">
        <v>3.0592500000000002E-4</v>
      </c>
      <c r="O61">
        <v>0</v>
      </c>
      <c r="P61">
        <v>0.104382</v>
      </c>
      <c r="Q61" s="7" t="s">
        <v>157</v>
      </c>
      <c r="R61" s="7" t="s">
        <v>151</v>
      </c>
      <c r="S61">
        <v>0</v>
      </c>
      <c r="T61">
        <v>8.2559199999999997</v>
      </c>
      <c r="U61">
        <v>6.1935200000000004</v>
      </c>
      <c r="V61">
        <v>0</v>
      </c>
      <c r="W61">
        <v>1.8311200000000001</v>
      </c>
      <c r="X61">
        <v>0</v>
      </c>
      <c r="Y61">
        <v>4</v>
      </c>
      <c r="Z61">
        <v>0</v>
      </c>
      <c r="AA61">
        <v>21.8139</v>
      </c>
      <c r="AB61">
        <v>8.8290100000000002</v>
      </c>
    </row>
    <row r="62" spans="1:28" x14ac:dyDescent="0.25">
      <c r="A62">
        <v>61</v>
      </c>
      <c r="B62">
        <v>578649092</v>
      </c>
      <c r="C62" s="7" t="s">
        <v>27</v>
      </c>
      <c r="D62">
        <v>2.2314699999999998</v>
      </c>
      <c r="E62">
        <v>1.91351</v>
      </c>
      <c r="F62">
        <v>1.9850300000000001</v>
      </c>
      <c r="G62" s="3">
        <f>firm_data[[#This Row],[production]]-firm_data[[#This Row],[sales]]</f>
        <v>0</v>
      </c>
      <c r="H62">
        <v>0.24643599999999999</v>
      </c>
      <c r="I62">
        <v>-0.74651400000000001</v>
      </c>
      <c r="J62">
        <v>2</v>
      </c>
      <c r="K62">
        <v>2</v>
      </c>
      <c r="L62">
        <v>0</v>
      </c>
      <c r="M62">
        <v>5</v>
      </c>
      <c r="N62">
        <v>2.9062899999999999E-4</v>
      </c>
      <c r="O62">
        <v>0</v>
      </c>
      <c r="P62">
        <v>0.10705000000000001</v>
      </c>
      <c r="Q62" s="7" t="s">
        <v>158</v>
      </c>
      <c r="R62" s="7" t="s">
        <v>151</v>
      </c>
      <c r="S62">
        <v>0</v>
      </c>
      <c r="T62">
        <v>8.1357999999999997</v>
      </c>
      <c r="U62">
        <v>6.0997599999999998</v>
      </c>
      <c r="V62">
        <v>0</v>
      </c>
      <c r="W62">
        <v>1.8311200000000001</v>
      </c>
      <c r="X62">
        <v>0</v>
      </c>
      <c r="Y62">
        <v>4</v>
      </c>
      <c r="Z62">
        <v>0</v>
      </c>
      <c r="AA62">
        <v>21.559000000000001</v>
      </c>
      <c r="AB62">
        <v>8.8290100000000002</v>
      </c>
    </row>
    <row r="63" spans="1:28" x14ac:dyDescent="0.25">
      <c r="A63">
        <v>62</v>
      </c>
      <c r="B63">
        <v>454409803</v>
      </c>
      <c r="C63" s="7" t="s">
        <v>27</v>
      </c>
      <c r="D63">
        <v>2.0406499999999999</v>
      </c>
      <c r="E63">
        <v>1.91351</v>
      </c>
      <c r="F63">
        <v>1.80654</v>
      </c>
      <c r="G63" s="3">
        <f>firm_data[[#This Row],[production]]-firm_data[[#This Row],[sales]]</f>
        <v>0</v>
      </c>
      <c r="H63">
        <v>0.23411399999999999</v>
      </c>
      <c r="I63">
        <v>-0.56334799999999996</v>
      </c>
      <c r="J63">
        <v>2</v>
      </c>
      <c r="K63">
        <v>2</v>
      </c>
      <c r="L63">
        <v>0</v>
      </c>
      <c r="M63">
        <v>5</v>
      </c>
      <c r="N63">
        <v>2.76097E-4</v>
      </c>
      <c r="O63">
        <v>0</v>
      </c>
      <c r="P63">
        <v>0.11043699999999999</v>
      </c>
      <c r="Q63" s="7" t="s">
        <v>159</v>
      </c>
      <c r="R63" s="7" t="s">
        <v>151</v>
      </c>
      <c r="S63">
        <v>0</v>
      </c>
      <c r="T63">
        <v>8.0156799999999997</v>
      </c>
      <c r="U63">
        <v>6.05288</v>
      </c>
      <c r="V63">
        <v>0</v>
      </c>
      <c r="W63">
        <v>1.8311200000000001</v>
      </c>
      <c r="X63">
        <v>0</v>
      </c>
      <c r="Y63">
        <v>4</v>
      </c>
      <c r="Z63">
        <v>0</v>
      </c>
      <c r="AA63">
        <v>21.4909</v>
      </c>
      <c r="AB63">
        <v>7.1210399999999998</v>
      </c>
    </row>
    <row r="64" spans="1:28" x14ac:dyDescent="0.25">
      <c r="A64">
        <v>63</v>
      </c>
      <c r="B64">
        <v>9834243</v>
      </c>
      <c r="C64" s="7" t="s">
        <v>27</v>
      </c>
      <c r="D64">
        <v>1.85073</v>
      </c>
      <c r="E64">
        <v>1.91351</v>
      </c>
      <c r="F64">
        <v>1.62832</v>
      </c>
      <c r="G64" s="3">
        <f>firm_data[[#This Row],[production]]-firm_data[[#This Row],[sales]]</f>
        <v>0</v>
      </c>
      <c r="H64">
        <v>0.22240799999999999</v>
      </c>
      <c r="I64">
        <v>-0.695994</v>
      </c>
      <c r="J64">
        <v>2</v>
      </c>
      <c r="K64">
        <v>2</v>
      </c>
      <c r="L64">
        <v>0</v>
      </c>
      <c r="M64">
        <v>5</v>
      </c>
      <c r="N64">
        <v>2.6229200000000002E-4</v>
      </c>
      <c r="O64">
        <v>0</v>
      </c>
      <c r="P64">
        <v>0.11472499999999999</v>
      </c>
      <c r="Q64" s="7" t="s">
        <v>160</v>
      </c>
      <c r="R64" s="7" t="s">
        <v>151</v>
      </c>
      <c r="S64">
        <v>0</v>
      </c>
      <c r="T64">
        <v>7.8955599999999997</v>
      </c>
      <c r="U64">
        <v>6.0294400000000001</v>
      </c>
      <c r="V64">
        <v>0</v>
      </c>
      <c r="W64">
        <v>1.8311200000000001</v>
      </c>
      <c r="X64">
        <v>0</v>
      </c>
      <c r="Y64">
        <v>4</v>
      </c>
      <c r="Z64">
        <v>0</v>
      </c>
      <c r="AA64">
        <v>21.292100000000001</v>
      </c>
      <c r="AB64">
        <v>7.0934600000000003</v>
      </c>
    </row>
    <row r="65" spans="1:28" x14ac:dyDescent="0.25">
      <c r="A65">
        <v>64</v>
      </c>
      <c r="B65">
        <v>481639408</v>
      </c>
      <c r="C65" s="7" t="s">
        <v>27</v>
      </c>
      <c r="D65">
        <v>1.79992</v>
      </c>
      <c r="E65">
        <v>1.91351</v>
      </c>
      <c r="F65">
        <v>1.4468300000000001</v>
      </c>
      <c r="G65" s="3">
        <f>firm_data[[#This Row],[production]]-firm_data[[#This Row],[sales]]</f>
        <v>0</v>
      </c>
      <c r="H65">
        <v>0.35309600000000002</v>
      </c>
      <c r="I65">
        <v>-0.62804899999999997</v>
      </c>
      <c r="J65">
        <v>2</v>
      </c>
      <c r="K65">
        <v>2</v>
      </c>
      <c r="L65">
        <v>0</v>
      </c>
      <c r="M65">
        <v>5</v>
      </c>
      <c r="N65">
        <v>4.2614900000000002E-4</v>
      </c>
      <c r="O65">
        <v>0</v>
      </c>
      <c r="P65">
        <v>0.18584000000000001</v>
      </c>
      <c r="Q65" s="7" t="s">
        <v>161</v>
      </c>
      <c r="R65" s="7" t="s">
        <v>151</v>
      </c>
      <c r="S65">
        <v>0</v>
      </c>
      <c r="T65">
        <v>7.7754399999999997</v>
      </c>
      <c r="U65">
        <v>6.0177300000000002</v>
      </c>
      <c r="V65">
        <v>0</v>
      </c>
      <c r="W65">
        <v>1.8311200000000001</v>
      </c>
      <c r="X65">
        <v>0</v>
      </c>
      <c r="Y65">
        <v>4</v>
      </c>
      <c r="Z65">
        <v>0</v>
      </c>
      <c r="AA65">
        <v>21.164400000000001</v>
      </c>
      <c r="AB65">
        <v>7.0934600000000003</v>
      </c>
    </row>
    <row r="66" spans="1:28" x14ac:dyDescent="0.25">
      <c r="A66">
        <v>65</v>
      </c>
      <c r="B66">
        <v>64469925</v>
      </c>
      <c r="C66" s="7" t="s">
        <v>27</v>
      </c>
      <c r="D66">
        <v>1.7830699999999999</v>
      </c>
      <c r="E66">
        <v>1.91351</v>
      </c>
      <c r="F66">
        <v>1.2575499999999999</v>
      </c>
      <c r="G66" s="3">
        <f>firm_data[[#This Row],[production]]-firm_data[[#This Row],[sales]]</f>
        <v>0</v>
      </c>
      <c r="H66">
        <v>0.52551499999999995</v>
      </c>
      <c r="I66">
        <v>-0.77881199999999995</v>
      </c>
      <c r="J66">
        <v>2</v>
      </c>
      <c r="K66">
        <v>2</v>
      </c>
      <c r="L66">
        <v>0</v>
      </c>
      <c r="M66">
        <v>5</v>
      </c>
      <c r="N66">
        <v>8.15126E-4</v>
      </c>
      <c r="O66">
        <v>0</v>
      </c>
      <c r="P66">
        <v>0.27658700000000003</v>
      </c>
      <c r="Q66" s="7" t="s">
        <v>162</v>
      </c>
      <c r="R66" s="7" t="s">
        <v>151</v>
      </c>
      <c r="S66">
        <v>0</v>
      </c>
      <c r="T66">
        <v>7.6553199999999997</v>
      </c>
      <c r="U66">
        <v>6.01187</v>
      </c>
      <c r="V66">
        <v>0</v>
      </c>
      <c r="W66">
        <v>1.8311200000000001</v>
      </c>
      <c r="X66">
        <v>0</v>
      </c>
      <c r="Y66">
        <v>4</v>
      </c>
      <c r="Z66">
        <v>0</v>
      </c>
      <c r="AA66">
        <v>20.8871</v>
      </c>
      <c r="AB66">
        <v>7.0727799999999998</v>
      </c>
    </row>
    <row r="67" spans="1:28" x14ac:dyDescent="0.25">
      <c r="A67">
        <v>66</v>
      </c>
      <c r="B67">
        <v>576255941</v>
      </c>
      <c r="C67" s="7" t="s">
        <v>27</v>
      </c>
      <c r="D67">
        <v>1.7534700000000001</v>
      </c>
      <c r="E67">
        <v>1.91351</v>
      </c>
      <c r="F67">
        <v>1.0481499999999999</v>
      </c>
      <c r="G67" s="3">
        <f>firm_data[[#This Row],[production]]-firm_data[[#This Row],[sales]]</f>
        <v>0</v>
      </c>
      <c r="H67">
        <v>0.70532399999999995</v>
      </c>
      <c r="I67">
        <v>-0.68937099999999996</v>
      </c>
      <c r="J67">
        <v>2</v>
      </c>
      <c r="K67">
        <v>2</v>
      </c>
      <c r="L67">
        <v>0</v>
      </c>
      <c r="M67">
        <v>5</v>
      </c>
      <c r="N67">
        <v>1.82168E-3</v>
      </c>
      <c r="O67">
        <v>0</v>
      </c>
      <c r="P67">
        <v>0.37122300000000003</v>
      </c>
      <c r="Q67" s="7" t="s">
        <v>163</v>
      </c>
      <c r="R67" s="7" t="s">
        <v>151</v>
      </c>
      <c r="S67">
        <v>0</v>
      </c>
      <c r="T67">
        <v>7.5351999999999997</v>
      </c>
      <c r="U67">
        <v>6.0089399999999999</v>
      </c>
      <c r="V67">
        <v>0</v>
      </c>
      <c r="W67">
        <v>1.8311200000000001</v>
      </c>
      <c r="X67">
        <v>0</v>
      </c>
      <c r="Y67">
        <v>4</v>
      </c>
      <c r="Z67">
        <v>0</v>
      </c>
      <c r="AA67">
        <v>20.702500000000001</v>
      </c>
      <c r="AB67">
        <v>7.0693400000000004</v>
      </c>
    </row>
    <row r="68" spans="1:28" x14ac:dyDescent="0.25">
      <c r="A68">
        <v>67</v>
      </c>
      <c r="B68">
        <v>97464052</v>
      </c>
      <c r="C68" s="7" t="s">
        <v>27</v>
      </c>
      <c r="D68">
        <v>1.6937</v>
      </c>
      <c r="E68">
        <v>1.91351</v>
      </c>
      <c r="F68">
        <v>0.789439</v>
      </c>
      <c r="G68" s="3">
        <f>firm_data[[#This Row],[production]]-firm_data[[#This Row],[sales]]</f>
        <v>0</v>
      </c>
      <c r="H68">
        <v>0.90425800000000001</v>
      </c>
      <c r="I68">
        <v>-0.72127799999999997</v>
      </c>
      <c r="J68">
        <v>2</v>
      </c>
      <c r="K68">
        <v>2</v>
      </c>
      <c r="L68">
        <v>0</v>
      </c>
      <c r="M68">
        <v>5</v>
      </c>
      <c r="N68">
        <v>4.2869400000000004E-3</v>
      </c>
      <c r="O68">
        <v>0</v>
      </c>
      <c r="P68">
        <v>0.47592600000000002</v>
      </c>
      <c r="Q68" s="7" t="s">
        <v>164</v>
      </c>
      <c r="R68" s="7" t="s">
        <v>151</v>
      </c>
      <c r="S68">
        <v>0</v>
      </c>
      <c r="T68">
        <v>7.4150799999999997</v>
      </c>
      <c r="U68">
        <v>6.0074699999999996</v>
      </c>
      <c r="V68">
        <v>0</v>
      </c>
      <c r="W68">
        <v>1.8311200000000001</v>
      </c>
      <c r="X68">
        <v>0</v>
      </c>
      <c r="Y68">
        <v>4</v>
      </c>
      <c r="Z68">
        <v>0</v>
      </c>
      <c r="AA68">
        <v>20.490500000000001</v>
      </c>
      <c r="AB68">
        <v>7.0693400000000004</v>
      </c>
    </row>
    <row r="69" spans="1:28" x14ac:dyDescent="0.25">
      <c r="A69">
        <v>68</v>
      </c>
      <c r="B69">
        <v>838240484</v>
      </c>
      <c r="C69" s="7" t="s">
        <v>27</v>
      </c>
      <c r="D69">
        <v>1.55671</v>
      </c>
      <c r="E69">
        <v>1.91351</v>
      </c>
      <c r="F69">
        <v>0.40667900000000001</v>
      </c>
      <c r="G69" s="3">
        <f>firm_data[[#This Row],[production]]-firm_data[[#This Row],[sales]]</f>
        <v>0</v>
      </c>
      <c r="H69">
        <v>1.1500300000000001</v>
      </c>
      <c r="I69">
        <v>-0.69452899999999995</v>
      </c>
      <c r="J69">
        <v>2</v>
      </c>
      <c r="K69">
        <v>2</v>
      </c>
      <c r="L69">
        <v>0</v>
      </c>
      <c r="M69">
        <v>5</v>
      </c>
      <c r="N69">
        <v>1.0489500000000001E-2</v>
      </c>
      <c r="O69">
        <v>0</v>
      </c>
      <c r="P69">
        <v>0.60528000000000004</v>
      </c>
      <c r="Q69" s="7" t="s">
        <v>165</v>
      </c>
      <c r="R69" s="7" t="s">
        <v>151</v>
      </c>
      <c r="S69">
        <v>0</v>
      </c>
      <c r="T69">
        <v>7.2949599999999997</v>
      </c>
      <c r="U69">
        <v>6.0067399999999997</v>
      </c>
      <c r="V69">
        <v>0</v>
      </c>
      <c r="W69">
        <v>1.8311200000000001</v>
      </c>
      <c r="X69">
        <v>0</v>
      </c>
      <c r="Y69">
        <v>4</v>
      </c>
      <c r="Z69">
        <v>0</v>
      </c>
      <c r="AA69">
        <v>20.3139</v>
      </c>
      <c r="AB69">
        <v>7.0693400000000004</v>
      </c>
    </row>
    <row r="70" spans="1:28" x14ac:dyDescent="0.25">
      <c r="A70">
        <v>69</v>
      </c>
      <c r="B70">
        <v>802090407</v>
      </c>
      <c r="C70" s="7" t="s">
        <v>27</v>
      </c>
      <c r="D70">
        <v>1.2715799999999999</v>
      </c>
      <c r="E70">
        <v>1.91351</v>
      </c>
      <c r="F70">
        <v>-0.24207300000000001</v>
      </c>
      <c r="G70" s="3">
        <f>firm_data[[#This Row],[production]]-firm_data[[#This Row],[sales]]</f>
        <v>0</v>
      </c>
      <c r="H70">
        <v>1.5136499999999999</v>
      </c>
      <c r="I70">
        <v>-0.69452899999999995</v>
      </c>
      <c r="J70">
        <v>2</v>
      </c>
      <c r="K70">
        <v>2</v>
      </c>
      <c r="L70">
        <v>0</v>
      </c>
      <c r="M70">
        <v>5</v>
      </c>
      <c r="N70">
        <v>2.3789100000000001E-2</v>
      </c>
      <c r="O70">
        <v>0</v>
      </c>
      <c r="P70">
        <v>0.79666000000000003</v>
      </c>
      <c r="Q70" s="7" t="s">
        <v>166</v>
      </c>
      <c r="R70" s="7" t="s">
        <v>151</v>
      </c>
      <c r="S70">
        <v>0</v>
      </c>
      <c r="T70">
        <v>7.1748399999999997</v>
      </c>
      <c r="U70">
        <v>6.0063700000000004</v>
      </c>
      <c r="V70">
        <v>0</v>
      </c>
      <c r="W70">
        <v>1.8311200000000001</v>
      </c>
      <c r="X70">
        <v>0</v>
      </c>
      <c r="Y70">
        <v>4</v>
      </c>
      <c r="Z70">
        <v>0</v>
      </c>
      <c r="AA70">
        <v>20.0334</v>
      </c>
      <c r="AB70">
        <v>7.0693400000000004</v>
      </c>
    </row>
    <row r="71" spans="1:28" x14ac:dyDescent="0.25">
      <c r="A71">
        <v>70</v>
      </c>
      <c r="B71">
        <v>432857668</v>
      </c>
      <c r="C71" s="7" t="s">
        <v>27</v>
      </c>
      <c r="D71">
        <v>0.37039800000000001</v>
      </c>
      <c r="E71">
        <v>1.91351</v>
      </c>
      <c r="F71">
        <v>-1.5296000000000001</v>
      </c>
      <c r="G71" s="3">
        <f>firm_data[[#This Row],[production]]-firm_data[[#This Row],[sales]]</f>
        <v>0</v>
      </c>
      <c r="H71">
        <v>1.9</v>
      </c>
      <c r="I71">
        <v>-0.69452899999999995</v>
      </c>
      <c r="J71">
        <v>2</v>
      </c>
      <c r="K71">
        <v>2</v>
      </c>
      <c r="L71">
        <v>0</v>
      </c>
      <c r="M71">
        <v>5</v>
      </c>
      <c r="N71">
        <v>6.7831600000000006E-2</v>
      </c>
      <c r="O71">
        <v>0</v>
      </c>
      <c r="P71">
        <v>0.99990000000000001</v>
      </c>
      <c r="Q71" s="7" t="s">
        <v>167</v>
      </c>
      <c r="R71" s="7" t="s">
        <v>151</v>
      </c>
      <c r="S71">
        <v>0</v>
      </c>
      <c r="T71">
        <v>7.0547199999999997</v>
      </c>
      <c r="U71">
        <v>6.0061900000000001</v>
      </c>
      <c r="V71">
        <v>0</v>
      </c>
      <c r="W71">
        <v>1.8311200000000001</v>
      </c>
      <c r="X71">
        <v>0</v>
      </c>
      <c r="Y71">
        <v>4</v>
      </c>
      <c r="Z71">
        <v>0</v>
      </c>
      <c r="AA71">
        <v>19.811900000000001</v>
      </c>
      <c r="AB71">
        <v>7.0693400000000004</v>
      </c>
    </row>
    <row r="72" spans="1:28" x14ac:dyDescent="0.25">
      <c r="A72">
        <v>71</v>
      </c>
      <c r="B72">
        <v>862982991</v>
      </c>
      <c r="C72" s="7" t="s">
        <v>27</v>
      </c>
      <c r="D72">
        <v>-0.58656799999999998</v>
      </c>
      <c r="E72">
        <v>1.91351</v>
      </c>
      <c r="F72">
        <v>-3.8062800000000001</v>
      </c>
      <c r="G72" s="3">
        <f>firm_data[[#This Row],[production]]-firm_data[[#This Row],[sales]]</f>
        <v>0</v>
      </c>
      <c r="H72">
        <v>3.2197100000000001</v>
      </c>
      <c r="I72">
        <v>-0.69452899999999995</v>
      </c>
      <c r="J72">
        <v>2</v>
      </c>
      <c r="K72">
        <v>2</v>
      </c>
      <c r="L72">
        <v>0</v>
      </c>
      <c r="M72">
        <v>5</v>
      </c>
      <c r="N72">
        <v>0.11498700000000001</v>
      </c>
      <c r="O72">
        <v>0</v>
      </c>
      <c r="P72">
        <v>0.99990000000000001</v>
      </c>
      <c r="Q72" s="7" t="s">
        <v>168</v>
      </c>
      <c r="R72" s="7" t="s">
        <v>151</v>
      </c>
      <c r="S72">
        <v>0</v>
      </c>
      <c r="T72">
        <v>7.4263599999999999</v>
      </c>
      <c r="U72">
        <v>6.0061</v>
      </c>
      <c r="V72">
        <v>1.3335699999999999</v>
      </c>
      <c r="W72">
        <v>1.8311200000000001</v>
      </c>
      <c r="X72">
        <v>0.49176199999999998</v>
      </c>
      <c r="Y72">
        <v>4</v>
      </c>
      <c r="Z72">
        <v>1.38917</v>
      </c>
      <c r="AA72">
        <v>20.9786</v>
      </c>
      <c r="AB72">
        <v>7.0659999999999998</v>
      </c>
    </row>
    <row r="73" spans="1:28" x14ac:dyDescent="0.25">
      <c r="A73">
        <v>72</v>
      </c>
      <c r="B73">
        <v>506005329</v>
      </c>
      <c r="C73" s="7" t="s">
        <v>27</v>
      </c>
      <c r="D73">
        <v>0.37003599999999998</v>
      </c>
      <c r="E73">
        <v>1.91351</v>
      </c>
      <c r="F73">
        <v>-1.52996</v>
      </c>
      <c r="G73" s="3">
        <f>firm_data[[#This Row],[production]]-firm_data[[#This Row],[sales]]</f>
        <v>0</v>
      </c>
      <c r="H73">
        <v>1.9</v>
      </c>
      <c r="I73">
        <v>-0.69452899999999995</v>
      </c>
      <c r="J73">
        <v>2</v>
      </c>
      <c r="K73">
        <v>2</v>
      </c>
      <c r="L73">
        <v>0</v>
      </c>
      <c r="M73">
        <v>5</v>
      </c>
      <c r="N73">
        <v>6.7849699999999999E-2</v>
      </c>
      <c r="O73">
        <v>0</v>
      </c>
      <c r="P73">
        <v>0.99990000000000001</v>
      </c>
      <c r="Q73" s="7" t="s">
        <v>169</v>
      </c>
      <c r="R73" s="7" t="s">
        <v>151</v>
      </c>
      <c r="S73">
        <v>0</v>
      </c>
      <c r="T73">
        <v>7.3062399999999998</v>
      </c>
      <c r="U73">
        <v>6.0060500000000001</v>
      </c>
      <c r="V73">
        <v>0</v>
      </c>
      <c r="W73">
        <v>1.8311200000000001</v>
      </c>
      <c r="X73">
        <v>0</v>
      </c>
      <c r="Y73">
        <v>4</v>
      </c>
      <c r="Z73">
        <v>0</v>
      </c>
      <c r="AA73">
        <v>20.709700000000002</v>
      </c>
      <c r="AB73">
        <v>7.0659999999999998</v>
      </c>
    </row>
    <row r="74" spans="1:28" x14ac:dyDescent="0.25">
      <c r="A74">
        <v>73</v>
      </c>
      <c r="B74">
        <v>506080158</v>
      </c>
      <c r="C74" s="7" t="s">
        <v>27</v>
      </c>
      <c r="D74">
        <v>0.36985600000000002</v>
      </c>
      <c r="E74">
        <v>1.91351</v>
      </c>
      <c r="F74">
        <v>-1.5301400000000001</v>
      </c>
      <c r="G74" s="3">
        <f>firm_data[[#This Row],[production]]-firm_data[[#This Row],[sales]]</f>
        <v>0</v>
      </c>
      <c r="H74">
        <v>1.9</v>
      </c>
      <c r="I74">
        <v>-0.69452899999999995</v>
      </c>
      <c r="J74">
        <v>2</v>
      </c>
      <c r="K74">
        <v>2</v>
      </c>
      <c r="L74">
        <v>0</v>
      </c>
      <c r="M74">
        <v>5</v>
      </c>
      <c r="N74">
        <v>6.7858699999999994E-2</v>
      </c>
      <c r="O74">
        <v>0</v>
      </c>
      <c r="P74">
        <v>0.99990000000000001</v>
      </c>
      <c r="Q74" s="7" t="s">
        <v>170</v>
      </c>
      <c r="R74" s="7" t="s">
        <v>151</v>
      </c>
      <c r="S74">
        <v>0</v>
      </c>
      <c r="T74">
        <v>7.1861199999999998</v>
      </c>
      <c r="U74">
        <v>6.00603</v>
      </c>
      <c r="V74">
        <v>0</v>
      </c>
      <c r="W74">
        <v>1.8311200000000001</v>
      </c>
      <c r="X74">
        <v>0</v>
      </c>
      <c r="Y74">
        <v>4</v>
      </c>
      <c r="Z74">
        <v>0</v>
      </c>
      <c r="AA74">
        <v>20.62</v>
      </c>
      <c r="AB74">
        <v>7.0659999999999998</v>
      </c>
    </row>
    <row r="75" spans="1:28" x14ac:dyDescent="0.25">
      <c r="A75">
        <v>74</v>
      </c>
      <c r="B75">
        <v>837796974</v>
      </c>
      <c r="C75" s="7" t="s">
        <v>27</v>
      </c>
      <c r="D75">
        <v>0.36945</v>
      </c>
      <c r="E75">
        <v>1.91351</v>
      </c>
      <c r="F75">
        <v>-1.5305500000000001</v>
      </c>
      <c r="G75" s="3">
        <f>firm_data[[#This Row],[production]]-firm_data[[#This Row],[sales]]</f>
        <v>0</v>
      </c>
      <c r="H75">
        <v>1.9</v>
      </c>
      <c r="I75">
        <v>-0.69452899999999995</v>
      </c>
      <c r="J75">
        <v>2</v>
      </c>
      <c r="K75">
        <v>2</v>
      </c>
      <c r="L75">
        <v>0</v>
      </c>
      <c r="M75">
        <v>5</v>
      </c>
      <c r="N75">
        <v>6.7878999999999995E-2</v>
      </c>
      <c r="O75">
        <v>0</v>
      </c>
      <c r="P75">
        <v>0.99990000000000001</v>
      </c>
      <c r="Q75" s="7" t="s">
        <v>171</v>
      </c>
      <c r="R75" s="7" t="s">
        <v>151</v>
      </c>
      <c r="S75">
        <v>0</v>
      </c>
      <c r="T75">
        <v>7.0659999999999998</v>
      </c>
      <c r="U75">
        <v>6.0060200000000004</v>
      </c>
      <c r="V75">
        <v>0</v>
      </c>
      <c r="W75">
        <v>1.8311200000000001</v>
      </c>
      <c r="X75">
        <v>0</v>
      </c>
      <c r="Y75">
        <v>4</v>
      </c>
      <c r="Z75">
        <v>0</v>
      </c>
      <c r="AA75">
        <v>20.490200000000002</v>
      </c>
      <c r="AB75">
        <v>7.0659999999999998</v>
      </c>
    </row>
    <row r="76" spans="1:28" x14ac:dyDescent="0.25">
      <c r="A76">
        <v>75</v>
      </c>
      <c r="B76">
        <v>300223173</v>
      </c>
      <c r="C76" s="7" t="s">
        <v>27</v>
      </c>
      <c r="D76">
        <v>0.370174</v>
      </c>
      <c r="E76">
        <v>1.91351</v>
      </c>
      <c r="F76">
        <v>-1.52983</v>
      </c>
      <c r="G76" s="3">
        <f>firm_data[[#This Row],[production]]-firm_data[[#This Row],[sales]]</f>
        <v>0</v>
      </c>
      <c r="H76">
        <v>1.9</v>
      </c>
      <c r="I76">
        <v>-0.69452899999999995</v>
      </c>
      <c r="J76">
        <v>2</v>
      </c>
      <c r="K76">
        <v>2</v>
      </c>
      <c r="L76">
        <v>0</v>
      </c>
      <c r="M76">
        <v>5</v>
      </c>
      <c r="N76">
        <v>6.7842799999999995E-2</v>
      </c>
      <c r="O76">
        <v>0</v>
      </c>
      <c r="P76">
        <v>0.99990000000000001</v>
      </c>
      <c r="Q76" s="7" t="s">
        <v>172</v>
      </c>
      <c r="R76" s="7" t="s">
        <v>151</v>
      </c>
      <c r="S76">
        <v>0</v>
      </c>
      <c r="T76">
        <v>6.9458799999999998</v>
      </c>
      <c r="U76">
        <v>6.0060099999999998</v>
      </c>
      <c r="V76">
        <v>0</v>
      </c>
      <c r="W76">
        <v>1.8311200000000001</v>
      </c>
      <c r="X76">
        <v>0</v>
      </c>
      <c r="Y76">
        <v>4</v>
      </c>
      <c r="Z76">
        <v>0</v>
      </c>
      <c r="AA76">
        <v>20.373200000000001</v>
      </c>
      <c r="AB76">
        <v>7.0659999999999998</v>
      </c>
    </row>
    <row r="77" spans="1:28" x14ac:dyDescent="0.25">
      <c r="A77">
        <v>76</v>
      </c>
      <c r="B77">
        <v>766130737</v>
      </c>
      <c r="C77" s="7" t="s">
        <v>27</v>
      </c>
      <c r="D77">
        <v>0.37042399999999998</v>
      </c>
      <c r="E77">
        <v>1.91351</v>
      </c>
      <c r="F77">
        <v>-1.5295799999999999</v>
      </c>
      <c r="G77" s="3">
        <f>firm_data[[#This Row],[production]]-firm_data[[#This Row],[sales]]</f>
        <v>0</v>
      </c>
      <c r="H77">
        <v>1.9</v>
      </c>
      <c r="I77">
        <v>-0.69452899999999995</v>
      </c>
      <c r="J77">
        <v>2</v>
      </c>
      <c r="K77">
        <v>2</v>
      </c>
      <c r="L77">
        <v>0</v>
      </c>
      <c r="M77">
        <v>5</v>
      </c>
      <c r="N77">
        <v>6.7830199999999993E-2</v>
      </c>
      <c r="O77">
        <v>0</v>
      </c>
      <c r="P77">
        <v>0.99990000000000001</v>
      </c>
      <c r="Q77" s="7" t="s">
        <v>173</v>
      </c>
      <c r="R77" s="7" t="s">
        <v>151</v>
      </c>
      <c r="S77">
        <v>0</v>
      </c>
      <c r="T77">
        <v>6.8257599999999998</v>
      </c>
      <c r="U77">
        <v>6.0060099999999998</v>
      </c>
      <c r="V77">
        <v>0</v>
      </c>
      <c r="W77">
        <v>1.8311200000000001</v>
      </c>
      <c r="X77">
        <v>0</v>
      </c>
      <c r="Y77">
        <v>4</v>
      </c>
      <c r="Z77">
        <v>0</v>
      </c>
      <c r="AA77">
        <v>20.2727</v>
      </c>
      <c r="AB77">
        <v>7.0659999999999998</v>
      </c>
    </row>
    <row r="78" spans="1:28" x14ac:dyDescent="0.25">
      <c r="A78">
        <v>77</v>
      </c>
      <c r="B78">
        <v>490787890</v>
      </c>
      <c r="C78" s="7" t="s">
        <v>27</v>
      </c>
      <c r="D78">
        <v>0.37147200000000002</v>
      </c>
      <c r="E78">
        <v>1.91351</v>
      </c>
      <c r="F78">
        <v>-1.5285299999999999</v>
      </c>
      <c r="G78" s="3">
        <f>firm_data[[#This Row],[production]]-firm_data[[#This Row],[sales]]</f>
        <v>0</v>
      </c>
      <c r="H78">
        <v>1.9</v>
      </c>
      <c r="I78">
        <v>-0.69452899999999995</v>
      </c>
      <c r="J78">
        <v>2</v>
      </c>
      <c r="K78">
        <v>2</v>
      </c>
      <c r="L78">
        <v>0</v>
      </c>
      <c r="M78">
        <v>5</v>
      </c>
      <c r="N78">
        <v>6.7777900000000002E-2</v>
      </c>
      <c r="O78">
        <v>0</v>
      </c>
      <c r="P78">
        <v>0.99990000000000001</v>
      </c>
      <c r="Q78" s="7" t="s">
        <v>174</v>
      </c>
      <c r="R78" s="7" t="s">
        <v>151</v>
      </c>
      <c r="S78">
        <v>0</v>
      </c>
      <c r="T78">
        <v>6.7056399999999998</v>
      </c>
      <c r="U78">
        <v>6.0060099999999998</v>
      </c>
      <c r="V78">
        <v>0</v>
      </c>
      <c r="W78">
        <v>1.8311200000000001</v>
      </c>
      <c r="X78">
        <v>0</v>
      </c>
      <c r="Y78">
        <v>4</v>
      </c>
      <c r="Z78">
        <v>0</v>
      </c>
      <c r="AA78">
        <v>20.0289</v>
      </c>
      <c r="AB78">
        <v>7.0659999999999998</v>
      </c>
    </row>
    <row r="79" spans="1:28" x14ac:dyDescent="0.25">
      <c r="A79">
        <v>78</v>
      </c>
      <c r="B79">
        <v>186812278</v>
      </c>
      <c r="C79" s="7" t="s">
        <v>27</v>
      </c>
      <c r="D79">
        <v>0.37162099999999998</v>
      </c>
      <c r="E79">
        <v>1.91351</v>
      </c>
      <c r="F79">
        <v>-1.5283800000000001</v>
      </c>
      <c r="G79" s="3">
        <f>firm_data[[#This Row],[production]]-firm_data[[#This Row],[sales]]</f>
        <v>0</v>
      </c>
      <c r="H79">
        <v>1.9</v>
      </c>
      <c r="I79">
        <v>-0.69452899999999995</v>
      </c>
      <c r="J79">
        <v>2</v>
      </c>
      <c r="K79">
        <v>2</v>
      </c>
      <c r="L79">
        <v>0</v>
      </c>
      <c r="M79">
        <v>5</v>
      </c>
      <c r="N79">
        <v>6.7770399999999995E-2</v>
      </c>
      <c r="O79">
        <v>0</v>
      </c>
      <c r="P79">
        <v>0.99990000000000001</v>
      </c>
      <c r="Q79" s="7" t="s">
        <v>175</v>
      </c>
      <c r="R79" s="7" t="s">
        <v>151</v>
      </c>
      <c r="S79">
        <v>0</v>
      </c>
      <c r="T79">
        <v>6.5855199999999998</v>
      </c>
      <c r="U79">
        <v>6.0060099999999998</v>
      </c>
      <c r="V79">
        <v>0</v>
      </c>
      <c r="W79">
        <v>1.8311200000000001</v>
      </c>
      <c r="X79">
        <v>0</v>
      </c>
      <c r="Y79">
        <v>4</v>
      </c>
      <c r="Z79">
        <v>0</v>
      </c>
      <c r="AA79">
        <v>19.809799999999999</v>
      </c>
      <c r="AB79">
        <v>7.0659999999999998</v>
      </c>
    </row>
    <row r="80" spans="1:28" x14ac:dyDescent="0.25">
      <c r="A80">
        <v>79</v>
      </c>
      <c r="B80">
        <v>702691503</v>
      </c>
      <c r="C80" s="7" t="s">
        <v>27</v>
      </c>
      <c r="D80">
        <v>-1.7732699999999999</v>
      </c>
      <c r="E80">
        <v>1.91351</v>
      </c>
      <c r="F80">
        <v>-6.4416900000000004</v>
      </c>
      <c r="G80" s="3">
        <f>firm_data[[#This Row],[production]]-firm_data[[#This Row],[sales]]</f>
        <v>0</v>
      </c>
      <c r="H80">
        <v>4.6684200000000002</v>
      </c>
      <c r="I80">
        <v>-0.69452899999999995</v>
      </c>
      <c r="J80">
        <v>2</v>
      </c>
      <c r="K80">
        <v>2</v>
      </c>
      <c r="L80">
        <v>0</v>
      </c>
      <c r="M80">
        <v>5</v>
      </c>
      <c r="N80">
        <v>0.166686</v>
      </c>
      <c r="O80">
        <v>0</v>
      </c>
      <c r="P80">
        <v>0.99990000000000001</v>
      </c>
      <c r="Q80" s="7" t="s">
        <v>176</v>
      </c>
      <c r="R80" s="7" t="s">
        <v>151</v>
      </c>
      <c r="S80">
        <v>0</v>
      </c>
      <c r="T80">
        <v>7.4262499999999996</v>
      </c>
      <c r="U80">
        <v>6.0060099999999998</v>
      </c>
      <c r="V80">
        <v>2.9350000000000001</v>
      </c>
      <c r="W80">
        <v>1.8311200000000001</v>
      </c>
      <c r="X80">
        <v>0.96084599999999998</v>
      </c>
      <c r="Y80">
        <v>4</v>
      </c>
      <c r="Z80">
        <v>2.9141300000000001</v>
      </c>
      <c r="AA80">
        <v>22.5229</v>
      </c>
      <c r="AB80">
        <v>7.0658899999999996</v>
      </c>
    </row>
    <row r="81" spans="1:28" x14ac:dyDescent="0.25">
      <c r="A81">
        <v>80</v>
      </c>
      <c r="B81">
        <v>302667780</v>
      </c>
      <c r="C81" s="7" t="s">
        <v>27</v>
      </c>
      <c r="D81">
        <v>0.370556</v>
      </c>
      <c r="E81">
        <v>1.91351</v>
      </c>
      <c r="F81">
        <v>-1.5294399999999999</v>
      </c>
      <c r="G81" s="3">
        <f>firm_data[[#This Row],[production]]-firm_data[[#This Row],[sales]]</f>
        <v>0</v>
      </c>
      <c r="H81">
        <v>1.9</v>
      </c>
      <c r="I81">
        <v>-0.69452899999999995</v>
      </c>
      <c r="J81">
        <v>2</v>
      </c>
      <c r="K81">
        <v>2</v>
      </c>
      <c r="L81">
        <v>0</v>
      </c>
      <c r="M81">
        <v>5</v>
      </c>
      <c r="N81">
        <v>6.7823700000000001E-2</v>
      </c>
      <c r="O81">
        <v>0</v>
      </c>
      <c r="P81">
        <v>0.99990000000000001</v>
      </c>
      <c r="Q81" s="7" t="s">
        <v>177</v>
      </c>
      <c r="R81" s="7" t="s">
        <v>151</v>
      </c>
      <c r="S81">
        <v>0</v>
      </c>
      <c r="T81">
        <v>7.3061299999999996</v>
      </c>
      <c r="U81">
        <v>6.0060099999999998</v>
      </c>
      <c r="V81">
        <v>0</v>
      </c>
      <c r="W81">
        <v>1.8311200000000001</v>
      </c>
      <c r="X81">
        <v>0</v>
      </c>
      <c r="Y81">
        <v>4</v>
      </c>
      <c r="Z81">
        <v>0</v>
      </c>
      <c r="AA81">
        <v>22.252199999999998</v>
      </c>
      <c r="AB81">
        <v>7.0658899999999996</v>
      </c>
    </row>
    <row r="82" spans="1:28" x14ac:dyDescent="0.25">
      <c r="A82">
        <v>81</v>
      </c>
      <c r="B82">
        <v>91319182</v>
      </c>
      <c r="C82" s="7" t="s">
        <v>27</v>
      </c>
      <c r="D82">
        <v>0.36984499999999998</v>
      </c>
      <c r="E82">
        <v>1.91351</v>
      </c>
      <c r="F82">
        <v>-1.53016</v>
      </c>
      <c r="G82" s="3">
        <f>firm_data[[#This Row],[production]]-firm_data[[#This Row],[sales]]</f>
        <v>0</v>
      </c>
      <c r="H82">
        <v>1.9</v>
      </c>
      <c r="I82">
        <v>-0.69452899999999995</v>
      </c>
      <c r="J82">
        <v>2</v>
      </c>
      <c r="K82">
        <v>2</v>
      </c>
      <c r="L82">
        <v>0</v>
      </c>
      <c r="M82">
        <v>5</v>
      </c>
      <c r="N82">
        <v>6.7859199999999995E-2</v>
      </c>
      <c r="O82">
        <v>0</v>
      </c>
      <c r="P82">
        <v>0.99990000000000001</v>
      </c>
      <c r="Q82" s="7" t="s">
        <v>178</v>
      </c>
      <c r="R82" s="7" t="s">
        <v>151</v>
      </c>
      <c r="S82">
        <v>0</v>
      </c>
      <c r="T82">
        <v>7.1860099999999996</v>
      </c>
      <c r="U82">
        <v>6.0060099999999998</v>
      </c>
      <c r="V82">
        <v>0</v>
      </c>
      <c r="W82">
        <v>1.8311200000000001</v>
      </c>
      <c r="X82">
        <v>0</v>
      </c>
      <c r="Y82">
        <v>4</v>
      </c>
      <c r="Z82">
        <v>0</v>
      </c>
      <c r="AA82">
        <v>22.088100000000001</v>
      </c>
      <c r="AB82">
        <v>7.0658899999999996</v>
      </c>
    </row>
    <row r="83" spans="1:28" x14ac:dyDescent="0.25">
      <c r="A83">
        <v>82</v>
      </c>
      <c r="B83">
        <v>402367222</v>
      </c>
      <c r="C83" s="7" t="s">
        <v>27</v>
      </c>
      <c r="D83">
        <v>0.36958200000000002</v>
      </c>
      <c r="E83">
        <v>1.91351</v>
      </c>
      <c r="F83">
        <v>-1.5304199999999999</v>
      </c>
      <c r="G83" s="3">
        <f>firm_data[[#This Row],[production]]-firm_data[[#This Row],[sales]]</f>
        <v>0</v>
      </c>
      <c r="H83">
        <v>1.9</v>
      </c>
      <c r="I83">
        <v>-0.69452899999999995</v>
      </c>
      <c r="J83">
        <v>2</v>
      </c>
      <c r="K83">
        <v>2</v>
      </c>
      <c r="L83">
        <v>0</v>
      </c>
      <c r="M83">
        <v>5</v>
      </c>
      <c r="N83">
        <v>6.7872399999999999E-2</v>
      </c>
      <c r="O83">
        <v>0</v>
      </c>
      <c r="P83">
        <v>0.99990000000000001</v>
      </c>
      <c r="Q83" s="7" t="s">
        <v>179</v>
      </c>
      <c r="R83" s="7" t="s">
        <v>151</v>
      </c>
      <c r="S83">
        <v>0</v>
      </c>
      <c r="T83">
        <v>7.0658899999999996</v>
      </c>
      <c r="U83">
        <v>6.0060099999999998</v>
      </c>
      <c r="V83">
        <v>0</v>
      </c>
      <c r="W83">
        <v>1.8311200000000001</v>
      </c>
      <c r="X83">
        <v>0</v>
      </c>
      <c r="Y83">
        <v>4</v>
      </c>
      <c r="Z83">
        <v>0</v>
      </c>
      <c r="AA83">
        <v>22.042000000000002</v>
      </c>
      <c r="AB83">
        <v>7.0658899999999996</v>
      </c>
    </row>
    <row r="84" spans="1:28" x14ac:dyDescent="0.25">
      <c r="A84">
        <v>83</v>
      </c>
      <c r="B84">
        <v>79197749</v>
      </c>
      <c r="C84" s="7" t="s">
        <v>27</v>
      </c>
      <c r="D84">
        <v>0.36865500000000001</v>
      </c>
      <c r="E84">
        <v>1.91351</v>
      </c>
      <c r="F84">
        <v>-1.53135</v>
      </c>
      <c r="G84" s="3">
        <f>firm_data[[#This Row],[production]]-firm_data[[#This Row],[sales]]</f>
        <v>0</v>
      </c>
      <c r="H84">
        <v>1.9</v>
      </c>
      <c r="I84">
        <v>-0.69452899999999995</v>
      </c>
      <c r="J84">
        <v>2</v>
      </c>
      <c r="K84">
        <v>2</v>
      </c>
      <c r="L84">
        <v>0</v>
      </c>
      <c r="M84">
        <v>5</v>
      </c>
      <c r="N84">
        <v>6.7918699999999999E-2</v>
      </c>
      <c r="O84">
        <v>0</v>
      </c>
      <c r="P84">
        <v>0.99990000000000001</v>
      </c>
      <c r="Q84" s="7" t="s">
        <v>180</v>
      </c>
      <c r="R84" s="7" t="s">
        <v>151</v>
      </c>
      <c r="S84">
        <v>0</v>
      </c>
      <c r="T84">
        <v>6.9457700000000004</v>
      </c>
      <c r="U84">
        <v>6.0060099999999998</v>
      </c>
      <c r="V84">
        <v>0</v>
      </c>
      <c r="W84">
        <v>1.8311200000000001</v>
      </c>
      <c r="X84">
        <v>0</v>
      </c>
      <c r="Y84">
        <v>4</v>
      </c>
      <c r="Z84">
        <v>0</v>
      </c>
      <c r="AA84">
        <v>22.052199999999999</v>
      </c>
      <c r="AB84">
        <v>7.0658899999999996</v>
      </c>
    </row>
    <row r="85" spans="1:28" x14ac:dyDescent="0.25">
      <c r="A85">
        <v>84</v>
      </c>
      <c r="B85">
        <v>704068245</v>
      </c>
      <c r="C85" s="7" t="s">
        <v>27</v>
      </c>
      <c r="D85">
        <v>0.88984700000000005</v>
      </c>
      <c r="E85">
        <v>1.91351</v>
      </c>
      <c r="F85">
        <v>-2.8444699999999998</v>
      </c>
      <c r="G85" s="3">
        <f>firm_data[[#This Row],[production]]-firm_data[[#This Row],[sales]]</f>
        <v>0</v>
      </c>
      <c r="H85">
        <v>3.7343199999999999</v>
      </c>
      <c r="I85">
        <v>-0.69452899999999995</v>
      </c>
      <c r="J85">
        <v>2</v>
      </c>
      <c r="K85">
        <v>2</v>
      </c>
      <c r="L85">
        <v>0</v>
      </c>
      <c r="M85">
        <v>5</v>
      </c>
      <c r="N85">
        <v>0.133575</v>
      </c>
      <c r="O85">
        <v>0</v>
      </c>
      <c r="P85">
        <v>0.99990000000000001</v>
      </c>
      <c r="Q85" s="7" t="s">
        <v>181</v>
      </c>
      <c r="R85" s="7" t="s">
        <v>151</v>
      </c>
      <c r="S85">
        <v>0</v>
      </c>
      <c r="T85">
        <v>6.8256500000000004</v>
      </c>
      <c r="U85">
        <v>6.0060099999999998</v>
      </c>
      <c r="V85">
        <v>0</v>
      </c>
      <c r="W85">
        <v>1.8311200000000001</v>
      </c>
      <c r="X85">
        <v>0.60060000000000002</v>
      </c>
      <c r="Y85">
        <v>4</v>
      </c>
      <c r="Z85">
        <v>1.93086</v>
      </c>
      <c r="AA85">
        <v>21.9437</v>
      </c>
      <c r="AB85">
        <v>7.0658899999999996</v>
      </c>
    </row>
    <row r="86" spans="1:28" x14ac:dyDescent="0.25">
      <c r="A86">
        <v>85</v>
      </c>
      <c r="B86">
        <v>422263071</v>
      </c>
      <c r="C86" s="7" t="s">
        <v>27</v>
      </c>
      <c r="D86">
        <v>0.36902299999999999</v>
      </c>
      <c r="E86">
        <v>1.91351</v>
      </c>
      <c r="F86">
        <v>-1.53098</v>
      </c>
      <c r="G86" s="3">
        <f>firm_data[[#This Row],[production]]-firm_data[[#This Row],[sales]]</f>
        <v>0</v>
      </c>
      <c r="H86">
        <v>1.9</v>
      </c>
      <c r="I86">
        <v>-0.69452899999999995</v>
      </c>
      <c r="J86">
        <v>2</v>
      </c>
      <c r="K86">
        <v>2</v>
      </c>
      <c r="L86">
        <v>0</v>
      </c>
      <c r="M86">
        <v>5</v>
      </c>
      <c r="N86">
        <v>6.7900299999999997E-2</v>
      </c>
      <c r="O86">
        <v>0</v>
      </c>
      <c r="P86">
        <v>0.99990000000000001</v>
      </c>
      <c r="Q86" s="7" t="s">
        <v>182</v>
      </c>
      <c r="R86" s="7" t="s">
        <v>151</v>
      </c>
      <c r="S86">
        <v>0</v>
      </c>
      <c r="T86">
        <v>6.7055300000000004</v>
      </c>
      <c r="U86">
        <v>6.0060099999999998</v>
      </c>
      <c r="V86">
        <v>0</v>
      </c>
      <c r="W86">
        <v>1.8311200000000001</v>
      </c>
      <c r="X86">
        <v>0</v>
      </c>
      <c r="Y86">
        <v>4</v>
      </c>
      <c r="Z86">
        <v>0</v>
      </c>
      <c r="AA86">
        <v>21.557200000000002</v>
      </c>
      <c r="AB86">
        <v>7.0658899999999996</v>
      </c>
    </row>
    <row r="87" spans="1:28" x14ac:dyDescent="0.25">
      <c r="A87">
        <v>86</v>
      </c>
      <c r="B87">
        <v>459418317</v>
      </c>
      <c r="C87" s="7" t="s">
        <v>27</v>
      </c>
      <c r="D87">
        <v>-1.5781099999999999</v>
      </c>
      <c r="E87">
        <v>1.91351</v>
      </c>
      <c r="F87">
        <v>-6.0455199999999998</v>
      </c>
      <c r="G87" s="3">
        <f>firm_data[[#This Row],[production]]-firm_data[[#This Row],[sales]]</f>
        <v>0</v>
      </c>
      <c r="H87">
        <v>4.4674100000000001</v>
      </c>
      <c r="I87">
        <v>-0.69452899999999995</v>
      </c>
      <c r="J87">
        <v>2</v>
      </c>
      <c r="K87">
        <v>2</v>
      </c>
      <c r="L87">
        <v>0</v>
      </c>
      <c r="M87">
        <v>5</v>
      </c>
      <c r="N87">
        <v>0.15960199999999999</v>
      </c>
      <c r="O87">
        <v>0</v>
      </c>
      <c r="P87">
        <v>0.99990000000000001</v>
      </c>
      <c r="Q87" s="7" t="s">
        <v>183</v>
      </c>
      <c r="R87" s="7" t="s">
        <v>151</v>
      </c>
      <c r="S87">
        <v>0</v>
      </c>
      <c r="T87">
        <v>7.4262499999999996</v>
      </c>
      <c r="U87">
        <v>6.0060099999999998</v>
      </c>
      <c r="V87">
        <v>2.6804999999999999</v>
      </c>
      <c r="W87">
        <v>1.8311200000000001</v>
      </c>
      <c r="X87">
        <v>0.84084000000000003</v>
      </c>
      <c r="Y87">
        <v>4</v>
      </c>
      <c r="Z87">
        <v>2.7093600000000002</v>
      </c>
      <c r="AA87">
        <v>23.928899999999999</v>
      </c>
      <c r="AB87">
        <v>7.0658899999999996</v>
      </c>
    </row>
    <row r="88" spans="1:28" x14ac:dyDescent="0.25">
      <c r="A88">
        <v>87</v>
      </c>
      <c r="B88">
        <v>341241262</v>
      </c>
      <c r="C88" s="7" t="s">
        <v>27</v>
      </c>
      <c r="D88">
        <v>0.36794199999999999</v>
      </c>
      <c r="E88">
        <v>1.91351</v>
      </c>
      <c r="F88">
        <v>-1.53206</v>
      </c>
      <c r="G88" s="3">
        <f>firm_data[[#This Row],[production]]-firm_data[[#This Row],[sales]]</f>
        <v>0</v>
      </c>
      <c r="H88">
        <v>1.9</v>
      </c>
      <c r="I88">
        <v>-0.69452899999999995</v>
      </c>
      <c r="J88">
        <v>2</v>
      </c>
      <c r="K88">
        <v>2</v>
      </c>
      <c r="L88">
        <v>0</v>
      </c>
      <c r="M88">
        <v>5</v>
      </c>
      <c r="N88">
        <v>6.7954399999999998E-2</v>
      </c>
      <c r="O88">
        <v>0</v>
      </c>
      <c r="P88">
        <v>0.99990000000000001</v>
      </c>
      <c r="Q88" s="7" t="s">
        <v>184</v>
      </c>
      <c r="R88" s="7" t="s">
        <v>151</v>
      </c>
      <c r="S88">
        <v>0</v>
      </c>
      <c r="T88">
        <v>7.3061299999999996</v>
      </c>
      <c r="U88">
        <v>6.0060099999999998</v>
      </c>
      <c r="V88">
        <v>0</v>
      </c>
      <c r="W88">
        <v>1.8311200000000001</v>
      </c>
      <c r="X88">
        <v>0</v>
      </c>
      <c r="Y88">
        <v>4</v>
      </c>
      <c r="Z88">
        <v>0</v>
      </c>
      <c r="AA88">
        <v>23.752199999999998</v>
      </c>
      <c r="AB88">
        <v>7.0658899999999996</v>
      </c>
    </row>
    <row r="89" spans="1:28" x14ac:dyDescent="0.25">
      <c r="A89">
        <v>88</v>
      </c>
      <c r="B89">
        <v>962936925</v>
      </c>
      <c r="C89" s="7" t="s">
        <v>27</v>
      </c>
      <c r="D89">
        <v>0.36658099999999999</v>
      </c>
      <c r="E89">
        <v>1.91351</v>
      </c>
      <c r="F89">
        <v>-1.53342</v>
      </c>
      <c r="G89" s="3">
        <f>firm_data[[#This Row],[production]]-firm_data[[#This Row],[sales]]</f>
        <v>0</v>
      </c>
      <c r="H89">
        <v>1.9</v>
      </c>
      <c r="I89">
        <v>-0.69452899999999995</v>
      </c>
      <c r="J89">
        <v>2</v>
      </c>
      <c r="K89">
        <v>2</v>
      </c>
      <c r="L89">
        <v>0</v>
      </c>
      <c r="M89">
        <v>5</v>
      </c>
      <c r="N89">
        <v>6.8022399999999997E-2</v>
      </c>
      <c r="O89">
        <v>0</v>
      </c>
      <c r="P89">
        <v>0.99990000000000001</v>
      </c>
      <c r="Q89" s="7" t="s">
        <v>185</v>
      </c>
      <c r="R89" s="7" t="s">
        <v>151</v>
      </c>
      <c r="S89">
        <v>0</v>
      </c>
      <c r="T89">
        <v>7.1860099999999996</v>
      </c>
      <c r="U89">
        <v>6.0060099999999998</v>
      </c>
      <c r="V89">
        <v>0</v>
      </c>
      <c r="W89">
        <v>1.8311200000000001</v>
      </c>
      <c r="X89">
        <v>0</v>
      </c>
      <c r="Y89">
        <v>4</v>
      </c>
      <c r="Z89">
        <v>0</v>
      </c>
      <c r="AA89">
        <v>23.4786</v>
      </c>
      <c r="AB89">
        <v>7.0658899999999996</v>
      </c>
    </row>
    <row r="90" spans="1:28" x14ac:dyDescent="0.25">
      <c r="A90">
        <v>89</v>
      </c>
      <c r="B90">
        <v>870353475</v>
      </c>
      <c r="C90" s="7" t="s">
        <v>27</v>
      </c>
      <c r="D90">
        <v>0.36564200000000002</v>
      </c>
      <c r="E90">
        <v>1.91351</v>
      </c>
      <c r="F90">
        <v>-1.5343599999999999</v>
      </c>
      <c r="G90" s="3">
        <f>firm_data[[#This Row],[production]]-firm_data[[#This Row],[sales]]</f>
        <v>0</v>
      </c>
      <c r="H90">
        <v>1.9</v>
      </c>
      <c r="I90">
        <v>-0.69452899999999995</v>
      </c>
      <c r="J90">
        <v>2</v>
      </c>
      <c r="K90">
        <v>2</v>
      </c>
      <c r="L90">
        <v>0</v>
      </c>
      <c r="M90">
        <v>5</v>
      </c>
      <c r="N90">
        <v>6.8069400000000002E-2</v>
      </c>
      <c r="O90">
        <v>0</v>
      </c>
      <c r="P90">
        <v>0.99990000000000001</v>
      </c>
      <c r="Q90" s="7" t="s">
        <v>186</v>
      </c>
      <c r="R90" s="7" t="s">
        <v>151</v>
      </c>
      <c r="S90">
        <v>0</v>
      </c>
      <c r="T90">
        <v>7.0658899999999996</v>
      </c>
      <c r="U90">
        <v>6.0060099999999998</v>
      </c>
      <c r="V90">
        <v>0</v>
      </c>
      <c r="W90">
        <v>1.8311200000000001</v>
      </c>
      <c r="X90">
        <v>0</v>
      </c>
      <c r="Y90">
        <v>4</v>
      </c>
      <c r="Z90">
        <v>0</v>
      </c>
      <c r="AA90">
        <v>22.910399999999999</v>
      </c>
      <c r="AB90">
        <v>7.0658899999999996</v>
      </c>
    </row>
    <row r="91" spans="1:28" x14ac:dyDescent="0.25">
      <c r="A91">
        <v>90</v>
      </c>
      <c r="B91">
        <v>445570690</v>
      </c>
      <c r="C91" s="7" t="s">
        <v>27</v>
      </c>
      <c r="D91">
        <v>0.365091</v>
      </c>
      <c r="E91">
        <v>1.91351</v>
      </c>
      <c r="F91">
        <v>-1.53491</v>
      </c>
      <c r="G91" s="3">
        <f>firm_data[[#This Row],[production]]-firm_data[[#This Row],[sales]]</f>
        <v>0</v>
      </c>
      <c r="H91">
        <v>1.9</v>
      </c>
      <c r="I91">
        <v>-0.69452899999999995</v>
      </c>
      <c r="J91">
        <v>2</v>
      </c>
      <c r="K91">
        <v>2</v>
      </c>
      <c r="L91">
        <v>0</v>
      </c>
      <c r="M91">
        <v>5</v>
      </c>
      <c r="N91">
        <v>6.8096900000000002E-2</v>
      </c>
      <c r="O91">
        <v>0</v>
      </c>
      <c r="P91">
        <v>0.99990000000000001</v>
      </c>
      <c r="Q91" s="7" t="s">
        <v>187</v>
      </c>
      <c r="R91" s="7" t="s">
        <v>151</v>
      </c>
      <c r="S91">
        <v>0</v>
      </c>
      <c r="T91">
        <v>6.9457700000000004</v>
      </c>
      <c r="U91">
        <v>6.0060099999999998</v>
      </c>
      <c r="V91">
        <v>0</v>
      </c>
      <c r="W91">
        <v>1.8311200000000001</v>
      </c>
      <c r="X91">
        <v>0</v>
      </c>
      <c r="Y91">
        <v>4</v>
      </c>
      <c r="Z91">
        <v>0</v>
      </c>
      <c r="AA91">
        <v>22.564299999999999</v>
      </c>
      <c r="AB91">
        <v>7.0658899999999996</v>
      </c>
    </row>
    <row r="92" spans="1:28" x14ac:dyDescent="0.25">
      <c r="A92">
        <v>91</v>
      </c>
      <c r="B92">
        <v>125574090</v>
      </c>
      <c r="C92" s="7" t="s">
        <v>27</v>
      </c>
      <c r="D92">
        <v>0.36293199999999998</v>
      </c>
      <c r="E92">
        <v>1.91351</v>
      </c>
      <c r="F92">
        <v>-1.5370699999999999</v>
      </c>
      <c r="G92" s="3">
        <f>firm_data[[#This Row],[production]]-firm_data[[#This Row],[sales]]</f>
        <v>0</v>
      </c>
      <c r="H92">
        <v>1.9</v>
      </c>
      <c r="I92">
        <v>-0.69452899999999995</v>
      </c>
      <c r="J92">
        <v>2</v>
      </c>
      <c r="K92">
        <v>2</v>
      </c>
      <c r="L92">
        <v>0</v>
      </c>
      <c r="M92">
        <v>5</v>
      </c>
      <c r="N92">
        <v>6.8204899999999999E-2</v>
      </c>
      <c r="O92">
        <v>0</v>
      </c>
      <c r="P92">
        <v>0.99990000000000001</v>
      </c>
      <c r="Q92" s="7" t="s">
        <v>188</v>
      </c>
      <c r="R92" s="7" t="s">
        <v>151</v>
      </c>
      <c r="S92">
        <v>0</v>
      </c>
      <c r="T92">
        <v>6.8256500000000004</v>
      </c>
      <c r="U92">
        <v>6.0060099999999998</v>
      </c>
      <c r="V92">
        <v>0</v>
      </c>
      <c r="W92">
        <v>1.8311200000000001</v>
      </c>
      <c r="X92">
        <v>0</v>
      </c>
      <c r="Y92">
        <v>4</v>
      </c>
      <c r="Z92">
        <v>0</v>
      </c>
      <c r="AA92">
        <v>22.222200000000001</v>
      </c>
      <c r="AB92">
        <v>7.0658899999999996</v>
      </c>
    </row>
    <row r="93" spans="1:28" x14ac:dyDescent="0.25">
      <c r="A93">
        <v>92</v>
      </c>
      <c r="B93">
        <v>62447300</v>
      </c>
      <c r="C93" s="7" t="s">
        <v>27</v>
      </c>
      <c r="D93">
        <v>-1.27868</v>
      </c>
      <c r="E93">
        <v>1.91351</v>
      </c>
      <c r="F93">
        <v>-5.3082099999999999</v>
      </c>
      <c r="G93" s="3">
        <f>firm_data[[#This Row],[production]]-firm_data[[#This Row],[sales]]</f>
        <v>0</v>
      </c>
      <c r="H93">
        <v>4.0295300000000003</v>
      </c>
      <c r="I93">
        <v>-0.69452899999999995</v>
      </c>
      <c r="J93">
        <v>2</v>
      </c>
      <c r="K93">
        <v>2</v>
      </c>
      <c r="L93">
        <v>0</v>
      </c>
      <c r="M93">
        <v>5</v>
      </c>
      <c r="N93">
        <v>0.144729</v>
      </c>
      <c r="O93">
        <v>0</v>
      </c>
      <c r="P93">
        <v>0.99990000000000001</v>
      </c>
      <c r="Q93" s="7" t="s">
        <v>189</v>
      </c>
      <c r="R93" s="7" t="s">
        <v>151</v>
      </c>
      <c r="S93">
        <v>0</v>
      </c>
      <c r="T93">
        <v>7.4262499999999996</v>
      </c>
      <c r="U93">
        <v>6.0060099999999998</v>
      </c>
      <c r="V93">
        <v>2.2406600000000001</v>
      </c>
      <c r="W93">
        <v>1.8311200000000001</v>
      </c>
      <c r="X93">
        <v>0.72072099999999995</v>
      </c>
      <c r="Y93">
        <v>4</v>
      </c>
      <c r="Z93">
        <v>2.3681000000000001</v>
      </c>
      <c r="AA93">
        <v>24.400700000000001</v>
      </c>
      <c r="AB93">
        <v>7.0658899999999996</v>
      </c>
    </row>
    <row r="94" spans="1:28" x14ac:dyDescent="0.25">
      <c r="A94">
        <v>93</v>
      </c>
      <c r="B94">
        <v>861976170</v>
      </c>
      <c r="C94" s="7" t="s">
        <v>27</v>
      </c>
      <c r="D94">
        <v>0.36193500000000001</v>
      </c>
      <c r="E94">
        <v>1.91351</v>
      </c>
      <c r="F94">
        <v>-1.53807</v>
      </c>
      <c r="G94" s="3">
        <f>firm_data[[#This Row],[production]]-firm_data[[#This Row],[sales]]</f>
        <v>0</v>
      </c>
      <c r="H94">
        <v>1.9</v>
      </c>
      <c r="I94">
        <v>-0.69452899999999995</v>
      </c>
      <c r="J94">
        <v>2</v>
      </c>
      <c r="K94">
        <v>2</v>
      </c>
      <c r="L94">
        <v>0</v>
      </c>
      <c r="M94">
        <v>5</v>
      </c>
      <c r="N94">
        <v>6.8254700000000001E-2</v>
      </c>
      <c r="O94">
        <v>0</v>
      </c>
      <c r="P94">
        <v>0.99990000000000001</v>
      </c>
      <c r="Q94" s="7" t="s">
        <v>190</v>
      </c>
      <c r="R94" s="7" t="s">
        <v>151</v>
      </c>
      <c r="S94">
        <v>0</v>
      </c>
      <c r="T94">
        <v>7.3061299999999996</v>
      </c>
      <c r="U94">
        <v>6.0060099999999998</v>
      </c>
      <c r="V94">
        <v>0</v>
      </c>
      <c r="W94">
        <v>1.8311200000000001</v>
      </c>
      <c r="X94">
        <v>0</v>
      </c>
      <c r="Y94">
        <v>4</v>
      </c>
      <c r="Z94">
        <v>0</v>
      </c>
      <c r="AA94">
        <v>24.217600000000001</v>
      </c>
      <c r="AB94">
        <v>7.0658899999999996</v>
      </c>
    </row>
    <row r="95" spans="1:28" x14ac:dyDescent="0.25">
      <c r="A95">
        <v>94</v>
      </c>
      <c r="B95">
        <v>130599393</v>
      </c>
      <c r="C95" s="7" t="s">
        <v>27</v>
      </c>
      <c r="D95">
        <v>0.36158299999999999</v>
      </c>
      <c r="E95">
        <v>1.91351</v>
      </c>
      <c r="F95">
        <v>-1.5384199999999999</v>
      </c>
      <c r="G95" s="3">
        <f>firm_data[[#This Row],[production]]-firm_data[[#This Row],[sales]]</f>
        <v>0</v>
      </c>
      <c r="H95">
        <v>1.9</v>
      </c>
      <c r="I95">
        <v>-0.69452899999999995</v>
      </c>
      <c r="J95">
        <v>2</v>
      </c>
      <c r="K95">
        <v>2</v>
      </c>
      <c r="L95">
        <v>0</v>
      </c>
      <c r="M95">
        <v>5</v>
      </c>
      <c r="N95">
        <v>6.8272299999999994E-2</v>
      </c>
      <c r="O95">
        <v>0</v>
      </c>
      <c r="P95">
        <v>0.99990000000000001</v>
      </c>
      <c r="Q95" s="7" t="s">
        <v>191</v>
      </c>
      <c r="R95" s="7" t="s">
        <v>151</v>
      </c>
      <c r="S95">
        <v>0</v>
      </c>
      <c r="T95">
        <v>7.1860099999999996</v>
      </c>
      <c r="U95">
        <v>6.0060099999999998</v>
      </c>
      <c r="V95">
        <v>0</v>
      </c>
      <c r="W95">
        <v>1.8311200000000001</v>
      </c>
      <c r="X95">
        <v>0</v>
      </c>
      <c r="Y95">
        <v>4</v>
      </c>
      <c r="Z95">
        <v>0</v>
      </c>
      <c r="AA95">
        <v>23.911300000000001</v>
      </c>
      <c r="AB95">
        <v>7.0658899999999996</v>
      </c>
    </row>
    <row r="96" spans="1:28" x14ac:dyDescent="0.25">
      <c r="A96">
        <v>95</v>
      </c>
      <c r="B96">
        <v>606449881</v>
      </c>
      <c r="C96" s="7" t="s">
        <v>27</v>
      </c>
      <c r="D96">
        <v>0.36132300000000001</v>
      </c>
      <c r="E96">
        <v>1.91351</v>
      </c>
      <c r="F96">
        <v>-1.53868</v>
      </c>
      <c r="G96" s="3">
        <f>firm_data[[#This Row],[production]]-firm_data[[#This Row],[sales]]</f>
        <v>0</v>
      </c>
      <c r="H96">
        <v>1.9</v>
      </c>
      <c r="I96">
        <v>-0.69452899999999995</v>
      </c>
      <c r="J96">
        <v>2</v>
      </c>
      <c r="K96">
        <v>2</v>
      </c>
      <c r="L96">
        <v>0</v>
      </c>
      <c r="M96">
        <v>5</v>
      </c>
      <c r="N96">
        <v>6.8285299999999993E-2</v>
      </c>
      <c r="O96">
        <v>0</v>
      </c>
      <c r="P96">
        <v>0.99990000000000001</v>
      </c>
      <c r="Q96" s="7" t="s">
        <v>192</v>
      </c>
      <c r="R96" s="7" t="s">
        <v>151</v>
      </c>
      <c r="S96">
        <v>0</v>
      </c>
      <c r="T96">
        <v>7.0658899999999996</v>
      </c>
      <c r="U96">
        <v>6.0060099999999998</v>
      </c>
      <c r="V96">
        <v>0</v>
      </c>
      <c r="W96">
        <v>1.8311200000000001</v>
      </c>
      <c r="X96">
        <v>0</v>
      </c>
      <c r="Y96">
        <v>4</v>
      </c>
      <c r="Z96">
        <v>0</v>
      </c>
      <c r="AA96">
        <v>23.7026</v>
      </c>
      <c r="AB96">
        <v>7.0658899999999996</v>
      </c>
    </row>
    <row r="97" spans="1:28" x14ac:dyDescent="0.25">
      <c r="A97">
        <v>96</v>
      </c>
      <c r="B97">
        <v>933213130</v>
      </c>
      <c r="C97" s="7" t="s">
        <v>27</v>
      </c>
      <c r="D97">
        <v>0.36152499999999999</v>
      </c>
      <c r="E97">
        <v>1.91351</v>
      </c>
      <c r="F97">
        <v>-1.5384800000000001</v>
      </c>
      <c r="G97" s="3">
        <f>firm_data[[#This Row],[production]]-firm_data[[#This Row],[sales]]</f>
        <v>0</v>
      </c>
      <c r="H97">
        <v>1.9</v>
      </c>
      <c r="I97">
        <v>-0.69452899999999995</v>
      </c>
      <c r="J97">
        <v>2</v>
      </c>
      <c r="K97">
        <v>2</v>
      </c>
      <c r="L97">
        <v>0</v>
      </c>
      <c r="M97">
        <v>5</v>
      </c>
      <c r="N97">
        <v>6.8275199999999994E-2</v>
      </c>
      <c r="O97">
        <v>0</v>
      </c>
      <c r="P97">
        <v>0.99990000000000001</v>
      </c>
      <c r="Q97" s="7" t="s">
        <v>193</v>
      </c>
      <c r="R97" s="7" t="s">
        <v>151</v>
      </c>
      <c r="S97">
        <v>0</v>
      </c>
      <c r="T97">
        <v>6.9457700000000004</v>
      </c>
      <c r="U97">
        <v>6.0060099999999998</v>
      </c>
      <c r="V97">
        <v>0</v>
      </c>
      <c r="W97">
        <v>1.8311200000000001</v>
      </c>
      <c r="X97">
        <v>0</v>
      </c>
      <c r="Y97">
        <v>4</v>
      </c>
      <c r="Z97">
        <v>0</v>
      </c>
      <c r="AA97">
        <v>23.5379</v>
      </c>
      <c r="AB97">
        <v>7.0658899999999996</v>
      </c>
    </row>
    <row r="98" spans="1:28" x14ac:dyDescent="0.25">
      <c r="A98">
        <v>97</v>
      </c>
      <c r="B98">
        <v>841486551</v>
      </c>
      <c r="C98" s="7" t="s">
        <v>27</v>
      </c>
      <c r="D98">
        <v>0.36230200000000001</v>
      </c>
      <c r="E98">
        <v>1.91351</v>
      </c>
      <c r="F98">
        <v>-1.5377000000000001</v>
      </c>
      <c r="G98" s="3">
        <f>firm_data[[#This Row],[production]]-firm_data[[#This Row],[sales]]</f>
        <v>0</v>
      </c>
      <c r="H98">
        <v>1.9</v>
      </c>
      <c r="I98">
        <v>-0.69452899999999995</v>
      </c>
      <c r="J98">
        <v>2</v>
      </c>
      <c r="K98">
        <v>2</v>
      </c>
      <c r="L98">
        <v>0</v>
      </c>
      <c r="M98">
        <v>5</v>
      </c>
      <c r="N98">
        <v>6.8236400000000003E-2</v>
      </c>
      <c r="O98">
        <v>0</v>
      </c>
      <c r="P98">
        <v>0.99990000000000001</v>
      </c>
      <c r="Q98" s="7" t="s">
        <v>194</v>
      </c>
      <c r="R98" s="7" t="s">
        <v>151</v>
      </c>
      <c r="S98">
        <v>0</v>
      </c>
      <c r="T98">
        <v>6.8256500000000004</v>
      </c>
      <c r="U98">
        <v>6.0060099999999998</v>
      </c>
      <c r="V98">
        <v>0</v>
      </c>
      <c r="W98">
        <v>1.8311200000000001</v>
      </c>
      <c r="X98">
        <v>0</v>
      </c>
      <c r="Y98">
        <v>4</v>
      </c>
      <c r="Z98">
        <v>0</v>
      </c>
      <c r="AA98">
        <v>23.3446</v>
      </c>
      <c r="AB98">
        <v>7.0658899999999996</v>
      </c>
    </row>
    <row r="99" spans="1:28" x14ac:dyDescent="0.25">
      <c r="A99">
        <v>98</v>
      </c>
      <c r="B99">
        <v>15594369</v>
      </c>
      <c r="C99" s="7" t="s">
        <v>27</v>
      </c>
      <c r="D99">
        <v>0.36261300000000002</v>
      </c>
      <c r="E99">
        <v>1.91351</v>
      </c>
      <c r="F99">
        <v>-1.53739</v>
      </c>
      <c r="G99" s="3">
        <f>firm_data[[#This Row],[production]]-firm_data[[#This Row],[sales]]</f>
        <v>0</v>
      </c>
      <c r="H99">
        <v>1.9</v>
      </c>
      <c r="I99">
        <v>-0.69452899999999995</v>
      </c>
      <c r="J99">
        <v>2</v>
      </c>
      <c r="K99">
        <v>2</v>
      </c>
      <c r="L99">
        <v>0</v>
      </c>
      <c r="M99">
        <v>5</v>
      </c>
      <c r="N99">
        <v>6.8220799999999998E-2</v>
      </c>
      <c r="O99">
        <v>0</v>
      </c>
      <c r="P99">
        <v>0.99990000000000001</v>
      </c>
      <c r="Q99" s="7" t="s">
        <v>195</v>
      </c>
      <c r="R99" s="7" t="s">
        <v>151</v>
      </c>
      <c r="S99">
        <v>0</v>
      </c>
      <c r="T99">
        <v>6.7055300000000004</v>
      </c>
      <c r="U99">
        <v>6.0060099999999998</v>
      </c>
      <c r="V99">
        <v>0</v>
      </c>
      <c r="W99">
        <v>1.8311200000000001</v>
      </c>
      <c r="X99">
        <v>0</v>
      </c>
      <c r="Y99">
        <v>4</v>
      </c>
      <c r="Z99">
        <v>0</v>
      </c>
      <c r="AA99">
        <v>23.0595</v>
      </c>
      <c r="AB99">
        <v>7.0658899999999996</v>
      </c>
    </row>
    <row r="100" spans="1:28" x14ac:dyDescent="0.25">
      <c r="A100">
        <v>99</v>
      </c>
      <c r="B100">
        <v>768189608</v>
      </c>
      <c r="C100" s="7" t="s">
        <v>27</v>
      </c>
      <c r="D100">
        <v>0.362709</v>
      </c>
      <c r="E100">
        <v>1.91351</v>
      </c>
      <c r="F100">
        <v>-1.53729</v>
      </c>
      <c r="G100" s="3">
        <f>firm_data[[#This Row],[production]]-firm_data[[#This Row],[sales]]</f>
        <v>0</v>
      </c>
      <c r="H100">
        <v>1.9</v>
      </c>
      <c r="I100">
        <v>-0.69452899999999995</v>
      </c>
      <c r="J100">
        <v>2</v>
      </c>
      <c r="K100">
        <v>2</v>
      </c>
      <c r="L100">
        <v>0</v>
      </c>
      <c r="M100">
        <v>5</v>
      </c>
      <c r="N100">
        <v>6.8215999999999999E-2</v>
      </c>
      <c r="O100">
        <v>0</v>
      </c>
      <c r="P100">
        <v>0.99990000000000001</v>
      </c>
      <c r="Q100" s="7" t="s">
        <v>196</v>
      </c>
      <c r="R100" s="7" t="s">
        <v>151</v>
      </c>
      <c r="S100">
        <v>0</v>
      </c>
      <c r="T100">
        <v>6.5854100000000004</v>
      </c>
      <c r="U100">
        <v>6.0060099999999998</v>
      </c>
      <c r="V100">
        <v>0</v>
      </c>
      <c r="W100">
        <v>1.8311200000000001</v>
      </c>
      <c r="X100">
        <v>0</v>
      </c>
      <c r="Y100">
        <v>4</v>
      </c>
      <c r="Z100">
        <v>0</v>
      </c>
      <c r="AA100">
        <v>22.753900000000002</v>
      </c>
      <c r="AB100">
        <v>7.0658899999999996</v>
      </c>
    </row>
    <row r="101" spans="1:28" x14ac:dyDescent="0.25">
      <c r="A101">
        <v>100</v>
      </c>
      <c r="B101">
        <v>911298003</v>
      </c>
      <c r="C101" s="7" t="s">
        <v>27</v>
      </c>
      <c r="D101">
        <v>0.36298000000000002</v>
      </c>
      <c r="E101">
        <v>1.91351</v>
      </c>
      <c r="F101">
        <v>-1.5370200000000001</v>
      </c>
      <c r="G101" s="3">
        <f>firm_data[[#This Row],[production]]-firm_data[[#This Row],[sales]]</f>
        <v>0</v>
      </c>
      <c r="H101">
        <v>1.9</v>
      </c>
      <c r="I101">
        <v>-0.69452899999999995</v>
      </c>
      <c r="J101">
        <v>2</v>
      </c>
      <c r="K101">
        <v>2</v>
      </c>
      <c r="L101">
        <v>0</v>
      </c>
      <c r="M101">
        <v>5</v>
      </c>
      <c r="N101">
        <v>6.8202499999999999E-2</v>
      </c>
      <c r="O101">
        <v>0</v>
      </c>
      <c r="P101">
        <v>0.99990000000000001</v>
      </c>
      <c r="Q101" s="7" t="s">
        <v>197</v>
      </c>
      <c r="R101" s="7" t="s">
        <v>151</v>
      </c>
      <c r="S101">
        <v>0</v>
      </c>
      <c r="T101">
        <v>6.4652900000000004</v>
      </c>
      <c r="U101">
        <v>6.0060099999999998</v>
      </c>
      <c r="V101">
        <v>0</v>
      </c>
      <c r="W101">
        <v>1.8311200000000001</v>
      </c>
      <c r="X101">
        <v>0</v>
      </c>
      <c r="Y101">
        <v>4</v>
      </c>
      <c r="Z101">
        <v>0</v>
      </c>
      <c r="AA101">
        <v>22.578399999999998</v>
      </c>
      <c r="AB101">
        <v>7.0658899999999996</v>
      </c>
    </row>
    <row r="102" spans="1:28" x14ac:dyDescent="0.25">
      <c r="A102">
        <v>101</v>
      </c>
      <c r="B102">
        <v>637640609</v>
      </c>
      <c r="C102" s="7" t="s">
        <v>27</v>
      </c>
      <c r="D102">
        <v>0.36299199999999998</v>
      </c>
      <c r="E102">
        <v>1.91351</v>
      </c>
      <c r="F102">
        <v>-1.53701</v>
      </c>
      <c r="G102" s="3">
        <f>firm_data[[#This Row],[production]]-firm_data[[#This Row],[sales]]</f>
        <v>0</v>
      </c>
      <c r="H102">
        <v>1.9</v>
      </c>
      <c r="I102">
        <v>-0.69452899999999995</v>
      </c>
      <c r="J102">
        <v>2</v>
      </c>
      <c r="K102">
        <v>2</v>
      </c>
      <c r="L102">
        <v>0</v>
      </c>
      <c r="M102">
        <v>5</v>
      </c>
      <c r="N102">
        <v>6.8201800000000007E-2</v>
      </c>
      <c r="O102">
        <v>0</v>
      </c>
      <c r="P102">
        <v>0.99990000000000001</v>
      </c>
      <c r="Q102" s="7" t="s">
        <v>198</v>
      </c>
      <c r="R102" s="7" t="s">
        <v>151</v>
      </c>
      <c r="S102">
        <v>0</v>
      </c>
      <c r="T102">
        <v>6.3451700000000004</v>
      </c>
      <c r="U102">
        <v>6.0060099999999998</v>
      </c>
      <c r="V102">
        <v>0</v>
      </c>
      <c r="W102">
        <v>1.8311200000000001</v>
      </c>
      <c r="X102">
        <v>0</v>
      </c>
      <c r="Y102">
        <v>4</v>
      </c>
      <c r="Z102">
        <v>0</v>
      </c>
      <c r="AA102">
        <v>22.309000000000001</v>
      </c>
      <c r="AB102">
        <v>7.0658899999999996</v>
      </c>
    </row>
    <row r="103" spans="1:28" x14ac:dyDescent="0.25">
      <c r="A103">
        <v>102</v>
      </c>
      <c r="B103">
        <v>742098497</v>
      </c>
      <c r="C103" s="7" t="s">
        <v>27</v>
      </c>
      <c r="D103">
        <v>0.36177300000000001</v>
      </c>
      <c r="E103">
        <v>1.91351</v>
      </c>
      <c r="F103">
        <v>-1.53823</v>
      </c>
      <c r="G103" s="3">
        <f>firm_data[[#This Row],[production]]-firm_data[[#This Row],[sales]]</f>
        <v>0</v>
      </c>
      <c r="H103">
        <v>1.9</v>
      </c>
      <c r="I103">
        <v>-0.69452899999999995</v>
      </c>
      <c r="J103">
        <v>2</v>
      </c>
      <c r="K103">
        <v>2</v>
      </c>
      <c r="L103">
        <v>0</v>
      </c>
      <c r="M103">
        <v>5</v>
      </c>
      <c r="N103">
        <v>6.8262799999999998E-2</v>
      </c>
      <c r="O103">
        <v>0</v>
      </c>
      <c r="P103">
        <v>0.99990000000000001</v>
      </c>
      <c r="Q103" s="7" t="s">
        <v>199</v>
      </c>
      <c r="R103" s="7" t="s">
        <v>151</v>
      </c>
      <c r="S103">
        <v>0</v>
      </c>
      <c r="T103">
        <v>6.2250500000000004</v>
      </c>
      <c r="U103">
        <v>6.0060099999999998</v>
      </c>
      <c r="V103">
        <v>0</v>
      </c>
      <c r="W103">
        <v>1.8311200000000001</v>
      </c>
      <c r="X103">
        <v>0</v>
      </c>
      <c r="Y103">
        <v>4</v>
      </c>
      <c r="Z103">
        <v>0</v>
      </c>
      <c r="AA103">
        <v>22.131599999999999</v>
      </c>
      <c r="AB103">
        <v>7.0658899999999996</v>
      </c>
    </row>
    <row r="104" spans="1:28" x14ac:dyDescent="0.25">
      <c r="A104">
        <v>103</v>
      </c>
      <c r="B104">
        <v>874457708</v>
      </c>
      <c r="C104" s="7" t="s">
        <v>27</v>
      </c>
      <c r="D104">
        <v>-4.0355699999999999</v>
      </c>
      <c r="E104">
        <v>1.91351</v>
      </c>
      <c r="F104">
        <v>-7.1841600000000003</v>
      </c>
      <c r="G104" s="3">
        <f>firm_data[[#This Row],[production]]-firm_data[[#This Row],[sales]]</f>
        <v>0</v>
      </c>
      <c r="H104">
        <v>3.14859</v>
      </c>
      <c r="I104">
        <v>-0.69452899999999995</v>
      </c>
      <c r="J104">
        <v>2</v>
      </c>
      <c r="K104">
        <v>2</v>
      </c>
      <c r="L104">
        <v>0</v>
      </c>
      <c r="M104">
        <v>5</v>
      </c>
      <c r="N104">
        <v>0.113217</v>
      </c>
      <c r="O104">
        <v>0</v>
      </c>
      <c r="P104">
        <v>0.99990000000000001</v>
      </c>
      <c r="Q104" s="7" t="s">
        <v>200</v>
      </c>
      <c r="R104" s="7" t="s">
        <v>151</v>
      </c>
      <c r="S104">
        <v>0</v>
      </c>
      <c r="T104">
        <v>7.4262499999999996</v>
      </c>
      <c r="U104">
        <v>6.0060099999999998</v>
      </c>
      <c r="V104">
        <v>4.7468399999999997</v>
      </c>
      <c r="W104">
        <v>1.8311200000000001</v>
      </c>
      <c r="X104">
        <v>1.3213200000000001</v>
      </c>
      <c r="Y104">
        <v>4</v>
      </c>
      <c r="Z104">
        <v>4.79061</v>
      </c>
      <c r="AA104">
        <v>26.924700000000001</v>
      </c>
      <c r="AB104">
        <v>7.0658899999999996</v>
      </c>
    </row>
    <row r="105" spans="1:28" x14ac:dyDescent="0.25">
      <c r="A105">
        <v>104</v>
      </c>
      <c r="B105">
        <v>80630140</v>
      </c>
      <c r="C105" s="7" t="s">
        <v>27</v>
      </c>
      <c r="D105">
        <v>0.359483</v>
      </c>
      <c r="E105">
        <v>1.91351</v>
      </c>
      <c r="F105">
        <v>-1.5405199999999999</v>
      </c>
      <c r="G105" s="3">
        <f>firm_data[[#This Row],[production]]-firm_data[[#This Row],[sales]]</f>
        <v>0</v>
      </c>
      <c r="H105">
        <v>1.9</v>
      </c>
      <c r="I105">
        <v>-0.69452899999999995</v>
      </c>
      <c r="J105">
        <v>2</v>
      </c>
      <c r="K105">
        <v>2</v>
      </c>
      <c r="L105">
        <v>0</v>
      </c>
      <c r="M105">
        <v>5</v>
      </c>
      <c r="N105">
        <v>6.8377300000000002E-2</v>
      </c>
      <c r="O105">
        <v>0</v>
      </c>
      <c r="P105">
        <v>0.99990000000000001</v>
      </c>
      <c r="Q105" s="7" t="s">
        <v>201</v>
      </c>
      <c r="R105" s="7" t="s">
        <v>151</v>
      </c>
      <c r="S105">
        <v>0</v>
      </c>
      <c r="T105">
        <v>7.3061299999999996</v>
      </c>
      <c r="U105">
        <v>6.0060099999999998</v>
      </c>
      <c r="V105">
        <v>0</v>
      </c>
      <c r="W105">
        <v>1.8311200000000001</v>
      </c>
      <c r="X105">
        <v>0</v>
      </c>
      <c r="Y105">
        <v>4</v>
      </c>
      <c r="Z105">
        <v>0</v>
      </c>
      <c r="AA105">
        <v>26.738199999999999</v>
      </c>
      <c r="AB105">
        <v>7.0658899999999996</v>
      </c>
    </row>
    <row r="106" spans="1:28" x14ac:dyDescent="0.25">
      <c r="A106">
        <v>105</v>
      </c>
      <c r="B106">
        <v>682691133</v>
      </c>
      <c r="C106" s="7" t="s">
        <v>27</v>
      </c>
      <c r="D106">
        <v>0.358904</v>
      </c>
      <c r="E106">
        <v>1.91351</v>
      </c>
      <c r="F106">
        <v>-1.5410999999999999</v>
      </c>
      <c r="G106" s="3">
        <f>firm_data[[#This Row],[production]]-firm_data[[#This Row],[sales]]</f>
        <v>0</v>
      </c>
      <c r="H106">
        <v>1.9</v>
      </c>
      <c r="I106">
        <v>-0.69452899999999995</v>
      </c>
      <c r="J106">
        <v>2</v>
      </c>
      <c r="K106">
        <v>2</v>
      </c>
      <c r="L106">
        <v>0</v>
      </c>
      <c r="M106">
        <v>5</v>
      </c>
      <c r="N106">
        <v>6.8406300000000003E-2</v>
      </c>
      <c r="O106">
        <v>0</v>
      </c>
      <c r="P106">
        <v>0.99990000000000001</v>
      </c>
      <c r="Q106" s="7" t="s">
        <v>202</v>
      </c>
      <c r="R106" s="7" t="s">
        <v>151</v>
      </c>
      <c r="S106">
        <v>0</v>
      </c>
      <c r="T106">
        <v>7.1860099999999996</v>
      </c>
      <c r="U106">
        <v>6.0060099999999998</v>
      </c>
      <c r="V106">
        <v>0</v>
      </c>
      <c r="W106">
        <v>1.8311200000000001</v>
      </c>
      <c r="X106">
        <v>0</v>
      </c>
      <c r="Y106">
        <v>4</v>
      </c>
      <c r="Z106">
        <v>0</v>
      </c>
      <c r="AA106">
        <v>26.438199999999998</v>
      </c>
      <c r="AB106">
        <v>7.0658899999999996</v>
      </c>
    </row>
    <row r="107" spans="1:28" x14ac:dyDescent="0.25">
      <c r="A107">
        <v>106</v>
      </c>
      <c r="B107">
        <v>427865688</v>
      </c>
      <c r="C107" s="7" t="s">
        <v>27</v>
      </c>
      <c r="D107">
        <v>0.358541</v>
      </c>
      <c r="E107">
        <v>1.91351</v>
      </c>
      <c r="F107">
        <v>-1.5414600000000001</v>
      </c>
      <c r="G107" s="3">
        <f>firm_data[[#This Row],[production]]-firm_data[[#This Row],[sales]]</f>
        <v>0</v>
      </c>
      <c r="H107">
        <v>1.9</v>
      </c>
      <c r="I107">
        <v>-0.69452899999999995</v>
      </c>
      <c r="J107">
        <v>2</v>
      </c>
      <c r="K107">
        <v>2</v>
      </c>
      <c r="L107">
        <v>0</v>
      </c>
      <c r="M107">
        <v>5</v>
      </c>
      <c r="N107">
        <v>6.8424399999999996E-2</v>
      </c>
      <c r="O107">
        <v>0</v>
      </c>
      <c r="P107">
        <v>0.99990000000000001</v>
      </c>
      <c r="Q107" s="7" t="s">
        <v>203</v>
      </c>
      <c r="R107" s="7" t="s">
        <v>151</v>
      </c>
      <c r="S107">
        <v>0</v>
      </c>
      <c r="T107">
        <v>7.0658899999999996</v>
      </c>
      <c r="U107">
        <v>6.0060099999999998</v>
      </c>
      <c r="V107">
        <v>0</v>
      </c>
      <c r="W107">
        <v>1.8311200000000001</v>
      </c>
      <c r="X107">
        <v>0</v>
      </c>
      <c r="Y107">
        <v>4</v>
      </c>
      <c r="Z107">
        <v>0</v>
      </c>
      <c r="AA107">
        <v>26.203499999999998</v>
      </c>
      <c r="AB107">
        <v>7.0658899999999996</v>
      </c>
    </row>
    <row r="108" spans="1:28" x14ac:dyDescent="0.25">
      <c r="A108">
        <v>107</v>
      </c>
      <c r="B108">
        <v>166444688</v>
      </c>
      <c r="C108" s="7" t="s">
        <v>27</v>
      </c>
      <c r="D108">
        <v>0.35843399999999997</v>
      </c>
      <c r="E108">
        <v>1.91351</v>
      </c>
      <c r="F108">
        <v>-1.5415700000000001</v>
      </c>
      <c r="G108" s="3">
        <f>firm_data[[#This Row],[production]]-firm_data[[#This Row],[sales]]</f>
        <v>0</v>
      </c>
      <c r="H108">
        <v>1.9</v>
      </c>
      <c r="I108">
        <v>-0.69452899999999995</v>
      </c>
      <c r="J108">
        <v>2</v>
      </c>
      <c r="K108">
        <v>2</v>
      </c>
      <c r="L108">
        <v>0</v>
      </c>
      <c r="M108">
        <v>5</v>
      </c>
      <c r="N108">
        <v>6.8429799999999999E-2</v>
      </c>
      <c r="O108">
        <v>0</v>
      </c>
      <c r="P108">
        <v>0.99990000000000001</v>
      </c>
      <c r="Q108" s="7" t="s">
        <v>204</v>
      </c>
      <c r="R108" s="7" t="s">
        <v>151</v>
      </c>
      <c r="S108">
        <v>0</v>
      </c>
      <c r="T108">
        <v>6.9457700000000004</v>
      </c>
      <c r="U108">
        <v>6.0060099999999998</v>
      </c>
      <c r="V108">
        <v>0</v>
      </c>
      <c r="W108">
        <v>1.8311200000000001</v>
      </c>
      <c r="X108">
        <v>0</v>
      </c>
      <c r="Y108">
        <v>4</v>
      </c>
      <c r="Z108">
        <v>0</v>
      </c>
      <c r="AA108">
        <v>26.146100000000001</v>
      </c>
      <c r="AB108">
        <v>7.0658899999999996</v>
      </c>
    </row>
    <row r="109" spans="1:28" x14ac:dyDescent="0.25">
      <c r="A109">
        <v>108</v>
      </c>
      <c r="B109">
        <v>153095289</v>
      </c>
      <c r="C109" s="7" t="s">
        <v>27</v>
      </c>
      <c r="D109">
        <v>0.35793700000000001</v>
      </c>
      <c r="E109">
        <v>1.91351</v>
      </c>
      <c r="F109">
        <v>-1.54206</v>
      </c>
      <c r="G109" s="3">
        <f>firm_data[[#This Row],[production]]-firm_data[[#This Row],[sales]]</f>
        <v>0</v>
      </c>
      <c r="H109">
        <v>1.9</v>
      </c>
      <c r="I109">
        <v>-0.69452899999999995</v>
      </c>
      <c r="J109">
        <v>2</v>
      </c>
      <c r="K109">
        <v>2</v>
      </c>
      <c r="L109">
        <v>0</v>
      </c>
      <c r="M109">
        <v>5</v>
      </c>
      <c r="N109">
        <v>6.8454600000000004E-2</v>
      </c>
      <c r="O109">
        <v>0</v>
      </c>
      <c r="P109">
        <v>0.99990000000000001</v>
      </c>
      <c r="Q109" s="7" t="s">
        <v>205</v>
      </c>
      <c r="R109" s="7" t="s">
        <v>151</v>
      </c>
      <c r="S109">
        <v>0</v>
      </c>
      <c r="T109">
        <v>6.8256500000000004</v>
      </c>
      <c r="U109">
        <v>6.0060099999999998</v>
      </c>
      <c r="V109">
        <v>0</v>
      </c>
      <c r="W109">
        <v>1.8311200000000001</v>
      </c>
      <c r="X109">
        <v>0</v>
      </c>
      <c r="Y109">
        <v>4</v>
      </c>
      <c r="Z109">
        <v>0</v>
      </c>
      <c r="AA109">
        <v>25.8385</v>
      </c>
      <c r="AB109">
        <v>7.0658899999999996</v>
      </c>
    </row>
    <row r="110" spans="1:28" x14ac:dyDescent="0.25">
      <c r="A110">
        <v>109</v>
      </c>
      <c r="B110">
        <v>501975820</v>
      </c>
      <c r="C110" s="7" t="s">
        <v>27</v>
      </c>
      <c r="D110">
        <v>0.357323</v>
      </c>
      <c r="E110">
        <v>1.91351</v>
      </c>
      <c r="F110">
        <v>-1.5426800000000001</v>
      </c>
      <c r="G110" s="3">
        <f>firm_data[[#This Row],[production]]-firm_data[[#This Row],[sales]]</f>
        <v>0</v>
      </c>
      <c r="H110">
        <v>1.9</v>
      </c>
      <c r="I110">
        <v>-0.69452899999999995</v>
      </c>
      <c r="J110">
        <v>2</v>
      </c>
      <c r="K110">
        <v>2</v>
      </c>
      <c r="L110">
        <v>0</v>
      </c>
      <c r="M110">
        <v>5</v>
      </c>
      <c r="N110">
        <v>6.8485299999999999E-2</v>
      </c>
      <c r="O110">
        <v>0</v>
      </c>
      <c r="P110">
        <v>0.99990000000000001</v>
      </c>
      <c r="Q110" s="7" t="s">
        <v>206</v>
      </c>
      <c r="R110" s="7" t="s">
        <v>151</v>
      </c>
      <c r="S110">
        <v>0</v>
      </c>
      <c r="T110">
        <v>6.7055300000000004</v>
      </c>
      <c r="U110">
        <v>6.0060099999999998</v>
      </c>
      <c r="V110">
        <v>0</v>
      </c>
      <c r="W110">
        <v>1.8311200000000001</v>
      </c>
      <c r="X110">
        <v>0</v>
      </c>
      <c r="Y110">
        <v>4</v>
      </c>
      <c r="Z110">
        <v>0</v>
      </c>
      <c r="AA110">
        <v>25.5123</v>
      </c>
      <c r="AB110">
        <v>7.0658899999999996</v>
      </c>
    </row>
    <row r="111" spans="1:28" x14ac:dyDescent="0.25">
      <c r="A111">
        <v>110</v>
      </c>
      <c r="B111">
        <v>17106968</v>
      </c>
      <c r="C111" s="7" t="s">
        <v>27</v>
      </c>
      <c r="D111">
        <v>0.356601</v>
      </c>
      <c r="E111">
        <v>1.91351</v>
      </c>
      <c r="F111">
        <v>-1.5434000000000001</v>
      </c>
      <c r="G111" s="3">
        <f>firm_data[[#This Row],[production]]-firm_data[[#This Row],[sales]]</f>
        <v>0</v>
      </c>
      <c r="H111">
        <v>1.9</v>
      </c>
      <c r="I111">
        <v>-0.69452899999999995</v>
      </c>
      <c r="J111">
        <v>2</v>
      </c>
      <c r="K111">
        <v>2</v>
      </c>
      <c r="L111">
        <v>0</v>
      </c>
      <c r="M111">
        <v>5</v>
      </c>
      <c r="N111">
        <v>6.8521399999999996E-2</v>
      </c>
      <c r="O111">
        <v>0</v>
      </c>
      <c r="P111">
        <v>0.99990000000000001</v>
      </c>
      <c r="Q111" s="7" t="s">
        <v>207</v>
      </c>
      <c r="R111" s="7" t="s">
        <v>151</v>
      </c>
      <c r="S111">
        <v>0</v>
      </c>
      <c r="T111">
        <v>6.5854100000000004</v>
      </c>
      <c r="U111">
        <v>6.0060099999999998</v>
      </c>
      <c r="V111">
        <v>0</v>
      </c>
      <c r="W111">
        <v>1.8311200000000001</v>
      </c>
      <c r="X111">
        <v>0</v>
      </c>
      <c r="Y111">
        <v>4</v>
      </c>
      <c r="Z111">
        <v>0</v>
      </c>
      <c r="AA111">
        <v>25.2087</v>
      </c>
      <c r="AB111">
        <v>7.0658899999999996</v>
      </c>
    </row>
    <row r="112" spans="1:28" x14ac:dyDescent="0.25">
      <c r="A112">
        <v>111</v>
      </c>
      <c r="B112">
        <v>593269862</v>
      </c>
      <c r="C112" s="7" t="s">
        <v>27</v>
      </c>
      <c r="D112">
        <v>0.355989</v>
      </c>
      <c r="E112">
        <v>1.91351</v>
      </c>
      <c r="F112">
        <v>-1.5440100000000001</v>
      </c>
      <c r="G112" s="3">
        <f>firm_data[[#This Row],[production]]-firm_data[[#This Row],[sales]]</f>
        <v>0</v>
      </c>
      <c r="H112">
        <v>1.9</v>
      </c>
      <c r="I112">
        <v>-0.69452899999999995</v>
      </c>
      <c r="J112">
        <v>2</v>
      </c>
      <c r="K112">
        <v>2</v>
      </c>
      <c r="L112">
        <v>0</v>
      </c>
      <c r="M112">
        <v>5</v>
      </c>
      <c r="N112">
        <v>6.8552000000000002E-2</v>
      </c>
      <c r="O112">
        <v>0</v>
      </c>
      <c r="P112">
        <v>0.99990000000000001</v>
      </c>
      <c r="Q112" s="7" t="s">
        <v>208</v>
      </c>
      <c r="R112" s="7" t="s">
        <v>151</v>
      </c>
      <c r="S112">
        <v>0</v>
      </c>
      <c r="T112">
        <v>6.4652900000000004</v>
      </c>
      <c r="U112">
        <v>6.0060099999999998</v>
      </c>
      <c r="V112">
        <v>0</v>
      </c>
      <c r="W112">
        <v>1.8311200000000001</v>
      </c>
      <c r="X112">
        <v>0</v>
      </c>
      <c r="Y112">
        <v>4</v>
      </c>
      <c r="Z112">
        <v>0</v>
      </c>
      <c r="AA112">
        <v>24.909700000000001</v>
      </c>
      <c r="AB112">
        <v>7.0658899999999996</v>
      </c>
    </row>
    <row r="113" spans="1:28" x14ac:dyDescent="0.25">
      <c r="A113">
        <v>112</v>
      </c>
      <c r="B113">
        <v>992393856</v>
      </c>
      <c r="C113" s="7" t="s">
        <v>27</v>
      </c>
      <c r="D113">
        <v>0.355437</v>
      </c>
      <c r="E113">
        <v>1.91351</v>
      </c>
      <c r="F113">
        <v>-1.5445599999999999</v>
      </c>
      <c r="G113" s="3">
        <f>firm_data[[#This Row],[production]]-firm_data[[#This Row],[sales]]</f>
        <v>0</v>
      </c>
      <c r="H113">
        <v>1.9</v>
      </c>
      <c r="I113">
        <v>-0.69452899999999995</v>
      </c>
      <c r="J113">
        <v>2</v>
      </c>
      <c r="K113">
        <v>2</v>
      </c>
      <c r="L113">
        <v>0</v>
      </c>
      <c r="M113">
        <v>5</v>
      </c>
      <c r="N113">
        <v>6.8579600000000004E-2</v>
      </c>
      <c r="O113">
        <v>0</v>
      </c>
      <c r="P113">
        <v>0.99990000000000001</v>
      </c>
      <c r="Q113" s="7" t="s">
        <v>209</v>
      </c>
      <c r="R113" s="7" t="s">
        <v>151</v>
      </c>
      <c r="S113">
        <v>0</v>
      </c>
      <c r="T113">
        <v>6.3451700000000004</v>
      </c>
      <c r="U113">
        <v>6.0060099999999998</v>
      </c>
      <c r="V113">
        <v>0</v>
      </c>
      <c r="W113">
        <v>1.8311200000000001</v>
      </c>
      <c r="X113">
        <v>0</v>
      </c>
      <c r="Y113">
        <v>4</v>
      </c>
      <c r="Z113">
        <v>0</v>
      </c>
      <c r="AA113">
        <v>24.6145</v>
      </c>
      <c r="AB113">
        <v>7.0658899999999996</v>
      </c>
    </row>
    <row r="114" spans="1:28" x14ac:dyDescent="0.25">
      <c r="A114">
        <v>113</v>
      </c>
      <c r="B114">
        <v>816240382</v>
      </c>
      <c r="C114" s="7" t="s">
        <v>27</v>
      </c>
      <c r="D114">
        <v>0.35495500000000002</v>
      </c>
      <c r="E114">
        <v>1.91351</v>
      </c>
      <c r="F114">
        <v>-1.54505</v>
      </c>
      <c r="G114" s="3">
        <f>firm_data[[#This Row],[production]]-firm_data[[#This Row],[sales]]</f>
        <v>0</v>
      </c>
      <c r="H114">
        <v>1.9</v>
      </c>
      <c r="I114">
        <v>-0.69452899999999995</v>
      </c>
      <c r="J114">
        <v>2</v>
      </c>
      <c r="K114">
        <v>2</v>
      </c>
      <c r="L114">
        <v>0</v>
      </c>
      <c r="M114">
        <v>5</v>
      </c>
      <c r="N114">
        <v>6.8603700000000004E-2</v>
      </c>
      <c r="O114">
        <v>0</v>
      </c>
      <c r="P114">
        <v>0.99990000000000001</v>
      </c>
      <c r="Q114" s="7" t="s">
        <v>210</v>
      </c>
      <c r="R114" s="7" t="s">
        <v>151</v>
      </c>
      <c r="S114">
        <v>0</v>
      </c>
      <c r="T114">
        <v>6.2250500000000004</v>
      </c>
      <c r="U114">
        <v>6.0060099999999998</v>
      </c>
      <c r="V114">
        <v>0</v>
      </c>
      <c r="W114">
        <v>1.8311200000000001</v>
      </c>
      <c r="X114">
        <v>0</v>
      </c>
      <c r="Y114">
        <v>4</v>
      </c>
      <c r="Z114">
        <v>0</v>
      </c>
      <c r="AA114">
        <v>24.285799999999998</v>
      </c>
      <c r="AB114">
        <v>7.0658899999999996</v>
      </c>
    </row>
    <row r="115" spans="1:28" x14ac:dyDescent="0.25">
      <c r="A115">
        <v>114</v>
      </c>
      <c r="B115">
        <v>91888968</v>
      </c>
      <c r="C115" s="7" t="s">
        <v>27</v>
      </c>
      <c r="D115">
        <v>0.35427399999999998</v>
      </c>
      <c r="E115">
        <v>1.91351</v>
      </c>
      <c r="F115">
        <v>-1.54573</v>
      </c>
      <c r="G115" s="3">
        <f>firm_data[[#This Row],[production]]-firm_data[[#This Row],[sales]]</f>
        <v>0</v>
      </c>
      <c r="H115">
        <v>1.9</v>
      </c>
      <c r="I115">
        <v>-0.69452899999999995</v>
      </c>
      <c r="J115">
        <v>2</v>
      </c>
      <c r="K115">
        <v>2</v>
      </c>
      <c r="L115">
        <v>0</v>
      </c>
      <c r="M115">
        <v>5</v>
      </c>
      <c r="N115">
        <v>6.8637699999999996E-2</v>
      </c>
      <c r="O115">
        <v>0</v>
      </c>
      <c r="P115">
        <v>0.99990000000000001</v>
      </c>
      <c r="Q115" s="7" t="s">
        <v>211</v>
      </c>
      <c r="R115" s="7" t="s">
        <v>151</v>
      </c>
      <c r="S115">
        <v>0</v>
      </c>
      <c r="T115">
        <v>6.1049300000000004</v>
      </c>
      <c r="U115">
        <v>6.0060099999999998</v>
      </c>
      <c r="V115">
        <v>0</v>
      </c>
      <c r="W115">
        <v>1.8311200000000001</v>
      </c>
      <c r="X115">
        <v>0</v>
      </c>
      <c r="Y115">
        <v>4</v>
      </c>
      <c r="Z115">
        <v>0</v>
      </c>
      <c r="AA115">
        <v>24.0778</v>
      </c>
      <c r="AB115">
        <v>7.0658899999999996</v>
      </c>
    </row>
    <row r="116" spans="1:28" x14ac:dyDescent="0.25">
      <c r="A116">
        <v>115</v>
      </c>
      <c r="B116">
        <v>471092618</v>
      </c>
      <c r="C116" s="7" t="s">
        <v>27</v>
      </c>
      <c r="D116">
        <v>0.354273</v>
      </c>
      <c r="E116">
        <v>1.91351</v>
      </c>
      <c r="F116">
        <v>-1.54573</v>
      </c>
      <c r="G116" s="3">
        <f>firm_data[[#This Row],[production]]-firm_data[[#This Row],[sales]]</f>
        <v>0</v>
      </c>
      <c r="H116">
        <v>1.9</v>
      </c>
      <c r="I116">
        <v>-0.69452899999999995</v>
      </c>
      <c r="J116">
        <v>2</v>
      </c>
      <c r="K116">
        <v>2</v>
      </c>
      <c r="L116">
        <v>0</v>
      </c>
      <c r="M116">
        <v>5</v>
      </c>
      <c r="N116">
        <v>6.8637799999999999E-2</v>
      </c>
      <c r="O116">
        <v>0</v>
      </c>
      <c r="P116">
        <v>0.99990000000000001</v>
      </c>
      <c r="Q116" s="7" t="s">
        <v>212</v>
      </c>
      <c r="R116" s="7" t="s">
        <v>151</v>
      </c>
      <c r="S116">
        <v>0</v>
      </c>
      <c r="T116">
        <v>5.9848100000000004</v>
      </c>
      <c r="U116">
        <v>6.0060099999999998</v>
      </c>
      <c r="V116">
        <v>0</v>
      </c>
      <c r="W116">
        <v>1.8311200000000001</v>
      </c>
      <c r="X116">
        <v>0</v>
      </c>
      <c r="Y116">
        <v>4</v>
      </c>
      <c r="Z116">
        <v>0</v>
      </c>
      <c r="AA116">
        <v>23.8705</v>
      </c>
      <c r="AB116">
        <v>7.0658899999999996</v>
      </c>
    </row>
    <row r="117" spans="1:28" x14ac:dyDescent="0.25">
      <c r="A117">
        <v>116</v>
      </c>
      <c r="B117">
        <v>317043351</v>
      </c>
      <c r="C117" s="7" t="s">
        <v>27</v>
      </c>
      <c r="D117">
        <v>0.34037200000000001</v>
      </c>
      <c r="E117">
        <v>1.91351</v>
      </c>
      <c r="F117">
        <v>-1.5596300000000001</v>
      </c>
      <c r="G117" s="3">
        <f>firm_data[[#This Row],[production]]-firm_data[[#This Row],[sales]]</f>
        <v>0</v>
      </c>
      <c r="H117">
        <v>1.9</v>
      </c>
      <c r="I117">
        <v>-0.69452899999999995</v>
      </c>
      <c r="J117">
        <v>1.9929399999999999</v>
      </c>
      <c r="K117">
        <v>1.9929399999999999</v>
      </c>
      <c r="L117">
        <v>0</v>
      </c>
      <c r="M117">
        <v>5</v>
      </c>
      <c r="N117">
        <v>6.8657499999999996E-2</v>
      </c>
      <c r="O117">
        <v>0</v>
      </c>
      <c r="P117">
        <v>0.99990000000000001</v>
      </c>
      <c r="Q117" s="7" t="s">
        <v>213</v>
      </c>
      <c r="R117" s="7" t="s">
        <v>151</v>
      </c>
      <c r="S117">
        <v>0</v>
      </c>
      <c r="T117">
        <v>5.8651099999999996</v>
      </c>
      <c r="U117">
        <v>6.0060099999999998</v>
      </c>
      <c r="V117">
        <v>0</v>
      </c>
      <c r="W117">
        <v>1.8311200000000001</v>
      </c>
      <c r="X117">
        <v>0</v>
      </c>
      <c r="Y117">
        <v>4</v>
      </c>
      <c r="Z117">
        <v>0</v>
      </c>
      <c r="AA117">
        <v>23.558</v>
      </c>
      <c r="AB117">
        <v>7.0658899999999996</v>
      </c>
    </row>
    <row r="118" spans="1:28" x14ac:dyDescent="0.25">
      <c r="A118">
        <v>117</v>
      </c>
      <c r="B118">
        <v>805962990</v>
      </c>
      <c r="C118" s="7" t="s">
        <v>27</v>
      </c>
      <c r="D118">
        <v>0.259465</v>
      </c>
      <c r="E118">
        <v>1.91351</v>
      </c>
      <c r="F118">
        <v>-1.6230599999999999</v>
      </c>
      <c r="G118" s="3">
        <f>firm_data[[#This Row],[production]]-firm_data[[#This Row],[sales]]</f>
        <v>0</v>
      </c>
      <c r="H118">
        <v>1.88252</v>
      </c>
      <c r="I118">
        <v>-0.69452899999999995</v>
      </c>
      <c r="J118">
        <v>1.9530799999999999</v>
      </c>
      <c r="K118">
        <v>1.9530799999999999</v>
      </c>
      <c r="L118">
        <v>0</v>
      </c>
      <c r="M118">
        <v>5</v>
      </c>
      <c r="N118">
        <v>6.8015400000000004E-2</v>
      </c>
      <c r="O118">
        <v>0</v>
      </c>
      <c r="P118">
        <v>0.99990000000000001</v>
      </c>
      <c r="Q118" s="7" t="s">
        <v>214</v>
      </c>
      <c r="R118" s="7" t="s">
        <v>151</v>
      </c>
      <c r="S118">
        <v>0</v>
      </c>
      <c r="T118">
        <v>5.7478100000000003</v>
      </c>
      <c r="U118">
        <v>5.9954099999999997</v>
      </c>
      <c r="V118">
        <v>0</v>
      </c>
      <c r="W118">
        <v>1.8311200000000001</v>
      </c>
      <c r="X118">
        <v>0</v>
      </c>
      <c r="Y118">
        <v>4</v>
      </c>
      <c r="Z118">
        <v>0</v>
      </c>
      <c r="AA118">
        <v>23.3367</v>
      </c>
      <c r="AB118">
        <v>7.0658899999999996</v>
      </c>
    </row>
    <row r="119" spans="1:28" x14ac:dyDescent="0.25">
      <c r="A119">
        <v>118</v>
      </c>
      <c r="B119">
        <v>920954217</v>
      </c>
      <c r="C119" s="7" t="s">
        <v>27</v>
      </c>
      <c r="D119">
        <v>-4.0768500000000003</v>
      </c>
      <c r="E119">
        <v>1.91351</v>
      </c>
      <c r="F119">
        <v>-5.8890099999999999</v>
      </c>
      <c r="G119" s="3">
        <f>firm_data[[#This Row],[production]]-firm_data[[#This Row],[sales]]</f>
        <v>0</v>
      </c>
      <c r="H119">
        <v>1.81216</v>
      </c>
      <c r="I119">
        <v>-0.69452899999999995</v>
      </c>
      <c r="J119">
        <v>1.9140200000000001</v>
      </c>
      <c r="K119">
        <v>1.9140200000000001</v>
      </c>
      <c r="L119">
        <v>0</v>
      </c>
      <c r="M119">
        <v>5</v>
      </c>
      <c r="N119">
        <v>6.5446900000000002E-2</v>
      </c>
      <c r="O119">
        <v>0</v>
      </c>
      <c r="P119">
        <v>0.99990000000000001</v>
      </c>
      <c r="Q119" s="7" t="s">
        <v>215</v>
      </c>
      <c r="R119" s="7" t="s">
        <v>151</v>
      </c>
      <c r="S119">
        <v>0</v>
      </c>
      <c r="T119">
        <v>6.6328500000000004</v>
      </c>
      <c r="U119">
        <v>5.9302599999999996</v>
      </c>
      <c r="V119">
        <v>4.2425800000000002</v>
      </c>
      <c r="W119">
        <v>1.8311200000000001</v>
      </c>
      <c r="X119">
        <v>1.70339</v>
      </c>
      <c r="Y119">
        <v>4</v>
      </c>
      <c r="Z119">
        <v>6.9656900000000004</v>
      </c>
      <c r="AA119">
        <v>27.123799999999999</v>
      </c>
      <c r="AB119">
        <v>6.9767799999999998</v>
      </c>
    </row>
    <row r="120" spans="1:28" x14ac:dyDescent="0.25">
      <c r="A120">
        <v>119</v>
      </c>
      <c r="B120">
        <v>856769218</v>
      </c>
      <c r="C120" s="7" t="s">
        <v>27</v>
      </c>
      <c r="D120">
        <v>0.28948000000000002</v>
      </c>
      <c r="E120">
        <v>1.91351</v>
      </c>
      <c r="F120">
        <v>-1.37436</v>
      </c>
      <c r="G120" s="3">
        <f>firm_data[[#This Row],[production]]-firm_data[[#This Row],[sales]]</f>
        <v>0</v>
      </c>
      <c r="H120">
        <v>1.66384</v>
      </c>
      <c r="I120">
        <v>-0.69452899999999995</v>
      </c>
      <c r="J120">
        <v>2</v>
      </c>
      <c r="K120">
        <v>2</v>
      </c>
      <c r="L120">
        <v>0</v>
      </c>
      <c r="M120">
        <v>5</v>
      </c>
      <c r="N120">
        <v>6.0069299999999999E-2</v>
      </c>
      <c r="O120">
        <v>0</v>
      </c>
      <c r="P120">
        <v>0.99990000000000001</v>
      </c>
      <c r="Q120" s="7" t="s">
        <v>216</v>
      </c>
      <c r="R120" s="7" t="s">
        <v>151</v>
      </c>
      <c r="S120">
        <v>0</v>
      </c>
      <c r="T120">
        <v>6.5127300000000004</v>
      </c>
      <c r="U120">
        <v>5.8390399999999998</v>
      </c>
      <c r="V120">
        <v>0</v>
      </c>
      <c r="W120">
        <v>1.8311200000000001</v>
      </c>
      <c r="X120">
        <v>0</v>
      </c>
      <c r="Y120">
        <v>4</v>
      </c>
      <c r="Z120">
        <v>0</v>
      </c>
      <c r="AA120">
        <v>26.700600000000001</v>
      </c>
      <c r="AB120">
        <v>6.9767799999999998</v>
      </c>
    </row>
    <row r="121" spans="1:28" x14ac:dyDescent="0.25">
      <c r="A121">
        <v>120</v>
      </c>
      <c r="B121">
        <v>796631172</v>
      </c>
      <c r="C121" s="7" t="s">
        <v>27</v>
      </c>
      <c r="D121">
        <v>0.25878499999999999</v>
      </c>
      <c r="E121">
        <v>1.91351</v>
      </c>
      <c r="F121">
        <v>-1.29444</v>
      </c>
      <c r="G121" s="3">
        <f>firm_data[[#This Row],[production]]-firm_data[[#This Row],[sales]]</f>
        <v>0</v>
      </c>
      <c r="H121">
        <v>1.55322</v>
      </c>
      <c r="I121">
        <v>-0.69452899999999995</v>
      </c>
      <c r="J121">
        <v>2</v>
      </c>
      <c r="K121">
        <v>2</v>
      </c>
      <c r="L121">
        <v>0</v>
      </c>
      <c r="M121">
        <v>5</v>
      </c>
      <c r="N121">
        <v>5.6073400000000002E-2</v>
      </c>
      <c r="O121">
        <v>0</v>
      </c>
      <c r="P121">
        <v>0.99990000000000001</v>
      </c>
      <c r="Q121" s="7" t="s">
        <v>217</v>
      </c>
      <c r="R121" s="7" t="s">
        <v>151</v>
      </c>
      <c r="S121">
        <v>0</v>
      </c>
      <c r="T121">
        <v>6.3926100000000003</v>
      </c>
      <c r="U121">
        <v>5.9225199999999996</v>
      </c>
      <c r="V121">
        <v>0</v>
      </c>
      <c r="W121">
        <v>1.8311200000000001</v>
      </c>
      <c r="X121">
        <v>0</v>
      </c>
      <c r="Y121">
        <v>4</v>
      </c>
      <c r="Z121">
        <v>0</v>
      </c>
      <c r="AA121">
        <v>26.374700000000001</v>
      </c>
      <c r="AB121">
        <v>6.9767799999999998</v>
      </c>
    </row>
    <row r="122" spans="1:28" x14ac:dyDescent="0.25">
      <c r="A122">
        <v>121</v>
      </c>
      <c r="B122">
        <v>714076111</v>
      </c>
      <c r="C122" s="7" t="s">
        <v>27</v>
      </c>
      <c r="D122">
        <v>0.22969999999999999</v>
      </c>
      <c r="E122">
        <v>1.91351</v>
      </c>
      <c r="F122">
        <v>-1.2187300000000001</v>
      </c>
      <c r="G122" s="3">
        <f>firm_data[[#This Row],[production]]-firm_data[[#This Row],[sales]]</f>
        <v>0</v>
      </c>
      <c r="H122">
        <v>1.4484300000000001</v>
      </c>
      <c r="I122">
        <v>-0.69452899999999995</v>
      </c>
      <c r="J122">
        <v>2</v>
      </c>
      <c r="K122">
        <v>2</v>
      </c>
      <c r="L122">
        <v>0</v>
      </c>
      <c r="M122">
        <v>5</v>
      </c>
      <c r="N122">
        <v>5.2288000000000001E-2</v>
      </c>
      <c r="O122">
        <v>0</v>
      </c>
      <c r="P122">
        <v>0.99990000000000001</v>
      </c>
      <c r="Q122" s="7" t="s">
        <v>218</v>
      </c>
      <c r="R122" s="7" t="s">
        <v>151</v>
      </c>
      <c r="S122">
        <v>0</v>
      </c>
      <c r="T122">
        <v>6.2724900000000003</v>
      </c>
      <c r="U122">
        <v>5.9642600000000003</v>
      </c>
      <c r="V122">
        <v>0</v>
      </c>
      <c r="W122">
        <v>1.8311200000000001</v>
      </c>
      <c r="X122">
        <v>0</v>
      </c>
      <c r="Y122">
        <v>4</v>
      </c>
      <c r="Z122">
        <v>0</v>
      </c>
      <c r="AA122">
        <v>25.9727</v>
      </c>
      <c r="AB122">
        <v>6.9767799999999998</v>
      </c>
    </row>
    <row r="123" spans="1:28" x14ac:dyDescent="0.25">
      <c r="A123">
        <v>122</v>
      </c>
      <c r="B123">
        <v>97631309</v>
      </c>
      <c r="C123" s="7" t="s">
        <v>27</v>
      </c>
      <c r="D123">
        <v>0.2009</v>
      </c>
      <c r="E123">
        <v>1.91351</v>
      </c>
      <c r="F123">
        <v>-1.1439999999999999</v>
      </c>
      <c r="G123" s="3">
        <f>firm_data[[#This Row],[production]]-firm_data[[#This Row],[sales]]</f>
        <v>0</v>
      </c>
      <c r="H123">
        <v>1.3449</v>
      </c>
      <c r="I123">
        <v>-0.69452899999999995</v>
      </c>
      <c r="J123">
        <v>2</v>
      </c>
      <c r="K123">
        <v>2</v>
      </c>
      <c r="L123">
        <v>0</v>
      </c>
      <c r="M123">
        <v>5</v>
      </c>
      <c r="N123">
        <v>4.8551200000000003E-2</v>
      </c>
      <c r="O123">
        <v>0</v>
      </c>
      <c r="P123">
        <v>0.99990000000000001</v>
      </c>
      <c r="Q123" s="7" t="s">
        <v>219</v>
      </c>
      <c r="R123" s="7" t="s">
        <v>151</v>
      </c>
      <c r="S123">
        <v>0</v>
      </c>
      <c r="T123">
        <v>6.1523700000000003</v>
      </c>
      <c r="U123">
        <v>5.9851299999999998</v>
      </c>
      <c r="V123">
        <v>0</v>
      </c>
      <c r="W123">
        <v>1.8311200000000001</v>
      </c>
      <c r="X123">
        <v>0</v>
      </c>
      <c r="Y123">
        <v>4</v>
      </c>
      <c r="Z123">
        <v>0</v>
      </c>
      <c r="AA123">
        <v>25.569199999999999</v>
      </c>
      <c r="AB123">
        <v>6.9767799999999998</v>
      </c>
    </row>
    <row r="124" spans="1:28" x14ac:dyDescent="0.25">
      <c r="A124">
        <v>123</v>
      </c>
      <c r="B124">
        <v>450675632</v>
      </c>
      <c r="C124" s="7" t="s">
        <v>27</v>
      </c>
      <c r="D124">
        <v>0.17435200000000001</v>
      </c>
      <c r="E124">
        <v>1.91351</v>
      </c>
      <c r="F124">
        <v>-1.07501</v>
      </c>
      <c r="G124" s="3">
        <f>firm_data[[#This Row],[production]]-firm_data[[#This Row],[sales]]</f>
        <v>0</v>
      </c>
      <c r="H124">
        <v>1.24936</v>
      </c>
      <c r="I124">
        <v>-0.69452899999999995</v>
      </c>
      <c r="J124">
        <v>2</v>
      </c>
      <c r="K124">
        <v>2</v>
      </c>
      <c r="L124">
        <v>0</v>
      </c>
      <c r="M124">
        <v>5</v>
      </c>
      <c r="N124">
        <v>4.51019E-2</v>
      </c>
      <c r="O124">
        <v>0</v>
      </c>
      <c r="P124">
        <v>0.99990000000000001</v>
      </c>
      <c r="Q124" s="7" t="s">
        <v>220</v>
      </c>
      <c r="R124" s="7" t="s">
        <v>151</v>
      </c>
      <c r="S124">
        <v>0</v>
      </c>
      <c r="T124">
        <v>6.0322500000000003</v>
      </c>
      <c r="U124">
        <v>5.9955699999999998</v>
      </c>
      <c r="V124">
        <v>0</v>
      </c>
      <c r="W124">
        <v>1.8311200000000001</v>
      </c>
      <c r="X124">
        <v>0</v>
      </c>
      <c r="Y124">
        <v>4</v>
      </c>
      <c r="Z124">
        <v>0</v>
      </c>
      <c r="AA124">
        <v>25.1431</v>
      </c>
      <c r="AB124">
        <v>6.9767799999999998</v>
      </c>
    </row>
    <row r="125" spans="1:28" x14ac:dyDescent="0.25">
      <c r="A125">
        <v>124</v>
      </c>
      <c r="B125">
        <v>200322327</v>
      </c>
      <c r="C125" s="7" t="s">
        <v>27</v>
      </c>
      <c r="D125">
        <v>0.14665700000000001</v>
      </c>
      <c r="E125">
        <v>1.91351</v>
      </c>
      <c r="F125">
        <v>-1.0037400000000001</v>
      </c>
      <c r="G125" s="3">
        <f>firm_data[[#This Row],[production]]-firm_data[[#This Row],[sales]]</f>
        <v>0</v>
      </c>
      <c r="H125">
        <v>1.1504000000000001</v>
      </c>
      <c r="I125">
        <v>-0.69452899999999995</v>
      </c>
      <c r="J125">
        <v>2</v>
      </c>
      <c r="K125">
        <v>2</v>
      </c>
      <c r="L125">
        <v>0</v>
      </c>
      <c r="M125">
        <v>5</v>
      </c>
      <c r="N125">
        <v>4.1538600000000002E-2</v>
      </c>
      <c r="O125">
        <v>0</v>
      </c>
      <c r="P125">
        <v>0.99990000000000001</v>
      </c>
      <c r="Q125" s="7" t="s">
        <v>221</v>
      </c>
      <c r="R125" s="7" t="s">
        <v>151</v>
      </c>
      <c r="S125">
        <v>0</v>
      </c>
      <c r="T125">
        <v>5.9121300000000003</v>
      </c>
      <c r="U125">
        <v>6.0007900000000003</v>
      </c>
      <c r="V125">
        <v>0</v>
      </c>
      <c r="W125">
        <v>1.8311200000000001</v>
      </c>
      <c r="X125">
        <v>0</v>
      </c>
      <c r="Y125">
        <v>4</v>
      </c>
      <c r="Z125">
        <v>0</v>
      </c>
      <c r="AA125">
        <v>24.703499999999998</v>
      </c>
      <c r="AB125">
        <v>6.9767799999999998</v>
      </c>
    </row>
    <row r="126" spans="1:28" x14ac:dyDescent="0.25">
      <c r="A126">
        <v>125</v>
      </c>
      <c r="B126">
        <v>139257017</v>
      </c>
      <c r="C126" s="7" t="s">
        <v>27</v>
      </c>
      <c r="D126">
        <v>6.02631E-2</v>
      </c>
      <c r="E126">
        <v>1.91351</v>
      </c>
      <c r="F126">
        <v>-0.99471100000000001</v>
      </c>
      <c r="G126" s="3">
        <f>firm_data[[#This Row],[production]]-firm_data[[#This Row],[sales]]</f>
        <v>0</v>
      </c>
      <c r="H126">
        <v>1.05497</v>
      </c>
      <c r="I126">
        <v>-0.69452899999999995</v>
      </c>
      <c r="J126">
        <v>1.9687399999999999</v>
      </c>
      <c r="K126">
        <v>1.9687399999999999</v>
      </c>
      <c r="L126">
        <v>0</v>
      </c>
      <c r="M126">
        <v>5</v>
      </c>
      <c r="N126">
        <v>3.8096199999999997E-2</v>
      </c>
      <c r="O126">
        <v>0</v>
      </c>
      <c r="P126">
        <v>0.99990000000000001</v>
      </c>
      <c r="Q126" s="7" t="s">
        <v>222</v>
      </c>
      <c r="R126" s="7" t="s">
        <v>151</v>
      </c>
      <c r="S126">
        <v>0</v>
      </c>
      <c r="T126">
        <v>5.7938900000000002</v>
      </c>
      <c r="U126">
        <v>6.0034000000000001</v>
      </c>
      <c r="V126">
        <v>0</v>
      </c>
      <c r="W126">
        <v>1.8311200000000001</v>
      </c>
      <c r="X126">
        <v>0</v>
      </c>
      <c r="Y126">
        <v>4</v>
      </c>
      <c r="Z126">
        <v>0</v>
      </c>
      <c r="AA126">
        <v>24.480899999999998</v>
      </c>
      <c r="AB126">
        <v>6.9767799999999998</v>
      </c>
    </row>
    <row r="127" spans="1:28" x14ac:dyDescent="0.25">
      <c r="A127">
        <v>126</v>
      </c>
      <c r="B127">
        <v>707597789</v>
      </c>
      <c r="C127" s="7" t="s">
        <v>27</v>
      </c>
      <c r="D127">
        <v>-3.4225699999999998E-2</v>
      </c>
      <c r="E127">
        <v>1.91351</v>
      </c>
      <c r="F127">
        <v>-1.02037</v>
      </c>
      <c r="G127" s="3">
        <f>firm_data[[#This Row],[production]]-firm_data[[#This Row],[sales]]</f>
        <v>0</v>
      </c>
      <c r="H127">
        <v>0.98614299999999999</v>
      </c>
      <c r="I127">
        <v>-0.69452899999999995</v>
      </c>
      <c r="J127">
        <v>1.92937</v>
      </c>
      <c r="K127">
        <v>1.92937</v>
      </c>
      <c r="L127">
        <v>0</v>
      </c>
      <c r="M127">
        <v>5</v>
      </c>
      <c r="N127">
        <v>3.5611900000000002E-2</v>
      </c>
      <c r="O127">
        <v>0</v>
      </c>
      <c r="P127">
        <v>0.99990000000000001</v>
      </c>
      <c r="Q127" s="7" t="s">
        <v>223</v>
      </c>
      <c r="R127" s="7" t="s">
        <v>151</v>
      </c>
      <c r="S127">
        <v>0</v>
      </c>
      <c r="T127">
        <v>5.6780099999999996</v>
      </c>
      <c r="U127">
        <v>5.95777</v>
      </c>
      <c r="V127">
        <v>0</v>
      </c>
      <c r="W127">
        <v>1.8311200000000001</v>
      </c>
      <c r="X127">
        <v>0</v>
      </c>
      <c r="Y127">
        <v>4</v>
      </c>
      <c r="Z127">
        <v>0</v>
      </c>
      <c r="AA127">
        <v>24.348800000000001</v>
      </c>
      <c r="AB127">
        <v>6.9767799999999998</v>
      </c>
    </row>
    <row r="128" spans="1:28" x14ac:dyDescent="0.25">
      <c r="A128">
        <v>127</v>
      </c>
      <c r="B128">
        <v>698675811</v>
      </c>
      <c r="C128" s="7" t="s">
        <v>27</v>
      </c>
      <c r="D128">
        <v>-5.0864000000000003</v>
      </c>
      <c r="E128">
        <v>1.91351</v>
      </c>
      <c r="F128">
        <v>-5.9868499999999996</v>
      </c>
      <c r="G128" s="3">
        <f>firm_data[[#This Row],[production]]-firm_data[[#This Row],[sales]]</f>
        <v>0</v>
      </c>
      <c r="H128">
        <v>0.90044500000000005</v>
      </c>
      <c r="I128">
        <v>-0.69452899999999995</v>
      </c>
      <c r="J128">
        <v>1.8907799999999999</v>
      </c>
      <c r="K128">
        <v>1.8907799999999999</v>
      </c>
      <c r="L128">
        <v>0</v>
      </c>
      <c r="M128">
        <v>5</v>
      </c>
      <c r="N128">
        <v>3.2508700000000001E-2</v>
      </c>
      <c r="O128">
        <v>0</v>
      </c>
      <c r="P128">
        <v>0.99990000000000001</v>
      </c>
      <c r="Q128" s="7" t="s">
        <v>224</v>
      </c>
      <c r="R128" s="7" t="s">
        <v>151</v>
      </c>
      <c r="S128">
        <v>0</v>
      </c>
      <c r="T128">
        <v>6.7204300000000003</v>
      </c>
      <c r="U128">
        <v>5.8758299999999997</v>
      </c>
      <c r="V128">
        <v>4.9546999999999999</v>
      </c>
      <c r="W128">
        <v>1.8311200000000001</v>
      </c>
      <c r="X128">
        <v>1.70479</v>
      </c>
      <c r="Y128">
        <v>4</v>
      </c>
      <c r="Z128">
        <v>7.4207299999999998</v>
      </c>
      <c r="AA128">
        <v>29.2531</v>
      </c>
      <c r="AB128">
        <v>6.9127400000000003</v>
      </c>
    </row>
    <row r="129" spans="1:28" x14ac:dyDescent="0.25">
      <c r="A129">
        <v>128</v>
      </c>
      <c r="B129">
        <v>889808781</v>
      </c>
      <c r="C129" s="7" t="s">
        <v>27</v>
      </c>
      <c r="D129">
        <v>6.39068E-2</v>
      </c>
      <c r="E129">
        <v>1.91351</v>
      </c>
      <c r="F129">
        <v>-0.78518900000000003</v>
      </c>
      <c r="G129" s="3">
        <f>firm_data[[#This Row],[production]]-firm_data[[#This Row],[sales]]</f>
        <v>0</v>
      </c>
      <c r="H129">
        <v>0.84909599999999996</v>
      </c>
      <c r="I129">
        <v>-0.69452899999999995</v>
      </c>
      <c r="J129">
        <v>2</v>
      </c>
      <c r="K129">
        <v>2</v>
      </c>
      <c r="L129">
        <v>0</v>
      </c>
      <c r="M129">
        <v>5</v>
      </c>
      <c r="N129">
        <v>3.06109E-2</v>
      </c>
      <c r="O129">
        <v>0</v>
      </c>
      <c r="P129">
        <v>0.99990000000000001</v>
      </c>
      <c r="Q129" s="7" t="s">
        <v>225</v>
      </c>
      <c r="R129" s="7" t="s">
        <v>151</v>
      </c>
      <c r="S129">
        <v>0</v>
      </c>
      <c r="T129">
        <v>6.6003100000000003</v>
      </c>
      <c r="U129">
        <v>5.7769199999999996</v>
      </c>
      <c r="V129">
        <v>0</v>
      </c>
      <c r="W129">
        <v>1.8311200000000001</v>
      </c>
      <c r="X129">
        <v>0</v>
      </c>
      <c r="Y129">
        <v>4</v>
      </c>
      <c r="Z129">
        <v>0</v>
      </c>
      <c r="AA129">
        <v>28.796500000000002</v>
      </c>
      <c r="AB129">
        <v>6.9127400000000003</v>
      </c>
    </row>
    <row r="130" spans="1:28" x14ac:dyDescent="0.25">
      <c r="A130">
        <v>129</v>
      </c>
      <c r="B130">
        <v>166225787</v>
      </c>
      <c r="C130" s="7" t="s">
        <v>27</v>
      </c>
      <c r="D130">
        <v>3.2465899999999999E-2</v>
      </c>
      <c r="E130">
        <v>1.91351</v>
      </c>
      <c r="F130">
        <v>-0.69834700000000005</v>
      </c>
      <c r="G130" s="3">
        <f>firm_data[[#This Row],[production]]-firm_data[[#This Row],[sales]]</f>
        <v>0</v>
      </c>
      <c r="H130">
        <v>0.73081300000000005</v>
      </c>
      <c r="I130">
        <v>-0.69452899999999995</v>
      </c>
      <c r="J130">
        <v>2</v>
      </c>
      <c r="K130">
        <v>2</v>
      </c>
      <c r="L130">
        <v>0</v>
      </c>
      <c r="M130">
        <v>5</v>
      </c>
      <c r="N130">
        <v>2.6268799999999998E-2</v>
      </c>
      <c r="O130">
        <v>0</v>
      </c>
      <c r="P130">
        <v>0.99990000000000001</v>
      </c>
      <c r="Q130" s="7" t="s">
        <v>226</v>
      </c>
      <c r="R130" s="7" t="s">
        <v>151</v>
      </c>
      <c r="S130">
        <v>0</v>
      </c>
      <c r="T130">
        <v>6.4801900000000003</v>
      </c>
      <c r="U130">
        <v>5.8914600000000004</v>
      </c>
      <c r="V130">
        <v>0</v>
      </c>
      <c r="W130">
        <v>1.8311200000000001</v>
      </c>
      <c r="X130">
        <v>0</v>
      </c>
      <c r="Y130">
        <v>4</v>
      </c>
      <c r="Z130">
        <v>0</v>
      </c>
      <c r="AA130">
        <v>28.232099999999999</v>
      </c>
      <c r="AB130">
        <v>6.9127400000000003</v>
      </c>
    </row>
    <row r="131" spans="1:28" x14ac:dyDescent="0.25">
      <c r="A131">
        <v>130</v>
      </c>
      <c r="B131">
        <v>79692009</v>
      </c>
      <c r="C131" s="7" t="s">
        <v>27</v>
      </c>
      <c r="D131">
        <v>1.8704999999999999E-2</v>
      </c>
      <c r="E131">
        <v>1.91351</v>
      </c>
      <c r="F131">
        <v>-0.64594200000000002</v>
      </c>
      <c r="G131" s="3">
        <f>firm_data[[#This Row],[production]]-firm_data[[#This Row],[sales]]</f>
        <v>0</v>
      </c>
      <c r="H131">
        <v>0.66464699999999999</v>
      </c>
      <c r="I131">
        <v>-0.69452899999999995</v>
      </c>
      <c r="J131">
        <v>2</v>
      </c>
      <c r="K131">
        <v>2</v>
      </c>
      <c r="L131">
        <v>0</v>
      </c>
      <c r="M131">
        <v>5</v>
      </c>
      <c r="N131">
        <v>2.3648599999999999E-2</v>
      </c>
      <c r="O131">
        <v>0</v>
      </c>
      <c r="P131">
        <v>0.99990000000000001</v>
      </c>
      <c r="Q131" s="7" t="s">
        <v>227</v>
      </c>
      <c r="R131" s="7" t="s">
        <v>151</v>
      </c>
      <c r="S131">
        <v>0</v>
      </c>
      <c r="T131">
        <v>6.3600700000000003</v>
      </c>
      <c r="U131">
        <v>5.9487300000000003</v>
      </c>
      <c r="V131">
        <v>0</v>
      </c>
      <c r="W131">
        <v>1.8311200000000001</v>
      </c>
      <c r="X131">
        <v>0</v>
      </c>
      <c r="Y131">
        <v>4</v>
      </c>
      <c r="Z131">
        <v>0</v>
      </c>
      <c r="AA131">
        <v>28.0061</v>
      </c>
      <c r="AB131">
        <v>6.9127400000000003</v>
      </c>
    </row>
    <row r="132" spans="1:28" x14ac:dyDescent="0.25">
      <c r="A132">
        <v>131</v>
      </c>
      <c r="B132">
        <v>700289104</v>
      </c>
      <c r="C132" s="7" t="s">
        <v>27</v>
      </c>
      <c r="D132">
        <v>-2.4549099999999998E-3</v>
      </c>
      <c r="E132">
        <v>1.91351</v>
      </c>
      <c r="F132">
        <v>-0.57328199999999996</v>
      </c>
      <c r="G132" s="3">
        <f>firm_data[[#This Row],[production]]-firm_data[[#This Row],[sales]]</f>
        <v>0</v>
      </c>
      <c r="H132">
        <v>0.57082699999999997</v>
      </c>
      <c r="I132">
        <v>-0.69452899999999995</v>
      </c>
      <c r="J132">
        <v>2</v>
      </c>
      <c r="K132">
        <v>2</v>
      </c>
      <c r="L132">
        <v>0</v>
      </c>
      <c r="M132">
        <v>5</v>
      </c>
      <c r="N132">
        <v>2.0015600000000001E-2</v>
      </c>
      <c r="O132">
        <v>0</v>
      </c>
      <c r="P132">
        <v>0.99990000000000001</v>
      </c>
      <c r="Q132" s="7" t="s">
        <v>228</v>
      </c>
      <c r="R132" s="7" t="s">
        <v>151</v>
      </c>
      <c r="S132">
        <v>0</v>
      </c>
      <c r="T132">
        <v>6.2399500000000003</v>
      </c>
      <c r="U132">
        <v>5.9773699999999996</v>
      </c>
      <c r="V132">
        <v>0</v>
      </c>
      <c r="W132">
        <v>1.8311200000000001</v>
      </c>
      <c r="X132">
        <v>0</v>
      </c>
      <c r="Y132">
        <v>4</v>
      </c>
      <c r="Z132">
        <v>0</v>
      </c>
      <c r="AA132">
        <v>27.756699999999999</v>
      </c>
      <c r="AB132">
        <v>6.9127400000000003</v>
      </c>
    </row>
    <row r="133" spans="1:28" x14ac:dyDescent="0.25">
      <c r="A133">
        <v>132</v>
      </c>
      <c r="B133">
        <v>786519094</v>
      </c>
      <c r="C133" s="7" t="s">
        <v>27</v>
      </c>
      <c r="D133">
        <v>-2.0943099999999999E-2</v>
      </c>
      <c r="E133">
        <v>1.91351</v>
      </c>
      <c r="F133">
        <v>-0.50758599999999998</v>
      </c>
      <c r="G133" s="3">
        <f>firm_data[[#This Row],[production]]-firm_data[[#This Row],[sales]]</f>
        <v>0</v>
      </c>
      <c r="H133">
        <v>0.48664299999999999</v>
      </c>
      <c r="I133">
        <v>-0.69452899999999995</v>
      </c>
      <c r="J133">
        <v>2</v>
      </c>
      <c r="K133">
        <v>2</v>
      </c>
      <c r="L133">
        <v>0</v>
      </c>
      <c r="M133">
        <v>5</v>
      </c>
      <c r="N133">
        <v>1.6730800000000001E-2</v>
      </c>
      <c r="O133">
        <v>0</v>
      </c>
      <c r="P133">
        <v>0.99990000000000001</v>
      </c>
      <c r="Q133" s="7" t="s">
        <v>229</v>
      </c>
      <c r="R133" s="7" t="s">
        <v>151</v>
      </c>
      <c r="S133">
        <v>0</v>
      </c>
      <c r="T133">
        <v>6.1198300000000003</v>
      </c>
      <c r="U133">
        <v>5.9916900000000002</v>
      </c>
      <c r="V133">
        <v>0</v>
      </c>
      <c r="W133">
        <v>1.8311200000000001</v>
      </c>
      <c r="X133">
        <v>0</v>
      </c>
      <c r="Y133">
        <v>4</v>
      </c>
      <c r="Z133">
        <v>0</v>
      </c>
      <c r="AA133">
        <v>27.613399999999999</v>
      </c>
      <c r="AB133">
        <v>6.9127400000000003</v>
      </c>
    </row>
    <row r="134" spans="1:28" x14ac:dyDescent="0.25">
      <c r="A134">
        <v>133</v>
      </c>
      <c r="B134">
        <v>817579004</v>
      </c>
      <c r="C134" s="7" t="s">
        <v>27</v>
      </c>
      <c r="D134">
        <v>-3.7276499999999997E-2</v>
      </c>
      <c r="E134">
        <v>1.91351</v>
      </c>
      <c r="F134">
        <v>-0.44439099999999998</v>
      </c>
      <c r="G134" s="3">
        <f>firm_data[[#This Row],[production]]-firm_data[[#This Row],[sales]]</f>
        <v>0</v>
      </c>
      <c r="H134">
        <v>0.40711399999999998</v>
      </c>
      <c r="I134">
        <v>-0.69452899999999995</v>
      </c>
      <c r="J134">
        <v>2</v>
      </c>
      <c r="K134">
        <v>2</v>
      </c>
      <c r="L134">
        <v>0</v>
      </c>
      <c r="M134">
        <v>5</v>
      </c>
      <c r="N134">
        <v>1.3571E-2</v>
      </c>
      <c r="O134">
        <v>0</v>
      </c>
      <c r="P134">
        <v>0.99990000000000001</v>
      </c>
      <c r="Q134" s="7" t="s">
        <v>230</v>
      </c>
      <c r="R134" s="7" t="s">
        <v>151</v>
      </c>
      <c r="S134">
        <v>0</v>
      </c>
      <c r="T134">
        <v>5.9997100000000003</v>
      </c>
      <c r="U134">
        <v>5.99885</v>
      </c>
      <c r="V134">
        <v>0</v>
      </c>
      <c r="W134">
        <v>1.8311200000000001</v>
      </c>
      <c r="X134">
        <v>0</v>
      </c>
      <c r="Y134">
        <v>4</v>
      </c>
      <c r="Z134">
        <v>0</v>
      </c>
      <c r="AA134">
        <v>27.358499999999999</v>
      </c>
      <c r="AB134">
        <v>6.9127400000000003</v>
      </c>
    </row>
    <row r="135" spans="1:28" x14ac:dyDescent="0.25">
      <c r="A135">
        <v>134</v>
      </c>
      <c r="B135">
        <v>862707412</v>
      </c>
      <c r="C135" s="7" t="s">
        <v>27</v>
      </c>
      <c r="D135">
        <v>-6.7265599999999995E-2</v>
      </c>
      <c r="E135">
        <v>1.91351</v>
      </c>
      <c r="F135">
        <v>-0.37533300000000003</v>
      </c>
      <c r="G135" s="3">
        <f>firm_data[[#This Row],[production]]-firm_data[[#This Row],[sales]]</f>
        <v>0</v>
      </c>
      <c r="H135">
        <v>0.30806699999999998</v>
      </c>
      <c r="I135">
        <v>-0.69452899999999995</v>
      </c>
      <c r="J135">
        <v>1.9979</v>
      </c>
      <c r="K135">
        <v>1.9979</v>
      </c>
      <c r="L135">
        <v>0</v>
      </c>
      <c r="M135">
        <v>5</v>
      </c>
      <c r="N135">
        <v>9.9174199999999997E-3</v>
      </c>
      <c r="O135">
        <v>0</v>
      </c>
      <c r="P135">
        <v>0.99990000000000001</v>
      </c>
      <c r="Q135" s="7" t="s">
        <v>231</v>
      </c>
      <c r="R135" s="7" t="s">
        <v>151</v>
      </c>
      <c r="S135">
        <v>0</v>
      </c>
      <c r="T135">
        <v>5.8797100000000002</v>
      </c>
      <c r="U135">
        <v>6.0024300000000004</v>
      </c>
      <c r="V135">
        <v>0</v>
      </c>
      <c r="W135">
        <v>1.8311200000000001</v>
      </c>
      <c r="X135">
        <v>0</v>
      </c>
      <c r="Y135">
        <v>4</v>
      </c>
      <c r="Z135">
        <v>0</v>
      </c>
      <c r="AA135">
        <v>27.081199999999999</v>
      </c>
      <c r="AB135">
        <v>6.9127400000000003</v>
      </c>
    </row>
    <row r="136" spans="1:28" x14ac:dyDescent="0.25">
      <c r="A136">
        <v>135</v>
      </c>
      <c r="B136">
        <v>608022599</v>
      </c>
      <c r="C136" s="7" t="s">
        <v>27</v>
      </c>
      <c r="D136">
        <v>-0.18868799999999999</v>
      </c>
      <c r="E136">
        <v>1.91351</v>
      </c>
      <c r="F136">
        <v>-0.35954000000000003</v>
      </c>
      <c r="G136" s="3">
        <f>firm_data[[#This Row],[production]]-firm_data[[#This Row],[sales]]</f>
        <v>0</v>
      </c>
      <c r="H136">
        <v>0.170853</v>
      </c>
      <c r="I136">
        <v>-0.69452899999999995</v>
      </c>
      <c r="J136">
        <v>1.95794</v>
      </c>
      <c r="K136">
        <v>1.95794</v>
      </c>
      <c r="L136">
        <v>0</v>
      </c>
      <c r="M136">
        <v>5</v>
      </c>
      <c r="N136">
        <v>5.3047900000000002E-3</v>
      </c>
      <c r="O136">
        <v>0</v>
      </c>
      <c r="P136">
        <v>0.99990000000000001</v>
      </c>
      <c r="Q136" s="7" t="s">
        <v>232</v>
      </c>
      <c r="R136" s="7" t="s">
        <v>151</v>
      </c>
      <c r="S136">
        <v>0</v>
      </c>
      <c r="T136">
        <v>5.7621200000000004</v>
      </c>
      <c r="U136">
        <v>6.0010700000000003</v>
      </c>
      <c r="V136">
        <v>0</v>
      </c>
      <c r="W136">
        <v>1.8311200000000001</v>
      </c>
      <c r="X136">
        <v>0</v>
      </c>
      <c r="Y136">
        <v>4</v>
      </c>
      <c r="Z136">
        <v>0</v>
      </c>
      <c r="AA136">
        <v>26.571999999999999</v>
      </c>
      <c r="AB136">
        <v>6.9127400000000003</v>
      </c>
    </row>
    <row r="137" spans="1:28" x14ac:dyDescent="0.25">
      <c r="A137">
        <v>136</v>
      </c>
      <c r="B137">
        <v>183592588</v>
      </c>
      <c r="C137" s="7" t="s">
        <v>27</v>
      </c>
      <c r="D137">
        <v>-0.304369</v>
      </c>
      <c r="E137">
        <v>1.91351</v>
      </c>
      <c r="F137">
        <v>-0.36432799999999999</v>
      </c>
      <c r="G137" s="3">
        <f>firm_data[[#This Row],[production]]-firm_data[[#This Row],[sales]]</f>
        <v>0</v>
      </c>
      <c r="H137">
        <v>5.9958999999999998E-2</v>
      </c>
      <c r="I137">
        <v>-0.69452899999999995</v>
      </c>
      <c r="J137">
        <v>1.91879</v>
      </c>
      <c r="K137">
        <v>1.91879</v>
      </c>
      <c r="L137">
        <v>0</v>
      </c>
      <c r="M137">
        <v>5</v>
      </c>
      <c r="N137">
        <v>1.79761E-3</v>
      </c>
      <c r="O137">
        <v>0</v>
      </c>
      <c r="P137">
        <v>0.99990000000000001</v>
      </c>
      <c r="Q137" s="7" t="s">
        <v>233</v>
      </c>
      <c r="R137" s="7" t="s">
        <v>151</v>
      </c>
      <c r="S137">
        <v>0</v>
      </c>
      <c r="T137">
        <v>5.6468800000000003</v>
      </c>
      <c r="U137">
        <v>5.9403899999999998</v>
      </c>
      <c r="V137">
        <v>0</v>
      </c>
      <c r="W137">
        <v>1.8311200000000001</v>
      </c>
      <c r="X137">
        <v>0</v>
      </c>
      <c r="Y137">
        <v>4</v>
      </c>
      <c r="Z137">
        <v>0</v>
      </c>
      <c r="AA137">
        <v>26.276599999999998</v>
      </c>
      <c r="AB137">
        <v>6.9127400000000003</v>
      </c>
    </row>
    <row r="138" spans="1:28" x14ac:dyDescent="0.25">
      <c r="A138">
        <v>137</v>
      </c>
      <c r="B138">
        <v>624743927</v>
      </c>
      <c r="C138" s="7" t="s">
        <v>27</v>
      </c>
      <c r="D138">
        <v>-0.401808</v>
      </c>
      <c r="E138">
        <v>1.91351</v>
      </c>
      <c r="F138">
        <v>-0.401808</v>
      </c>
      <c r="G138" s="3">
        <f>firm_data[[#This Row],[production]]-firm_data[[#This Row],[sales]]</f>
        <v>0</v>
      </c>
      <c r="H138">
        <v>0</v>
      </c>
      <c r="I138">
        <v>-0.69452899999999995</v>
      </c>
      <c r="J138">
        <v>1.8804099999999999</v>
      </c>
      <c r="K138">
        <v>1.8804099999999999</v>
      </c>
      <c r="L138">
        <v>0</v>
      </c>
      <c r="M138">
        <v>5</v>
      </c>
      <c r="N138">
        <v>0</v>
      </c>
      <c r="O138">
        <v>0</v>
      </c>
      <c r="P138">
        <v>0.99990000000000001</v>
      </c>
      <c r="Q138" s="7" t="s">
        <v>28</v>
      </c>
      <c r="R138" s="7" t="s">
        <v>151</v>
      </c>
      <c r="S138">
        <v>0</v>
      </c>
      <c r="T138">
        <v>5.5339400000000003</v>
      </c>
      <c r="U138">
        <v>5.8512500000000003</v>
      </c>
      <c r="V138">
        <v>0</v>
      </c>
      <c r="W138">
        <v>1.8311200000000001</v>
      </c>
      <c r="X138">
        <v>0</v>
      </c>
      <c r="Y138">
        <v>4</v>
      </c>
      <c r="Z138">
        <v>0</v>
      </c>
      <c r="AA138">
        <v>25.7362</v>
      </c>
      <c r="AB138">
        <v>6.9127400000000003</v>
      </c>
    </row>
    <row r="139" spans="1:28" x14ac:dyDescent="0.25">
      <c r="A139">
        <v>138</v>
      </c>
      <c r="B139">
        <v>290088913</v>
      </c>
      <c r="C139" s="7" t="s">
        <v>27</v>
      </c>
      <c r="D139">
        <v>-0.47377200000000003</v>
      </c>
      <c r="E139">
        <v>1.91351</v>
      </c>
      <c r="F139">
        <v>-0.47377200000000003</v>
      </c>
      <c r="G139" s="3">
        <f>firm_data[[#This Row],[production]]-firm_data[[#This Row],[sales]]</f>
        <v>0</v>
      </c>
      <c r="H139">
        <v>0</v>
      </c>
      <c r="I139">
        <v>-0.69452899999999995</v>
      </c>
      <c r="J139">
        <v>1.8428</v>
      </c>
      <c r="K139">
        <v>1.8428</v>
      </c>
      <c r="L139">
        <v>0</v>
      </c>
      <c r="M139">
        <v>5</v>
      </c>
      <c r="N139">
        <v>0</v>
      </c>
      <c r="O139">
        <v>0</v>
      </c>
      <c r="P139">
        <v>0.99990000000000001</v>
      </c>
      <c r="Q139" s="7" t="s">
        <v>28</v>
      </c>
      <c r="R139" s="7" t="s">
        <v>151</v>
      </c>
      <c r="S139">
        <v>0</v>
      </c>
      <c r="T139">
        <v>5.42326</v>
      </c>
      <c r="U139">
        <v>5.7490699999999997</v>
      </c>
      <c r="V139">
        <v>0</v>
      </c>
      <c r="W139">
        <v>1.8311200000000001</v>
      </c>
      <c r="X139">
        <v>0</v>
      </c>
      <c r="Y139">
        <v>4</v>
      </c>
      <c r="Z139">
        <v>0</v>
      </c>
      <c r="AA139">
        <v>25.31</v>
      </c>
      <c r="AB139">
        <v>6.9127400000000003</v>
      </c>
    </row>
    <row r="140" spans="1:28" x14ac:dyDescent="0.25">
      <c r="A140">
        <v>139</v>
      </c>
      <c r="B140">
        <v>130908304</v>
      </c>
      <c r="C140" s="7" t="s">
        <v>27</v>
      </c>
      <c r="D140">
        <v>-0.544296</v>
      </c>
      <c r="E140">
        <v>1.91351</v>
      </c>
      <c r="F140">
        <v>-0.544296</v>
      </c>
      <c r="G140" s="3">
        <f>firm_data[[#This Row],[production]]-firm_data[[#This Row],[sales]]</f>
        <v>0</v>
      </c>
      <c r="H140">
        <v>0</v>
      </c>
      <c r="I140">
        <v>-0.69452899999999995</v>
      </c>
      <c r="J140">
        <v>1.8059499999999999</v>
      </c>
      <c r="K140">
        <v>1.8059499999999999</v>
      </c>
      <c r="L140">
        <v>0</v>
      </c>
      <c r="M140">
        <v>5</v>
      </c>
      <c r="N140">
        <v>0</v>
      </c>
      <c r="O140">
        <v>0</v>
      </c>
      <c r="P140">
        <v>0.99990000000000001</v>
      </c>
      <c r="Q140" s="7" t="s">
        <v>28</v>
      </c>
      <c r="R140" s="7" t="s">
        <v>151</v>
      </c>
      <c r="S140">
        <v>0</v>
      </c>
      <c r="T140">
        <v>5.3148</v>
      </c>
      <c r="U140">
        <v>5.6414999999999997</v>
      </c>
      <c r="V140">
        <v>0</v>
      </c>
      <c r="W140">
        <v>1.8311200000000001</v>
      </c>
      <c r="X140">
        <v>0</v>
      </c>
      <c r="Y140">
        <v>4</v>
      </c>
      <c r="Z140">
        <v>0</v>
      </c>
      <c r="AA140">
        <v>24.941400000000002</v>
      </c>
      <c r="AB140">
        <v>6.9127400000000003</v>
      </c>
    </row>
    <row r="141" spans="1:28" x14ac:dyDescent="0.25">
      <c r="A141">
        <v>140</v>
      </c>
      <c r="B141">
        <v>196763317</v>
      </c>
      <c r="C141" s="7" t="s">
        <v>27</v>
      </c>
      <c r="D141">
        <v>-0.61341100000000004</v>
      </c>
      <c r="E141">
        <v>1.91351</v>
      </c>
      <c r="F141">
        <v>-0.61341100000000004</v>
      </c>
      <c r="G141" s="3">
        <f>firm_data[[#This Row],[production]]-firm_data[[#This Row],[sales]]</f>
        <v>0</v>
      </c>
      <c r="H141">
        <v>0</v>
      </c>
      <c r="I141">
        <v>-0.69452899999999995</v>
      </c>
      <c r="J141">
        <v>1.76983</v>
      </c>
      <c r="K141">
        <v>1.76983</v>
      </c>
      <c r="L141">
        <v>0</v>
      </c>
      <c r="M141">
        <v>5</v>
      </c>
      <c r="N141">
        <v>0</v>
      </c>
      <c r="O141">
        <v>0</v>
      </c>
      <c r="P141">
        <v>0.99990000000000001</v>
      </c>
      <c r="Q141" s="7" t="s">
        <v>28</v>
      </c>
      <c r="R141" s="7" t="s">
        <v>151</v>
      </c>
      <c r="S141">
        <v>0</v>
      </c>
      <c r="T141">
        <v>5.2084999999999999</v>
      </c>
      <c r="U141">
        <v>5.5323799999999999</v>
      </c>
      <c r="V141">
        <v>0</v>
      </c>
      <c r="W141">
        <v>1.8311200000000001</v>
      </c>
      <c r="X141">
        <v>0</v>
      </c>
      <c r="Y141">
        <v>4</v>
      </c>
      <c r="Z141">
        <v>0</v>
      </c>
      <c r="AA141">
        <v>24.528500000000001</v>
      </c>
      <c r="AB141">
        <v>6.9127400000000003</v>
      </c>
    </row>
    <row r="142" spans="1:28" x14ac:dyDescent="0.25">
      <c r="A142">
        <v>141</v>
      </c>
      <c r="B142">
        <v>384506102</v>
      </c>
      <c r="C142" s="7" t="s">
        <v>27</v>
      </c>
      <c r="D142">
        <v>-0.68114200000000003</v>
      </c>
      <c r="E142">
        <v>1.91351</v>
      </c>
      <c r="F142">
        <v>-0.68114200000000003</v>
      </c>
      <c r="G142" s="3">
        <f>firm_data[[#This Row],[production]]-firm_data[[#This Row],[sales]]</f>
        <v>0</v>
      </c>
      <c r="H142">
        <v>0</v>
      </c>
      <c r="I142">
        <v>-0.69452899999999995</v>
      </c>
      <c r="J142">
        <v>1.7344299999999999</v>
      </c>
      <c r="K142">
        <v>1.7344299999999999</v>
      </c>
      <c r="L142">
        <v>0</v>
      </c>
      <c r="M142">
        <v>5</v>
      </c>
      <c r="N142">
        <v>0</v>
      </c>
      <c r="O142">
        <v>0</v>
      </c>
      <c r="P142">
        <v>0.99990000000000001</v>
      </c>
      <c r="Q142" s="7" t="s">
        <v>28</v>
      </c>
      <c r="R142" s="7" t="s">
        <v>151</v>
      </c>
      <c r="S142">
        <v>0</v>
      </c>
      <c r="T142">
        <v>5.10433</v>
      </c>
      <c r="U142">
        <v>5.4235899999999999</v>
      </c>
      <c r="V142">
        <v>0</v>
      </c>
      <c r="W142">
        <v>1.8311200000000001</v>
      </c>
      <c r="X142">
        <v>0</v>
      </c>
      <c r="Y142">
        <v>4</v>
      </c>
      <c r="Z142">
        <v>0</v>
      </c>
      <c r="AA142">
        <v>24.452200000000001</v>
      </c>
      <c r="AB142">
        <v>6.9127400000000003</v>
      </c>
    </row>
    <row r="143" spans="1:28" x14ac:dyDescent="0.25">
      <c r="A143">
        <v>142</v>
      </c>
      <c r="B143">
        <v>249204111</v>
      </c>
      <c r="C143" s="7" t="s">
        <v>27</v>
      </c>
      <c r="D143">
        <v>-0.74751900000000004</v>
      </c>
      <c r="E143">
        <v>1.91351</v>
      </c>
      <c r="F143">
        <v>-0.74751900000000004</v>
      </c>
      <c r="G143" s="3">
        <f>firm_data[[#This Row],[production]]-firm_data[[#This Row],[sales]]</f>
        <v>0</v>
      </c>
      <c r="H143">
        <v>0</v>
      </c>
      <c r="I143">
        <v>-0.69452899999999995</v>
      </c>
      <c r="J143">
        <v>1.69974</v>
      </c>
      <c r="K143">
        <v>1.69974</v>
      </c>
      <c r="L143">
        <v>0</v>
      </c>
      <c r="M143">
        <v>5</v>
      </c>
      <c r="N143">
        <v>0</v>
      </c>
      <c r="O143">
        <v>0</v>
      </c>
      <c r="P143">
        <v>0.99990000000000001</v>
      </c>
      <c r="Q143" s="7" t="s">
        <v>28</v>
      </c>
      <c r="R143" s="7" t="s">
        <v>151</v>
      </c>
      <c r="S143">
        <v>0</v>
      </c>
      <c r="T143">
        <v>5.0022399999999996</v>
      </c>
      <c r="U143">
        <v>5.3160400000000001</v>
      </c>
      <c r="V143">
        <v>0</v>
      </c>
      <c r="W143">
        <v>1.8311200000000001</v>
      </c>
      <c r="X143">
        <v>0</v>
      </c>
      <c r="Y143">
        <v>4</v>
      </c>
      <c r="Z143">
        <v>0</v>
      </c>
      <c r="AA143">
        <v>24.125800000000002</v>
      </c>
      <c r="AB143">
        <v>6.9127400000000003</v>
      </c>
    </row>
    <row r="144" spans="1:28" x14ac:dyDescent="0.25">
      <c r="A144">
        <v>143</v>
      </c>
      <c r="B144">
        <v>382602851</v>
      </c>
      <c r="C144" s="7" t="s">
        <v>27</v>
      </c>
      <c r="D144">
        <v>-0.81256899999999999</v>
      </c>
      <c r="E144">
        <v>1.91351</v>
      </c>
      <c r="F144">
        <v>-0.81256899999999999</v>
      </c>
      <c r="G144" s="3">
        <f>firm_data[[#This Row],[production]]-firm_data[[#This Row],[sales]]</f>
        <v>0</v>
      </c>
      <c r="H144">
        <v>0</v>
      </c>
      <c r="I144">
        <v>-0.69452899999999995</v>
      </c>
      <c r="J144">
        <v>1.6657500000000001</v>
      </c>
      <c r="K144">
        <v>1.6657500000000001</v>
      </c>
      <c r="L144">
        <v>0</v>
      </c>
      <c r="M144">
        <v>5</v>
      </c>
      <c r="N144">
        <v>0</v>
      </c>
      <c r="O144">
        <v>0</v>
      </c>
      <c r="P144">
        <v>0.99990000000000001</v>
      </c>
      <c r="Q144" s="7" t="s">
        <v>28</v>
      </c>
      <c r="R144" s="7" t="s">
        <v>151</v>
      </c>
      <c r="S144">
        <v>0</v>
      </c>
      <c r="T144">
        <v>4.9021999999999997</v>
      </c>
      <c r="U144">
        <v>5.2101899999999999</v>
      </c>
      <c r="V144">
        <v>0</v>
      </c>
      <c r="W144">
        <v>1.8311200000000001</v>
      </c>
      <c r="X144">
        <v>0</v>
      </c>
      <c r="Y144">
        <v>4</v>
      </c>
      <c r="Z144">
        <v>0</v>
      </c>
      <c r="AA144">
        <v>23.697099999999999</v>
      </c>
      <c r="AB144">
        <v>6.9127400000000003</v>
      </c>
    </row>
    <row r="145" spans="1:28" x14ac:dyDescent="0.25">
      <c r="A145">
        <v>144</v>
      </c>
      <c r="B145">
        <v>216083730</v>
      </c>
      <c r="C145" s="7" t="s">
        <v>27</v>
      </c>
      <c r="D145">
        <v>-0.87631800000000004</v>
      </c>
      <c r="E145">
        <v>1.91351</v>
      </c>
      <c r="F145">
        <v>-0.87631800000000004</v>
      </c>
      <c r="G145" s="3">
        <f>firm_data[[#This Row],[production]]-firm_data[[#This Row],[sales]]</f>
        <v>0</v>
      </c>
      <c r="H145">
        <v>0</v>
      </c>
      <c r="I145">
        <v>-0.69452899999999995</v>
      </c>
      <c r="J145">
        <v>1.63243</v>
      </c>
      <c r="K145">
        <v>1.63243</v>
      </c>
      <c r="L145">
        <v>0</v>
      </c>
      <c r="M145">
        <v>5</v>
      </c>
      <c r="N145">
        <v>0</v>
      </c>
      <c r="O145">
        <v>0</v>
      </c>
      <c r="P145">
        <v>0.99990000000000001</v>
      </c>
      <c r="Q145" s="7" t="s">
        <v>28</v>
      </c>
      <c r="R145" s="7" t="s">
        <v>151</v>
      </c>
      <c r="S145">
        <v>0</v>
      </c>
      <c r="T145">
        <v>4.8041499999999999</v>
      </c>
      <c r="U145">
        <v>5.1062099999999999</v>
      </c>
      <c r="V145">
        <v>0</v>
      </c>
      <c r="W145">
        <v>1.8311200000000001</v>
      </c>
      <c r="X145">
        <v>0</v>
      </c>
      <c r="Y145">
        <v>4</v>
      </c>
      <c r="Z145">
        <v>0</v>
      </c>
      <c r="AA145">
        <v>23.494599999999998</v>
      </c>
      <c r="AB145">
        <v>6.9127400000000003</v>
      </c>
    </row>
    <row r="146" spans="1:28" x14ac:dyDescent="0.25">
      <c r="A146">
        <v>145</v>
      </c>
      <c r="B146">
        <v>968375681</v>
      </c>
      <c r="C146" s="7" t="s">
        <v>27</v>
      </c>
      <c r="D146">
        <v>-0.93879100000000004</v>
      </c>
      <c r="E146">
        <v>1.91351</v>
      </c>
      <c r="F146">
        <v>-0.93879100000000004</v>
      </c>
      <c r="G146" s="3">
        <f>firm_data[[#This Row],[production]]-firm_data[[#This Row],[sales]]</f>
        <v>0</v>
      </c>
      <c r="H146">
        <v>0</v>
      </c>
      <c r="I146">
        <v>-0.69452899999999995</v>
      </c>
      <c r="J146">
        <v>1.59978</v>
      </c>
      <c r="K146">
        <v>1.59978</v>
      </c>
      <c r="L146">
        <v>0</v>
      </c>
      <c r="M146">
        <v>5</v>
      </c>
      <c r="N146">
        <v>0</v>
      </c>
      <c r="O146">
        <v>0</v>
      </c>
      <c r="P146">
        <v>0.99990000000000001</v>
      </c>
      <c r="Q146" s="7" t="s">
        <v>28</v>
      </c>
      <c r="R146" s="7" t="s">
        <v>151</v>
      </c>
      <c r="S146">
        <v>0</v>
      </c>
      <c r="T146">
        <v>4.7080700000000002</v>
      </c>
      <c r="U146">
        <v>5.0042099999999996</v>
      </c>
      <c r="V146">
        <v>0</v>
      </c>
      <c r="W146">
        <v>1.8311200000000001</v>
      </c>
      <c r="X146">
        <v>0</v>
      </c>
      <c r="Y146">
        <v>4</v>
      </c>
      <c r="Z146">
        <v>0</v>
      </c>
      <c r="AA146">
        <v>23.216100000000001</v>
      </c>
      <c r="AB146">
        <v>6.9127400000000003</v>
      </c>
    </row>
    <row r="147" spans="1:28" x14ac:dyDescent="0.25">
      <c r="A147">
        <v>146</v>
      </c>
      <c r="B147">
        <v>459662802</v>
      </c>
      <c r="C147" s="7" t="s">
        <v>27</v>
      </c>
      <c r="D147">
        <v>-1.0000199999999999</v>
      </c>
      <c r="E147">
        <v>1.91351</v>
      </c>
      <c r="F147">
        <v>-1.0000199999999999</v>
      </c>
      <c r="G147" s="3">
        <f>firm_data[[#This Row],[production]]-firm_data[[#This Row],[sales]]</f>
        <v>0</v>
      </c>
      <c r="H147">
        <v>0</v>
      </c>
      <c r="I147">
        <v>-0.69452899999999995</v>
      </c>
      <c r="J147">
        <v>1.56779</v>
      </c>
      <c r="K147">
        <v>1.56779</v>
      </c>
      <c r="L147">
        <v>0</v>
      </c>
      <c r="M147">
        <v>5</v>
      </c>
      <c r="N147">
        <v>0</v>
      </c>
      <c r="O147">
        <v>0</v>
      </c>
      <c r="P147">
        <v>0.99990000000000001</v>
      </c>
      <c r="Q147" s="7" t="s">
        <v>28</v>
      </c>
      <c r="R147" s="7" t="s">
        <v>151</v>
      </c>
      <c r="S147">
        <v>0</v>
      </c>
      <c r="T147">
        <v>4.6139099999999997</v>
      </c>
      <c r="U147">
        <v>4.9041800000000002</v>
      </c>
      <c r="V147">
        <v>0</v>
      </c>
      <c r="W147">
        <v>1.8311200000000001</v>
      </c>
      <c r="X147">
        <v>0</v>
      </c>
      <c r="Y147">
        <v>4</v>
      </c>
      <c r="Z147">
        <v>0</v>
      </c>
      <c r="AA147">
        <v>22.823799999999999</v>
      </c>
      <c r="AB147">
        <v>6.9127400000000003</v>
      </c>
    </row>
    <row r="148" spans="1:28" x14ac:dyDescent="0.25">
      <c r="A148">
        <v>147</v>
      </c>
      <c r="B148">
        <v>223676795</v>
      </c>
      <c r="C148" s="7" t="s">
        <v>27</v>
      </c>
      <c r="D148">
        <v>-1.06002</v>
      </c>
      <c r="E148">
        <v>1.91351</v>
      </c>
      <c r="F148">
        <v>-1.06002</v>
      </c>
      <c r="G148" s="3">
        <f>firm_data[[#This Row],[production]]-firm_data[[#This Row],[sales]]</f>
        <v>0</v>
      </c>
      <c r="H148">
        <v>0</v>
      </c>
      <c r="I148">
        <v>-0.69452899999999995</v>
      </c>
      <c r="J148">
        <v>1.53643</v>
      </c>
      <c r="K148">
        <v>1.53643</v>
      </c>
      <c r="L148">
        <v>0</v>
      </c>
      <c r="M148">
        <v>5</v>
      </c>
      <c r="N148">
        <v>0</v>
      </c>
      <c r="O148">
        <v>0</v>
      </c>
      <c r="P148">
        <v>0.99990000000000001</v>
      </c>
      <c r="Q148" s="7" t="s">
        <v>28</v>
      </c>
      <c r="R148" s="7" t="s">
        <v>151</v>
      </c>
      <c r="S148">
        <v>0</v>
      </c>
      <c r="T148">
        <v>4.52163</v>
      </c>
      <c r="U148">
        <v>4.8061299999999996</v>
      </c>
      <c r="V148">
        <v>0</v>
      </c>
      <c r="W148">
        <v>1.8311200000000001</v>
      </c>
      <c r="X148">
        <v>0</v>
      </c>
      <c r="Y148">
        <v>4</v>
      </c>
      <c r="Z148">
        <v>0</v>
      </c>
      <c r="AA148">
        <v>22.615400000000001</v>
      </c>
      <c r="AB148">
        <v>6.9127400000000003</v>
      </c>
    </row>
    <row r="149" spans="1:28" x14ac:dyDescent="0.25">
      <c r="A149">
        <v>148</v>
      </c>
      <c r="B149">
        <v>460567039</v>
      </c>
      <c r="C149" s="7" t="s">
        <v>27</v>
      </c>
      <c r="D149">
        <v>-8.3758099999999995</v>
      </c>
      <c r="E149">
        <v>1.91351</v>
      </c>
      <c r="F149">
        <v>-8.3758099999999995</v>
      </c>
      <c r="G149" s="3">
        <f>firm_data[[#This Row],[production]]-firm_data[[#This Row],[sales]]</f>
        <v>0</v>
      </c>
      <c r="H149">
        <v>0</v>
      </c>
      <c r="I149">
        <v>-0.69452899999999995</v>
      </c>
      <c r="J149">
        <v>1.5057</v>
      </c>
      <c r="K149">
        <v>1.5057</v>
      </c>
      <c r="L149">
        <v>0</v>
      </c>
      <c r="M149">
        <v>5</v>
      </c>
      <c r="N149">
        <v>0</v>
      </c>
      <c r="O149">
        <v>0</v>
      </c>
      <c r="P149">
        <v>0.99990000000000001</v>
      </c>
      <c r="Q149" s="7" t="s">
        <v>28</v>
      </c>
      <c r="R149" s="7" t="s">
        <v>151</v>
      </c>
      <c r="S149">
        <v>0</v>
      </c>
      <c r="T149">
        <v>5.8275699999999997</v>
      </c>
      <c r="U149">
        <v>4.7100200000000001</v>
      </c>
      <c r="V149">
        <v>7.2569900000000001</v>
      </c>
      <c r="W149">
        <v>1.8311200000000001</v>
      </c>
      <c r="X149">
        <v>1.3963699999999999</v>
      </c>
      <c r="Y149">
        <v>4</v>
      </c>
      <c r="Z149">
        <v>7.0423600000000004</v>
      </c>
      <c r="AA149">
        <v>29.3904</v>
      </c>
      <c r="AB149">
        <v>5.5411999999999999</v>
      </c>
    </row>
    <row r="150" spans="1:28" x14ac:dyDescent="0.25">
      <c r="A150">
        <v>149</v>
      </c>
      <c r="B150">
        <v>536723214</v>
      </c>
      <c r="C150" s="7" t="s">
        <v>27</v>
      </c>
      <c r="D150">
        <v>-0.28667300000000001</v>
      </c>
      <c r="E150">
        <v>1.91351</v>
      </c>
      <c r="F150">
        <v>-0.28667300000000001</v>
      </c>
      <c r="G150" s="3">
        <f>firm_data[[#This Row],[production]]-firm_data[[#This Row],[sales]]</f>
        <v>0</v>
      </c>
      <c r="H150">
        <v>0</v>
      </c>
      <c r="I150">
        <v>-0.69452899999999995</v>
      </c>
      <c r="J150">
        <v>1.94058</v>
      </c>
      <c r="K150">
        <v>1.94058</v>
      </c>
      <c r="L150">
        <v>0</v>
      </c>
      <c r="M150">
        <v>5</v>
      </c>
      <c r="N150">
        <v>0</v>
      </c>
      <c r="O150">
        <v>0</v>
      </c>
      <c r="P150">
        <v>0.99990000000000001</v>
      </c>
      <c r="Q150" s="7" t="s">
        <v>28</v>
      </c>
      <c r="R150" s="7" t="s">
        <v>151</v>
      </c>
      <c r="S150">
        <v>0</v>
      </c>
      <c r="T150">
        <v>5.7110099999999999</v>
      </c>
      <c r="U150">
        <v>4.6158200000000003</v>
      </c>
      <c r="V150">
        <v>0</v>
      </c>
      <c r="W150">
        <v>1.8311200000000001</v>
      </c>
      <c r="X150">
        <v>0</v>
      </c>
      <c r="Y150">
        <v>4</v>
      </c>
      <c r="Z150">
        <v>0</v>
      </c>
      <c r="AA150">
        <v>29.2608</v>
      </c>
      <c r="AB150">
        <v>5.5411999999999999</v>
      </c>
    </row>
    <row r="151" spans="1:28" x14ac:dyDescent="0.25">
      <c r="A151">
        <v>150</v>
      </c>
      <c r="B151">
        <v>175172006</v>
      </c>
      <c r="C151" s="7" t="s">
        <v>27</v>
      </c>
      <c r="D151">
        <v>-4.7892900000000003</v>
      </c>
      <c r="E151">
        <v>1.91351</v>
      </c>
      <c r="F151">
        <v>-4.7892900000000003</v>
      </c>
      <c r="G151" s="3">
        <f>firm_data[[#This Row],[production]]-firm_data[[#This Row],[sales]]</f>
        <v>0</v>
      </c>
      <c r="H151">
        <v>0</v>
      </c>
      <c r="I151">
        <v>-0.69452899999999995</v>
      </c>
      <c r="J151">
        <v>1.90177</v>
      </c>
      <c r="K151">
        <v>1.90177</v>
      </c>
      <c r="L151">
        <v>0</v>
      </c>
      <c r="M151">
        <v>5</v>
      </c>
      <c r="N151">
        <v>0</v>
      </c>
      <c r="O151">
        <v>0</v>
      </c>
      <c r="P151">
        <v>0.99990000000000001</v>
      </c>
      <c r="Q151" s="7" t="s">
        <v>28</v>
      </c>
      <c r="R151" s="7" t="s">
        <v>151</v>
      </c>
      <c r="S151">
        <v>0</v>
      </c>
      <c r="T151">
        <v>6.4466900000000003</v>
      </c>
      <c r="U151">
        <v>5.2216899999999997</v>
      </c>
      <c r="V151">
        <v>4.42835</v>
      </c>
      <c r="W151">
        <v>1.8311200000000001</v>
      </c>
      <c r="X151">
        <v>0.84989199999999998</v>
      </c>
      <c r="Y151">
        <v>4</v>
      </c>
      <c r="Z151">
        <v>4.4364600000000003</v>
      </c>
      <c r="AA151">
        <v>33.651899999999998</v>
      </c>
      <c r="AB151">
        <v>6.1431699999999996</v>
      </c>
    </row>
    <row r="152" spans="1:28" x14ac:dyDescent="0.25">
      <c r="A152">
        <v>151</v>
      </c>
      <c r="B152">
        <v>562379494</v>
      </c>
      <c r="C152" s="7" t="s">
        <v>27</v>
      </c>
      <c r="D152">
        <v>-0.17297100000000001</v>
      </c>
      <c r="E152">
        <v>1.91351</v>
      </c>
      <c r="F152">
        <v>-0.17297100000000001</v>
      </c>
      <c r="G152" s="3">
        <f>firm_data[[#This Row],[production]]-firm_data[[#This Row],[sales]]</f>
        <v>0</v>
      </c>
      <c r="H152">
        <v>0</v>
      </c>
      <c r="I152">
        <v>-0.69452899999999995</v>
      </c>
      <c r="J152">
        <v>2</v>
      </c>
      <c r="K152">
        <v>2</v>
      </c>
      <c r="L152">
        <v>0</v>
      </c>
      <c r="M152">
        <v>5</v>
      </c>
      <c r="N152">
        <v>0</v>
      </c>
      <c r="O152">
        <v>0</v>
      </c>
      <c r="P152">
        <v>0.99990000000000001</v>
      </c>
      <c r="Q152" s="7" t="s">
        <v>28</v>
      </c>
      <c r="R152" s="7" t="s">
        <v>151</v>
      </c>
      <c r="S152">
        <v>0</v>
      </c>
      <c r="T152">
        <v>6.3265700000000002</v>
      </c>
      <c r="U152">
        <v>5.4663500000000003</v>
      </c>
      <c r="V152">
        <v>0</v>
      </c>
      <c r="W152">
        <v>1.8311200000000001</v>
      </c>
      <c r="X152">
        <v>0</v>
      </c>
      <c r="Y152">
        <v>4</v>
      </c>
      <c r="Z152">
        <v>0</v>
      </c>
      <c r="AA152">
        <v>33.173200000000001</v>
      </c>
      <c r="AB152">
        <v>6.1431699999999996</v>
      </c>
    </row>
    <row r="153" spans="1:28" x14ac:dyDescent="0.25">
      <c r="A153">
        <v>152</v>
      </c>
      <c r="B153">
        <v>614657114</v>
      </c>
      <c r="C153" s="7" t="s">
        <v>27</v>
      </c>
      <c r="D153">
        <v>-4.8893899999999997</v>
      </c>
      <c r="E153">
        <v>1.91351</v>
      </c>
      <c r="F153">
        <v>-4.8893899999999997</v>
      </c>
      <c r="G153" s="3">
        <f>firm_data[[#This Row],[production]]-firm_data[[#This Row],[sales]]</f>
        <v>0</v>
      </c>
      <c r="H153">
        <v>0</v>
      </c>
      <c r="I153">
        <v>-0.69452899999999995</v>
      </c>
      <c r="J153">
        <v>2</v>
      </c>
      <c r="K153">
        <v>2</v>
      </c>
      <c r="L153">
        <v>0</v>
      </c>
      <c r="M153">
        <v>5</v>
      </c>
      <c r="N153">
        <v>0</v>
      </c>
      <c r="O153">
        <v>0</v>
      </c>
      <c r="P153">
        <v>0.99990000000000001</v>
      </c>
      <c r="Q153" s="7" t="s">
        <v>28</v>
      </c>
      <c r="R153" s="7" t="s">
        <v>151</v>
      </c>
      <c r="S153">
        <v>0</v>
      </c>
      <c r="T153">
        <v>7.0872200000000003</v>
      </c>
      <c r="U153">
        <v>5.7361800000000001</v>
      </c>
      <c r="V153">
        <v>4.7164200000000003</v>
      </c>
      <c r="W153">
        <v>1.8311200000000001</v>
      </c>
      <c r="X153">
        <v>0.880776</v>
      </c>
      <c r="Y153">
        <v>4</v>
      </c>
      <c r="Z153">
        <v>4.6044600000000004</v>
      </c>
      <c r="AA153">
        <v>37.0501</v>
      </c>
      <c r="AB153">
        <v>6.7484500000000001</v>
      </c>
    </row>
    <row r="154" spans="1:28" x14ac:dyDescent="0.25">
      <c r="A154">
        <v>153</v>
      </c>
      <c r="B154">
        <v>500777399</v>
      </c>
      <c r="C154" s="7" t="s">
        <v>27</v>
      </c>
      <c r="D154">
        <v>-0.17297100000000001</v>
      </c>
      <c r="E154">
        <v>1.91351</v>
      </c>
      <c r="F154">
        <v>-0.17297100000000001</v>
      </c>
      <c r="G154" s="3">
        <f>firm_data[[#This Row],[production]]-firm_data[[#This Row],[sales]]</f>
        <v>0</v>
      </c>
      <c r="H154">
        <v>0</v>
      </c>
      <c r="I154">
        <v>-0.69452899999999995</v>
      </c>
      <c r="J154">
        <v>2</v>
      </c>
      <c r="K154">
        <v>2</v>
      </c>
      <c r="L154">
        <v>0</v>
      </c>
      <c r="M154">
        <v>5</v>
      </c>
      <c r="N154">
        <v>0</v>
      </c>
      <c r="O154">
        <v>0</v>
      </c>
      <c r="P154">
        <v>0.99990000000000001</v>
      </c>
      <c r="Q154" s="7" t="s">
        <v>28</v>
      </c>
      <c r="R154" s="7" t="s">
        <v>151</v>
      </c>
      <c r="S154">
        <v>0</v>
      </c>
      <c r="T154">
        <v>6.9671000000000003</v>
      </c>
      <c r="U154">
        <v>5.8710899999999997</v>
      </c>
      <c r="V154">
        <v>0</v>
      </c>
      <c r="W154">
        <v>1.8311200000000001</v>
      </c>
      <c r="X154">
        <v>0</v>
      </c>
      <c r="Y154">
        <v>4</v>
      </c>
      <c r="Z154">
        <v>0</v>
      </c>
      <c r="AA154">
        <v>36.878599999999999</v>
      </c>
      <c r="AB154">
        <v>6.7484500000000001</v>
      </c>
    </row>
    <row r="155" spans="1:28" x14ac:dyDescent="0.25">
      <c r="A155">
        <v>154</v>
      </c>
      <c r="B155">
        <v>918325665</v>
      </c>
      <c r="C155" s="7" t="s">
        <v>27</v>
      </c>
      <c r="D155">
        <v>-2.8976099999999998</v>
      </c>
      <c r="E155">
        <v>1.91351</v>
      </c>
      <c r="F155">
        <v>-2.8976099999999998</v>
      </c>
      <c r="G155" s="3">
        <f>firm_data[[#This Row],[production]]-firm_data[[#This Row],[sales]]</f>
        <v>0</v>
      </c>
      <c r="H155">
        <v>0</v>
      </c>
      <c r="I155">
        <v>-0.69452899999999995</v>
      </c>
      <c r="J155">
        <v>2</v>
      </c>
      <c r="K155">
        <v>2</v>
      </c>
      <c r="L155">
        <v>0</v>
      </c>
      <c r="M155">
        <v>5</v>
      </c>
      <c r="N155">
        <v>0</v>
      </c>
      <c r="O155">
        <v>0</v>
      </c>
      <c r="P155">
        <v>0.99990000000000001</v>
      </c>
      <c r="Q155" s="7" t="s">
        <v>28</v>
      </c>
      <c r="R155" s="7" t="s">
        <v>151</v>
      </c>
      <c r="S155">
        <v>0</v>
      </c>
      <c r="T155">
        <v>7.3414900000000003</v>
      </c>
      <c r="U155">
        <v>5.9385500000000002</v>
      </c>
      <c r="V155">
        <v>2.7246299999999999</v>
      </c>
      <c r="W155">
        <v>1.8311200000000001</v>
      </c>
      <c r="X155">
        <v>0.49451099999999998</v>
      </c>
      <c r="Y155">
        <v>4</v>
      </c>
      <c r="Z155">
        <v>2.6395300000000002</v>
      </c>
      <c r="AA155">
        <v>39.186300000000003</v>
      </c>
      <c r="AB155">
        <v>6.9865300000000001</v>
      </c>
    </row>
    <row r="156" spans="1:28" x14ac:dyDescent="0.25">
      <c r="A156">
        <v>155</v>
      </c>
      <c r="B156">
        <v>976454076</v>
      </c>
      <c r="C156" s="7" t="s">
        <v>27</v>
      </c>
      <c r="D156">
        <v>-0.17297100000000001</v>
      </c>
      <c r="E156">
        <v>1.91351</v>
      </c>
      <c r="F156">
        <v>-0.17297100000000001</v>
      </c>
      <c r="G156" s="3">
        <f>firm_data[[#This Row],[production]]-firm_data[[#This Row],[sales]]</f>
        <v>0</v>
      </c>
      <c r="H156">
        <v>0</v>
      </c>
      <c r="I156">
        <v>-0.69452899999999995</v>
      </c>
      <c r="J156">
        <v>2</v>
      </c>
      <c r="K156">
        <v>2</v>
      </c>
      <c r="L156">
        <v>0</v>
      </c>
      <c r="M156">
        <v>5</v>
      </c>
      <c r="N156">
        <v>0</v>
      </c>
      <c r="O156">
        <v>0</v>
      </c>
      <c r="P156">
        <v>0.99990000000000001</v>
      </c>
      <c r="Q156" s="7" t="s">
        <v>28</v>
      </c>
      <c r="R156" s="7" t="s">
        <v>151</v>
      </c>
      <c r="S156">
        <v>0</v>
      </c>
      <c r="T156">
        <v>7.2213700000000003</v>
      </c>
      <c r="U156">
        <v>5.9722799999999996</v>
      </c>
      <c r="V156">
        <v>0</v>
      </c>
      <c r="W156">
        <v>1.8311200000000001</v>
      </c>
      <c r="X156">
        <v>0</v>
      </c>
      <c r="Y156">
        <v>4</v>
      </c>
      <c r="Z156">
        <v>0</v>
      </c>
      <c r="AA156">
        <v>38.942799999999998</v>
      </c>
      <c r="AB156">
        <v>6.9865300000000001</v>
      </c>
    </row>
    <row r="157" spans="1:28" x14ac:dyDescent="0.25">
      <c r="A157">
        <v>156</v>
      </c>
      <c r="B157">
        <v>339606783</v>
      </c>
      <c r="C157" s="7" t="s">
        <v>27</v>
      </c>
      <c r="D157">
        <v>-0.17297100000000001</v>
      </c>
      <c r="E157">
        <v>1.91351</v>
      </c>
      <c r="F157">
        <v>-0.17297100000000001</v>
      </c>
      <c r="G157" s="3">
        <f>firm_data[[#This Row],[production]]-firm_data[[#This Row],[sales]]</f>
        <v>0</v>
      </c>
      <c r="H157">
        <v>0</v>
      </c>
      <c r="I157">
        <v>-0.69452899999999995</v>
      </c>
      <c r="J157">
        <v>2</v>
      </c>
      <c r="K157">
        <v>2</v>
      </c>
      <c r="L157">
        <v>0</v>
      </c>
      <c r="M157">
        <v>5</v>
      </c>
      <c r="N157">
        <v>0</v>
      </c>
      <c r="O157">
        <v>0</v>
      </c>
      <c r="P157">
        <v>0.99990000000000001</v>
      </c>
      <c r="Q157" s="7" t="s">
        <v>28</v>
      </c>
      <c r="R157" s="7" t="s">
        <v>151</v>
      </c>
      <c r="S157">
        <v>0</v>
      </c>
      <c r="T157">
        <v>7.1012500000000003</v>
      </c>
      <c r="U157">
        <v>5.9891399999999999</v>
      </c>
      <c r="V157">
        <v>0</v>
      </c>
      <c r="W157">
        <v>1.8311200000000001</v>
      </c>
      <c r="X157">
        <v>0</v>
      </c>
      <c r="Y157">
        <v>4</v>
      </c>
      <c r="Z157">
        <v>0</v>
      </c>
      <c r="AA157">
        <v>38.510599999999997</v>
      </c>
      <c r="AB157">
        <v>6.9865300000000001</v>
      </c>
    </row>
    <row r="158" spans="1:28" x14ac:dyDescent="0.25">
      <c r="A158">
        <v>157</v>
      </c>
      <c r="B158">
        <v>623132091</v>
      </c>
      <c r="C158" s="7" t="s">
        <v>27</v>
      </c>
      <c r="D158">
        <v>-0.17297100000000001</v>
      </c>
      <c r="E158">
        <v>1.91351</v>
      </c>
      <c r="F158">
        <v>-0.17297100000000001</v>
      </c>
      <c r="G158" s="3">
        <f>firm_data[[#This Row],[production]]-firm_data[[#This Row],[sales]]</f>
        <v>0</v>
      </c>
      <c r="H158">
        <v>0</v>
      </c>
      <c r="I158">
        <v>-0.69452899999999995</v>
      </c>
      <c r="J158">
        <v>2</v>
      </c>
      <c r="K158">
        <v>2</v>
      </c>
      <c r="L158">
        <v>0</v>
      </c>
      <c r="M158">
        <v>5</v>
      </c>
      <c r="N158">
        <v>0</v>
      </c>
      <c r="O158">
        <v>0</v>
      </c>
      <c r="P158">
        <v>0.99990000000000001</v>
      </c>
      <c r="Q158" s="7" t="s">
        <v>28</v>
      </c>
      <c r="R158" s="7" t="s">
        <v>151</v>
      </c>
      <c r="S158">
        <v>0</v>
      </c>
      <c r="T158">
        <v>6.9811300000000003</v>
      </c>
      <c r="U158">
        <v>5.9975699999999996</v>
      </c>
      <c r="V158">
        <v>0</v>
      </c>
      <c r="W158">
        <v>1.8311200000000001</v>
      </c>
      <c r="X158">
        <v>0</v>
      </c>
      <c r="Y158">
        <v>4</v>
      </c>
      <c r="Z158">
        <v>0</v>
      </c>
      <c r="AA158">
        <v>38.2425</v>
      </c>
      <c r="AB158">
        <v>6.9865300000000001</v>
      </c>
    </row>
    <row r="159" spans="1:28" x14ac:dyDescent="0.25">
      <c r="A159">
        <v>158</v>
      </c>
      <c r="B159">
        <v>698350577</v>
      </c>
      <c r="C159" s="7" t="s">
        <v>27</v>
      </c>
      <c r="D159">
        <v>-3.1509200000000002</v>
      </c>
      <c r="E159">
        <v>1.91351</v>
      </c>
      <c r="F159">
        <v>-3.1509200000000002</v>
      </c>
      <c r="G159" s="3">
        <f>firm_data[[#This Row],[production]]-firm_data[[#This Row],[sales]]</f>
        <v>0</v>
      </c>
      <c r="H159">
        <v>0</v>
      </c>
      <c r="I159">
        <v>-0.69452899999999995</v>
      </c>
      <c r="J159">
        <v>2</v>
      </c>
      <c r="K159">
        <v>2</v>
      </c>
      <c r="L159">
        <v>0</v>
      </c>
      <c r="M159">
        <v>5</v>
      </c>
      <c r="N159">
        <v>0</v>
      </c>
      <c r="O159">
        <v>0</v>
      </c>
      <c r="P159">
        <v>0.99990000000000001</v>
      </c>
      <c r="Q159" s="7" t="s">
        <v>28</v>
      </c>
      <c r="R159" s="7" t="s">
        <v>151</v>
      </c>
      <c r="S159">
        <v>0</v>
      </c>
      <c r="T159">
        <v>7.4209500000000004</v>
      </c>
      <c r="U159">
        <v>6.0017899999999997</v>
      </c>
      <c r="V159">
        <v>2.9779499999999999</v>
      </c>
      <c r="W159">
        <v>1.8311200000000001</v>
      </c>
      <c r="X159">
        <v>0.55993999999999999</v>
      </c>
      <c r="Y159">
        <v>4</v>
      </c>
      <c r="Z159">
        <v>3.0862400000000001</v>
      </c>
      <c r="AA159">
        <v>40.902299999999997</v>
      </c>
      <c r="AB159">
        <v>7.0609299999999999</v>
      </c>
    </row>
    <row r="160" spans="1:28" x14ac:dyDescent="0.25">
      <c r="A160">
        <v>159</v>
      </c>
      <c r="B160">
        <v>716478456</v>
      </c>
      <c r="C160" s="7" t="s">
        <v>27</v>
      </c>
      <c r="D160">
        <v>-0.17297100000000001</v>
      </c>
      <c r="E160">
        <v>1.91351</v>
      </c>
      <c r="F160">
        <v>-0.17297100000000001</v>
      </c>
      <c r="G160" s="3">
        <f>firm_data[[#This Row],[production]]-firm_data[[#This Row],[sales]]</f>
        <v>0</v>
      </c>
      <c r="H160">
        <v>0</v>
      </c>
      <c r="I160">
        <v>-0.69452899999999995</v>
      </c>
      <c r="J160">
        <v>2</v>
      </c>
      <c r="K160">
        <v>2</v>
      </c>
      <c r="L160">
        <v>0</v>
      </c>
      <c r="M160">
        <v>5</v>
      </c>
      <c r="N160">
        <v>0</v>
      </c>
      <c r="O160">
        <v>0</v>
      </c>
      <c r="P160">
        <v>0.99990000000000001</v>
      </c>
      <c r="Q160" s="7" t="s">
        <v>28</v>
      </c>
      <c r="R160" s="7" t="s">
        <v>151</v>
      </c>
      <c r="S160">
        <v>0</v>
      </c>
      <c r="T160">
        <v>7.3008300000000004</v>
      </c>
      <c r="U160">
        <v>6.0038999999999998</v>
      </c>
      <c r="V160">
        <v>0</v>
      </c>
      <c r="W160">
        <v>1.8311200000000001</v>
      </c>
      <c r="X160">
        <v>0</v>
      </c>
      <c r="Y160">
        <v>4</v>
      </c>
      <c r="Z160">
        <v>0</v>
      </c>
      <c r="AA160">
        <v>40.450000000000003</v>
      </c>
      <c r="AB160">
        <v>7.0609299999999999</v>
      </c>
    </row>
    <row r="161" spans="1:28" x14ac:dyDescent="0.25">
      <c r="A161">
        <v>160</v>
      </c>
      <c r="B161">
        <v>448812350</v>
      </c>
      <c r="C161" s="7" t="s">
        <v>27</v>
      </c>
      <c r="D161">
        <v>-0.17297100000000001</v>
      </c>
      <c r="E161">
        <v>1.91351</v>
      </c>
      <c r="F161">
        <v>-0.17297100000000001</v>
      </c>
      <c r="G161" s="3">
        <f>firm_data[[#This Row],[production]]-firm_data[[#This Row],[sales]]</f>
        <v>0</v>
      </c>
      <c r="H161">
        <v>0</v>
      </c>
      <c r="I161">
        <v>-0.69452899999999995</v>
      </c>
      <c r="J161">
        <v>2</v>
      </c>
      <c r="K161">
        <v>2</v>
      </c>
      <c r="L161">
        <v>0</v>
      </c>
      <c r="M161">
        <v>5</v>
      </c>
      <c r="N161">
        <v>0</v>
      </c>
      <c r="O161">
        <v>0</v>
      </c>
      <c r="P161">
        <v>0.99990000000000001</v>
      </c>
      <c r="Q161" s="7" t="s">
        <v>28</v>
      </c>
      <c r="R161" s="7" t="s">
        <v>151</v>
      </c>
      <c r="S161">
        <v>0</v>
      </c>
      <c r="T161">
        <v>7.1807100000000004</v>
      </c>
      <c r="U161">
        <v>6.00495</v>
      </c>
      <c r="V161">
        <v>0</v>
      </c>
      <c r="W161">
        <v>1.8311200000000001</v>
      </c>
      <c r="X161">
        <v>0</v>
      </c>
      <c r="Y161">
        <v>4</v>
      </c>
      <c r="Z161">
        <v>0</v>
      </c>
      <c r="AA161">
        <v>40.235599999999998</v>
      </c>
      <c r="AB161">
        <v>7.0609299999999999</v>
      </c>
    </row>
    <row r="162" spans="1:28" x14ac:dyDescent="0.25">
      <c r="A162">
        <v>161</v>
      </c>
      <c r="B162">
        <v>738870838</v>
      </c>
      <c r="C162" s="7" t="s">
        <v>27</v>
      </c>
      <c r="D162">
        <v>-0.17297100000000001</v>
      </c>
      <c r="E162">
        <v>1.91351</v>
      </c>
      <c r="F162">
        <v>-0.17297100000000001</v>
      </c>
      <c r="G162" s="3">
        <f>firm_data[[#This Row],[production]]-firm_data[[#This Row],[sales]]</f>
        <v>0</v>
      </c>
      <c r="H162">
        <v>0</v>
      </c>
      <c r="I162">
        <v>-0.69452899999999995</v>
      </c>
      <c r="J162">
        <v>2</v>
      </c>
      <c r="K162">
        <v>2</v>
      </c>
      <c r="L162">
        <v>0</v>
      </c>
      <c r="M162">
        <v>5</v>
      </c>
      <c r="N162">
        <v>0</v>
      </c>
      <c r="O162">
        <v>0</v>
      </c>
      <c r="P162">
        <v>0.99990000000000001</v>
      </c>
      <c r="Q162" s="7" t="s">
        <v>28</v>
      </c>
      <c r="R162" s="7" t="s">
        <v>151</v>
      </c>
      <c r="S162">
        <v>0</v>
      </c>
      <c r="T162">
        <v>7.0605900000000004</v>
      </c>
      <c r="U162">
        <v>6.0054800000000004</v>
      </c>
      <c r="V162">
        <v>0</v>
      </c>
      <c r="W162">
        <v>1.8311200000000001</v>
      </c>
      <c r="X162">
        <v>0</v>
      </c>
      <c r="Y162">
        <v>4</v>
      </c>
      <c r="Z162">
        <v>0</v>
      </c>
      <c r="AA162">
        <v>39.748600000000003</v>
      </c>
      <c r="AB162">
        <v>7.0609299999999999</v>
      </c>
    </row>
    <row r="163" spans="1:28" x14ac:dyDescent="0.25">
      <c r="A163">
        <v>162</v>
      </c>
      <c r="B163">
        <v>265364271</v>
      </c>
      <c r="C163" s="7" t="s">
        <v>27</v>
      </c>
      <c r="D163">
        <v>-0.17297100000000001</v>
      </c>
      <c r="E163">
        <v>1.91351</v>
      </c>
      <c r="F163">
        <v>-0.17297100000000001</v>
      </c>
      <c r="G163" s="3">
        <f>firm_data[[#This Row],[production]]-firm_data[[#This Row],[sales]]</f>
        <v>0</v>
      </c>
      <c r="H163">
        <v>0</v>
      </c>
      <c r="I163">
        <v>-0.69452899999999995</v>
      </c>
      <c r="J163">
        <v>2</v>
      </c>
      <c r="K163">
        <v>2</v>
      </c>
      <c r="L163">
        <v>0</v>
      </c>
      <c r="M163">
        <v>5</v>
      </c>
      <c r="N163">
        <v>0</v>
      </c>
      <c r="O163">
        <v>0</v>
      </c>
      <c r="P163">
        <v>0.99990000000000001</v>
      </c>
      <c r="Q163" s="7" t="s">
        <v>28</v>
      </c>
      <c r="R163" s="7" t="s">
        <v>151</v>
      </c>
      <c r="S163">
        <v>0</v>
      </c>
      <c r="T163">
        <v>6.9404700000000004</v>
      </c>
      <c r="U163">
        <v>6.0057400000000003</v>
      </c>
      <c r="V163">
        <v>0</v>
      </c>
      <c r="W163">
        <v>1.8311200000000001</v>
      </c>
      <c r="X163">
        <v>0</v>
      </c>
      <c r="Y163">
        <v>4</v>
      </c>
      <c r="Z163">
        <v>0</v>
      </c>
      <c r="AA163">
        <v>39.383299999999998</v>
      </c>
      <c r="AB163">
        <v>7.0609299999999999</v>
      </c>
    </row>
    <row r="164" spans="1:28" x14ac:dyDescent="0.25">
      <c r="A164">
        <v>163</v>
      </c>
      <c r="B164">
        <v>21022628</v>
      </c>
      <c r="C164" s="7" t="s">
        <v>27</v>
      </c>
      <c r="D164">
        <v>-3.3533499999999998</v>
      </c>
      <c r="E164">
        <v>1.91351</v>
      </c>
      <c r="F164">
        <v>-3.3533499999999998</v>
      </c>
      <c r="G164" s="3">
        <f>firm_data[[#This Row],[production]]-firm_data[[#This Row],[sales]]</f>
        <v>0</v>
      </c>
      <c r="H164">
        <v>0</v>
      </c>
      <c r="I164">
        <v>-0.69452899999999995</v>
      </c>
      <c r="J164">
        <v>2</v>
      </c>
      <c r="K164">
        <v>2</v>
      </c>
      <c r="L164">
        <v>0</v>
      </c>
      <c r="M164">
        <v>5</v>
      </c>
      <c r="N164">
        <v>0</v>
      </c>
      <c r="O164">
        <v>0</v>
      </c>
      <c r="P164">
        <v>0.99990000000000001</v>
      </c>
      <c r="Q164" s="7" t="s">
        <v>28</v>
      </c>
      <c r="R164" s="7" t="s">
        <v>151</v>
      </c>
      <c r="S164">
        <v>0</v>
      </c>
      <c r="T164">
        <v>7.4260799999999998</v>
      </c>
      <c r="U164">
        <v>6.0058699999999998</v>
      </c>
      <c r="V164">
        <v>3.18038</v>
      </c>
      <c r="W164">
        <v>1.8311200000000001</v>
      </c>
      <c r="X164">
        <v>0.60573200000000005</v>
      </c>
      <c r="Y164">
        <v>4</v>
      </c>
      <c r="Z164">
        <v>3.4800300000000002</v>
      </c>
      <c r="AA164">
        <v>42.664000000000001</v>
      </c>
      <c r="AB164">
        <v>7.0657300000000003</v>
      </c>
    </row>
    <row r="165" spans="1:28" x14ac:dyDescent="0.25">
      <c r="A165">
        <v>164</v>
      </c>
      <c r="B165">
        <v>526565930</v>
      </c>
      <c r="C165" s="7" t="s">
        <v>27</v>
      </c>
      <c r="D165">
        <v>-0.17297100000000001</v>
      </c>
      <c r="E165">
        <v>1.91351</v>
      </c>
      <c r="F165">
        <v>-0.17297100000000001</v>
      </c>
      <c r="G165" s="3">
        <f>firm_data[[#This Row],[production]]-firm_data[[#This Row],[sales]]</f>
        <v>0</v>
      </c>
      <c r="H165">
        <v>0</v>
      </c>
      <c r="I165">
        <v>-0.69452899999999995</v>
      </c>
      <c r="J165">
        <v>2</v>
      </c>
      <c r="K165">
        <v>2</v>
      </c>
      <c r="L165">
        <v>0</v>
      </c>
      <c r="M165">
        <v>5</v>
      </c>
      <c r="N165">
        <v>0</v>
      </c>
      <c r="O165">
        <v>0</v>
      </c>
      <c r="P165">
        <v>0.99990000000000001</v>
      </c>
      <c r="Q165" s="7" t="s">
        <v>28</v>
      </c>
      <c r="R165" s="7" t="s">
        <v>151</v>
      </c>
      <c r="S165">
        <v>0</v>
      </c>
      <c r="T165">
        <v>7.3059599999999998</v>
      </c>
      <c r="U165">
        <v>6.0059399999999998</v>
      </c>
      <c r="V165">
        <v>0</v>
      </c>
      <c r="W165">
        <v>1.8311200000000001</v>
      </c>
      <c r="X165">
        <v>0</v>
      </c>
      <c r="Y165">
        <v>4</v>
      </c>
      <c r="Z165">
        <v>0</v>
      </c>
      <c r="AA165">
        <v>42.320599999999999</v>
      </c>
      <c r="AB165">
        <v>7.0657300000000003</v>
      </c>
    </row>
    <row r="166" spans="1:28" x14ac:dyDescent="0.25">
      <c r="A166">
        <v>165</v>
      </c>
      <c r="B166">
        <v>446557523</v>
      </c>
      <c r="C166" s="7" t="s">
        <v>27</v>
      </c>
      <c r="D166">
        <v>-0.17297100000000001</v>
      </c>
      <c r="E166">
        <v>1.91351</v>
      </c>
      <c r="F166">
        <v>-0.17297100000000001</v>
      </c>
      <c r="G166" s="3">
        <f>firm_data[[#This Row],[production]]-firm_data[[#This Row],[sales]]</f>
        <v>0</v>
      </c>
      <c r="H166">
        <v>0</v>
      </c>
      <c r="I166">
        <v>-0.69452899999999995</v>
      </c>
      <c r="J166">
        <v>2</v>
      </c>
      <c r="K166">
        <v>2</v>
      </c>
      <c r="L166">
        <v>0</v>
      </c>
      <c r="M166">
        <v>5</v>
      </c>
      <c r="N166">
        <v>0</v>
      </c>
      <c r="O166">
        <v>0</v>
      </c>
      <c r="P166">
        <v>0.99990000000000001</v>
      </c>
      <c r="Q166" s="7" t="s">
        <v>28</v>
      </c>
      <c r="R166" s="7" t="s">
        <v>151</v>
      </c>
      <c r="S166">
        <v>0</v>
      </c>
      <c r="T166">
        <v>7.1858399999999998</v>
      </c>
      <c r="U166">
        <v>6.0059699999999996</v>
      </c>
      <c r="V166">
        <v>0</v>
      </c>
      <c r="W166">
        <v>1.8311200000000001</v>
      </c>
      <c r="X166">
        <v>0</v>
      </c>
      <c r="Y166">
        <v>4</v>
      </c>
      <c r="Z166">
        <v>0</v>
      </c>
      <c r="AA166">
        <v>42.0854</v>
      </c>
      <c r="AB166">
        <v>7.0657300000000003</v>
      </c>
    </row>
    <row r="167" spans="1:28" x14ac:dyDescent="0.25">
      <c r="A167">
        <v>166</v>
      </c>
      <c r="B167">
        <v>296096629</v>
      </c>
      <c r="C167" s="7" t="s">
        <v>27</v>
      </c>
      <c r="D167">
        <v>-0.17297100000000001</v>
      </c>
      <c r="E167">
        <v>1.91351</v>
      </c>
      <c r="F167">
        <v>-0.17297100000000001</v>
      </c>
      <c r="G167" s="3">
        <f>firm_data[[#This Row],[production]]-firm_data[[#This Row],[sales]]</f>
        <v>0</v>
      </c>
      <c r="H167">
        <v>0</v>
      </c>
      <c r="I167">
        <v>-0.69452899999999995</v>
      </c>
      <c r="J167">
        <v>2</v>
      </c>
      <c r="K167">
        <v>2</v>
      </c>
      <c r="L167">
        <v>0</v>
      </c>
      <c r="M167">
        <v>5</v>
      </c>
      <c r="N167">
        <v>0</v>
      </c>
      <c r="O167">
        <v>0</v>
      </c>
      <c r="P167">
        <v>0.99990000000000001</v>
      </c>
      <c r="Q167" s="7" t="s">
        <v>28</v>
      </c>
      <c r="R167" s="7" t="s">
        <v>151</v>
      </c>
      <c r="S167">
        <v>0</v>
      </c>
      <c r="T167">
        <v>7.0657199999999998</v>
      </c>
      <c r="U167">
        <v>6.0059899999999997</v>
      </c>
      <c r="V167">
        <v>0</v>
      </c>
      <c r="W167">
        <v>1.8311200000000001</v>
      </c>
      <c r="X167">
        <v>0</v>
      </c>
      <c r="Y167">
        <v>4</v>
      </c>
      <c r="Z167">
        <v>0</v>
      </c>
      <c r="AA167">
        <v>41.558900000000001</v>
      </c>
      <c r="AB167">
        <v>7.0657300000000003</v>
      </c>
    </row>
    <row r="168" spans="1:28" x14ac:dyDescent="0.25">
      <c r="A168">
        <v>167</v>
      </c>
      <c r="B168">
        <v>908430668</v>
      </c>
      <c r="C168" s="7" t="s">
        <v>27</v>
      </c>
      <c r="D168">
        <v>-0.17297100000000001</v>
      </c>
      <c r="E168">
        <v>1.91351</v>
      </c>
      <c r="F168">
        <v>-0.17297100000000001</v>
      </c>
      <c r="G168" s="3">
        <f>firm_data[[#This Row],[production]]-firm_data[[#This Row],[sales]]</f>
        <v>0</v>
      </c>
      <c r="H168">
        <v>0</v>
      </c>
      <c r="I168">
        <v>-0.69452899999999995</v>
      </c>
      <c r="J168">
        <v>2</v>
      </c>
      <c r="K168">
        <v>2</v>
      </c>
      <c r="L168">
        <v>0</v>
      </c>
      <c r="M168">
        <v>5</v>
      </c>
      <c r="N168">
        <v>0</v>
      </c>
      <c r="O168">
        <v>0</v>
      </c>
      <c r="P168">
        <v>0.99990000000000001</v>
      </c>
      <c r="Q168" s="7" t="s">
        <v>28</v>
      </c>
      <c r="R168" s="7" t="s">
        <v>151</v>
      </c>
      <c r="S168">
        <v>0</v>
      </c>
      <c r="T168">
        <v>6.9455999999999998</v>
      </c>
      <c r="U168">
        <v>6.0060000000000002</v>
      </c>
      <c r="V168">
        <v>0</v>
      </c>
      <c r="W168">
        <v>1.8311200000000001</v>
      </c>
      <c r="X168">
        <v>0</v>
      </c>
      <c r="Y168">
        <v>4</v>
      </c>
      <c r="Z168">
        <v>0</v>
      </c>
      <c r="AA168">
        <v>41.398699999999998</v>
      </c>
      <c r="AB168">
        <v>7.0657300000000003</v>
      </c>
    </row>
    <row r="169" spans="1:28" x14ac:dyDescent="0.25">
      <c r="A169">
        <v>168</v>
      </c>
      <c r="B169">
        <v>14912060</v>
      </c>
      <c r="C169" s="7" t="s">
        <v>27</v>
      </c>
      <c r="D169">
        <v>-0.17297100000000001</v>
      </c>
      <c r="E169">
        <v>1.91351</v>
      </c>
      <c r="F169">
        <v>-0.17297100000000001</v>
      </c>
      <c r="G169" s="3">
        <f>firm_data[[#This Row],[production]]-firm_data[[#This Row],[sales]]</f>
        <v>0</v>
      </c>
      <c r="H169">
        <v>0</v>
      </c>
      <c r="I169">
        <v>-0.69452899999999995</v>
      </c>
      <c r="J169">
        <v>2</v>
      </c>
      <c r="K169">
        <v>2</v>
      </c>
      <c r="L169">
        <v>0</v>
      </c>
      <c r="M169">
        <v>5</v>
      </c>
      <c r="N169">
        <v>0</v>
      </c>
      <c r="O169">
        <v>0</v>
      </c>
      <c r="P169">
        <v>0.99990000000000001</v>
      </c>
      <c r="Q169" s="7" t="s">
        <v>28</v>
      </c>
      <c r="R169" s="7" t="s">
        <v>151</v>
      </c>
      <c r="S169">
        <v>0</v>
      </c>
      <c r="T169">
        <v>6.8254799999999998</v>
      </c>
      <c r="U169">
        <v>6.0060000000000002</v>
      </c>
      <c r="V169">
        <v>0</v>
      </c>
      <c r="W169">
        <v>1.8311200000000001</v>
      </c>
      <c r="X169">
        <v>0</v>
      </c>
      <c r="Y169">
        <v>4</v>
      </c>
      <c r="Z169">
        <v>0</v>
      </c>
      <c r="AA169">
        <v>41.093899999999998</v>
      </c>
      <c r="AB169">
        <v>7.0657300000000003</v>
      </c>
    </row>
    <row r="170" spans="1:28" x14ac:dyDescent="0.25">
      <c r="A170">
        <v>169</v>
      </c>
      <c r="B170">
        <v>54699858</v>
      </c>
      <c r="C170" s="7" t="s">
        <v>27</v>
      </c>
      <c r="D170">
        <v>-0.17297100000000001</v>
      </c>
      <c r="E170">
        <v>1.91351</v>
      </c>
      <c r="F170">
        <v>-0.17297100000000001</v>
      </c>
      <c r="G170" s="3">
        <f>firm_data[[#This Row],[production]]-firm_data[[#This Row],[sales]]</f>
        <v>0</v>
      </c>
      <c r="H170">
        <v>0</v>
      </c>
      <c r="I170">
        <v>-0.69452899999999995</v>
      </c>
      <c r="J170">
        <v>2</v>
      </c>
      <c r="K170">
        <v>2</v>
      </c>
      <c r="L170">
        <v>0</v>
      </c>
      <c r="M170">
        <v>5</v>
      </c>
      <c r="N170">
        <v>0</v>
      </c>
      <c r="O170">
        <v>0</v>
      </c>
      <c r="P170">
        <v>0.99990000000000001</v>
      </c>
      <c r="Q170" s="7" t="s">
        <v>28</v>
      </c>
      <c r="R170" s="7" t="s">
        <v>151</v>
      </c>
      <c r="S170">
        <v>0</v>
      </c>
      <c r="T170">
        <v>6.7053599999999998</v>
      </c>
      <c r="U170">
        <v>6.0060000000000002</v>
      </c>
      <c r="V170">
        <v>0</v>
      </c>
      <c r="W170">
        <v>1.8311200000000001</v>
      </c>
      <c r="X170">
        <v>0</v>
      </c>
      <c r="Y170">
        <v>4</v>
      </c>
      <c r="Z170">
        <v>0</v>
      </c>
      <c r="AA170">
        <v>40.949800000000003</v>
      </c>
      <c r="AB170">
        <v>7.0657300000000003</v>
      </c>
    </row>
    <row r="171" spans="1:28" x14ac:dyDescent="0.25">
      <c r="A171">
        <v>170</v>
      </c>
      <c r="B171">
        <v>525725169</v>
      </c>
      <c r="C171" s="7" t="s">
        <v>27</v>
      </c>
      <c r="D171">
        <v>-0.17297100000000001</v>
      </c>
      <c r="E171">
        <v>1.91351</v>
      </c>
      <c r="F171">
        <v>-0.17297100000000001</v>
      </c>
      <c r="G171" s="3">
        <f>firm_data[[#This Row],[production]]-firm_data[[#This Row],[sales]]</f>
        <v>0</v>
      </c>
      <c r="H171">
        <v>0</v>
      </c>
      <c r="I171">
        <v>-0.69452899999999995</v>
      </c>
      <c r="J171">
        <v>2</v>
      </c>
      <c r="K171">
        <v>2</v>
      </c>
      <c r="L171">
        <v>0</v>
      </c>
      <c r="M171">
        <v>5</v>
      </c>
      <c r="N171">
        <v>0</v>
      </c>
      <c r="O171">
        <v>0</v>
      </c>
      <c r="P171">
        <v>0.99990000000000001</v>
      </c>
      <c r="Q171" s="7" t="s">
        <v>28</v>
      </c>
      <c r="R171" s="7" t="s">
        <v>151</v>
      </c>
      <c r="S171">
        <v>0</v>
      </c>
      <c r="T171">
        <v>6.5852399999999998</v>
      </c>
      <c r="U171">
        <v>6.0060000000000002</v>
      </c>
      <c r="V171">
        <v>0</v>
      </c>
      <c r="W171">
        <v>1.8311200000000001</v>
      </c>
      <c r="X171">
        <v>0</v>
      </c>
      <c r="Y171">
        <v>4</v>
      </c>
      <c r="Z171">
        <v>0</v>
      </c>
      <c r="AA171">
        <v>40.401400000000002</v>
      </c>
      <c r="AB171">
        <v>7.0657300000000003</v>
      </c>
    </row>
    <row r="172" spans="1:28" x14ac:dyDescent="0.25">
      <c r="A172">
        <v>171</v>
      </c>
      <c r="B172">
        <v>683881335</v>
      </c>
      <c r="C172" s="7" t="s">
        <v>27</v>
      </c>
      <c r="D172">
        <v>-0.17297100000000001</v>
      </c>
      <c r="E172">
        <v>1.91351</v>
      </c>
      <c r="F172">
        <v>-0.17297100000000001</v>
      </c>
      <c r="G172" s="3">
        <f>firm_data[[#This Row],[production]]-firm_data[[#This Row],[sales]]</f>
        <v>0</v>
      </c>
      <c r="H172">
        <v>0</v>
      </c>
      <c r="I172">
        <v>-0.69452899999999995</v>
      </c>
      <c r="J172">
        <v>2</v>
      </c>
      <c r="K172">
        <v>2</v>
      </c>
      <c r="L172">
        <v>0</v>
      </c>
      <c r="M172">
        <v>5</v>
      </c>
      <c r="N172">
        <v>0</v>
      </c>
      <c r="O172">
        <v>0</v>
      </c>
      <c r="P172">
        <v>0.99990000000000001</v>
      </c>
      <c r="Q172" s="7" t="s">
        <v>28</v>
      </c>
      <c r="R172" s="7" t="s">
        <v>151</v>
      </c>
      <c r="S172">
        <v>0</v>
      </c>
      <c r="T172">
        <v>6.4651199999999998</v>
      </c>
      <c r="U172">
        <v>6.0060099999999998</v>
      </c>
      <c r="V172">
        <v>0</v>
      </c>
      <c r="W172">
        <v>1.8311200000000001</v>
      </c>
      <c r="X172">
        <v>0</v>
      </c>
      <c r="Y172">
        <v>4</v>
      </c>
      <c r="Z172">
        <v>0</v>
      </c>
      <c r="AA172">
        <v>39.953899999999997</v>
      </c>
      <c r="AB172">
        <v>7.0657300000000003</v>
      </c>
    </row>
    <row r="173" spans="1:28" x14ac:dyDescent="0.25">
      <c r="A173">
        <v>172</v>
      </c>
      <c r="B173">
        <v>639354202</v>
      </c>
      <c r="C173" s="7" t="s">
        <v>27</v>
      </c>
      <c r="D173">
        <v>-3.2820999999999998</v>
      </c>
      <c r="E173">
        <v>1.91351</v>
      </c>
      <c r="F173">
        <v>-3.2820999999999998</v>
      </c>
      <c r="G173" s="3">
        <f>firm_data[[#This Row],[production]]-firm_data[[#This Row],[sales]]</f>
        <v>0</v>
      </c>
      <c r="H173">
        <v>0</v>
      </c>
      <c r="I173">
        <v>-0.69452899999999995</v>
      </c>
      <c r="J173">
        <v>2</v>
      </c>
      <c r="K173">
        <v>2</v>
      </c>
      <c r="L173">
        <v>0</v>
      </c>
      <c r="M173">
        <v>5</v>
      </c>
      <c r="N173">
        <v>0</v>
      </c>
      <c r="O173">
        <v>0</v>
      </c>
      <c r="P173">
        <v>0.99990000000000001</v>
      </c>
      <c r="Q173" s="7" t="s">
        <v>28</v>
      </c>
      <c r="R173" s="7" t="s">
        <v>151</v>
      </c>
      <c r="S173">
        <v>0</v>
      </c>
      <c r="T173">
        <v>6.8449999999999998</v>
      </c>
      <c r="U173">
        <v>6.0060099999999998</v>
      </c>
      <c r="V173">
        <v>3.1091299999999999</v>
      </c>
      <c r="W173">
        <v>1.8311200000000001</v>
      </c>
      <c r="X173">
        <v>1.08125</v>
      </c>
      <c r="Y173">
        <v>4</v>
      </c>
      <c r="Z173">
        <v>6.6992700000000003</v>
      </c>
      <c r="AA173">
        <v>42.410800000000002</v>
      </c>
      <c r="AB173">
        <v>7.0658899999999996</v>
      </c>
    </row>
    <row r="174" spans="1:28" x14ac:dyDescent="0.25">
      <c r="A174">
        <v>173</v>
      </c>
      <c r="B174">
        <v>993476526</v>
      </c>
      <c r="C174" s="7" t="s">
        <v>27</v>
      </c>
      <c r="D174">
        <v>-0.17297100000000001</v>
      </c>
      <c r="E174">
        <v>1.91351</v>
      </c>
      <c r="F174">
        <v>-0.17297100000000001</v>
      </c>
      <c r="G174" s="3">
        <f>firm_data[[#This Row],[production]]-firm_data[[#This Row],[sales]]</f>
        <v>0</v>
      </c>
      <c r="H174">
        <v>0</v>
      </c>
      <c r="I174">
        <v>-0.69452899999999995</v>
      </c>
      <c r="J174">
        <v>2</v>
      </c>
      <c r="K174">
        <v>2</v>
      </c>
      <c r="L174">
        <v>0</v>
      </c>
      <c r="M174">
        <v>5</v>
      </c>
      <c r="N174">
        <v>0</v>
      </c>
      <c r="O174">
        <v>0</v>
      </c>
      <c r="P174">
        <v>0.99990000000000001</v>
      </c>
      <c r="Q174" s="7" t="s">
        <v>28</v>
      </c>
      <c r="R174" s="7" t="s">
        <v>151</v>
      </c>
      <c r="S174">
        <v>0</v>
      </c>
      <c r="T174">
        <v>6.7248799999999997</v>
      </c>
      <c r="U174">
        <v>6.0060099999999998</v>
      </c>
      <c r="V174">
        <v>0</v>
      </c>
      <c r="W174">
        <v>1.8311200000000001</v>
      </c>
      <c r="X174">
        <v>0</v>
      </c>
      <c r="Y174">
        <v>4</v>
      </c>
      <c r="Z174">
        <v>0</v>
      </c>
      <c r="AA174">
        <v>41.768999999999998</v>
      </c>
      <c r="AB174">
        <v>7.0658899999999996</v>
      </c>
    </row>
    <row r="175" spans="1:28" x14ac:dyDescent="0.25">
      <c r="A175">
        <v>174</v>
      </c>
      <c r="B175">
        <v>904089024</v>
      </c>
      <c r="C175" s="7" t="s">
        <v>27</v>
      </c>
      <c r="D175">
        <v>-0.17297100000000001</v>
      </c>
      <c r="E175">
        <v>1.91351</v>
      </c>
      <c r="F175">
        <v>-0.17297100000000001</v>
      </c>
      <c r="G175" s="3">
        <f>firm_data[[#This Row],[production]]-firm_data[[#This Row],[sales]]</f>
        <v>0</v>
      </c>
      <c r="H175">
        <v>0</v>
      </c>
      <c r="I175">
        <v>-0.69452899999999995</v>
      </c>
      <c r="J175">
        <v>2</v>
      </c>
      <c r="K175">
        <v>2</v>
      </c>
      <c r="L175">
        <v>0</v>
      </c>
      <c r="M175">
        <v>5</v>
      </c>
      <c r="N175">
        <v>0</v>
      </c>
      <c r="O175">
        <v>0</v>
      </c>
      <c r="P175">
        <v>0.99990000000000001</v>
      </c>
      <c r="Q175" s="7" t="s">
        <v>28</v>
      </c>
      <c r="R175" s="7" t="s">
        <v>151</v>
      </c>
      <c r="S175">
        <v>0</v>
      </c>
      <c r="T175">
        <v>6.6047599999999997</v>
      </c>
      <c r="U175">
        <v>6.0060099999999998</v>
      </c>
      <c r="V175">
        <v>0</v>
      </c>
      <c r="W175">
        <v>1.8311200000000001</v>
      </c>
      <c r="X175">
        <v>0</v>
      </c>
      <c r="Y175">
        <v>4</v>
      </c>
      <c r="Z175">
        <v>0</v>
      </c>
      <c r="AA175">
        <v>41.259599999999999</v>
      </c>
      <c r="AB175">
        <v>7.0658899999999996</v>
      </c>
    </row>
    <row r="176" spans="1:28" x14ac:dyDescent="0.25">
      <c r="A176">
        <v>175</v>
      </c>
      <c r="B176">
        <v>867878819</v>
      </c>
      <c r="C176" s="7" t="s">
        <v>27</v>
      </c>
      <c r="D176">
        <v>-0.17297100000000001</v>
      </c>
      <c r="E176">
        <v>1.91351</v>
      </c>
      <c r="F176">
        <v>-0.17297100000000001</v>
      </c>
      <c r="G176" s="3">
        <f>firm_data[[#This Row],[production]]-firm_data[[#This Row],[sales]]</f>
        <v>0</v>
      </c>
      <c r="H176">
        <v>0</v>
      </c>
      <c r="I176">
        <v>-0.69452899999999995</v>
      </c>
      <c r="J176">
        <v>2</v>
      </c>
      <c r="K176">
        <v>2</v>
      </c>
      <c r="L176">
        <v>0</v>
      </c>
      <c r="M176">
        <v>5</v>
      </c>
      <c r="N176">
        <v>0</v>
      </c>
      <c r="O176">
        <v>0</v>
      </c>
      <c r="P176">
        <v>0.99990000000000001</v>
      </c>
      <c r="Q176" s="7" t="s">
        <v>28</v>
      </c>
      <c r="R176" s="7" t="s">
        <v>151</v>
      </c>
      <c r="S176">
        <v>0</v>
      </c>
      <c r="T176">
        <v>6.4846399999999997</v>
      </c>
      <c r="U176">
        <v>6.0060099999999998</v>
      </c>
      <c r="V176">
        <v>0</v>
      </c>
      <c r="W176">
        <v>1.8311200000000001</v>
      </c>
      <c r="X176">
        <v>0</v>
      </c>
      <c r="Y176">
        <v>4</v>
      </c>
      <c r="Z176">
        <v>0</v>
      </c>
      <c r="AA176">
        <v>41.009</v>
      </c>
      <c r="AB176">
        <v>7.0658899999999996</v>
      </c>
    </row>
    <row r="177" spans="1:28" x14ac:dyDescent="0.25">
      <c r="A177">
        <v>176</v>
      </c>
      <c r="B177">
        <v>372226432</v>
      </c>
      <c r="C177" s="7" t="s">
        <v>27</v>
      </c>
      <c r="D177">
        <v>-0.17297100000000001</v>
      </c>
      <c r="E177">
        <v>1.91351</v>
      </c>
      <c r="F177">
        <v>-0.17297100000000001</v>
      </c>
      <c r="G177" s="3">
        <f>firm_data[[#This Row],[production]]-firm_data[[#This Row],[sales]]</f>
        <v>0</v>
      </c>
      <c r="H177">
        <v>0</v>
      </c>
      <c r="I177">
        <v>-0.69452899999999995</v>
      </c>
      <c r="J177">
        <v>2</v>
      </c>
      <c r="K177">
        <v>2</v>
      </c>
      <c r="L177">
        <v>0</v>
      </c>
      <c r="M177">
        <v>5</v>
      </c>
      <c r="N177">
        <v>0</v>
      </c>
      <c r="O177">
        <v>0</v>
      </c>
      <c r="P177">
        <v>0.99990000000000001</v>
      </c>
      <c r="Q177" s="7" t="s">
        <v>28</v>
      </c>
      <c r="R177" s="7" t="s">
        <v>151</v>
      </c>
      <c r="S177">
        <v>0</v>
      </c>
      <c r="T177">
        <v>6.3645199999999997</v>
      </c>
      <c r="U177">
        <v>6.0060099999999998</v>
      </c>
      <c r="V177">
        <v>0</v>
      </c>
      <c r="W177">
        <v>1.8311200000000001</v>
      </c>
      <c r="X177">
        <v>0</v>
      </c>
      <c r="Y177">
        <v>4</v>
      </c>
      <c r="Z177">
        <v>0</v>
      </c>
      <c r="AA177">
        <v>40.606299999999997</v>
      </c>
      <c r="AB177">
        <v>7.0658899999999996</v>
      </c>
    </row>
    <row r="178" spans="1:28" x14ac:dyDescent="0.25">
      <c r="A178">
        <v>177</v>
      </c>
      <c r="B178">
        <v>302752054</v>
      </c>
      <c r="C178" s="7" t="s">
        <v>27</v>
      </c>
      <c r="D178">
        <v>-0.17297100000000001</v>
      </c>
      <c r="E178">
        <v>1.91351</v>
      </c>
      <c r="F178">
        <v>-0.17297100000000001</v>
      </c>
      <c r="G178" s="3">
        <f>firm_data[[#This Row],[production]]-firm_data[[#This Row],[sales]]</f>
        <v>0</v>
      </c>
      <c r="H178">
        <v>0</v>
      </c>
      <c r="I178">
        <v>-0.69452899999999995</v>
      </c>
      <c r="J178">
        <v>2</v>
      </c>
      <c r="K178">
        <v>2</v>
      </c>
      <c r="L178">
        <v>0</v>
      </c>
      <c r="M178">
        <v>5</v>
      </c>
      <c r="N178">
        <v>0</v>
      </c>
      <c r="O178">
        <v>0</v>
      </c>
      <c r="P178">
        <v>0.99990000000000001</v>
      </c>
      <c r="Q178" s="7" t="s">
        <v>28</v>
      </c>
      <c r="R178" s="7" t="s">
        <v>151</v>
      </c>
      <c r="S178">
        <v>0</v>
      </c>
      <c r="T178">
        <v>6.2443999999999997</v>
      </c>
      <c r="U178">
        <v>6.0060099999999998</v>
      </c>
      <c r="V178">
        <v>0</v>
      </c>
      <c r="W178">
        <v>1.8311200000000001</v>
      </c>
      <c r="X178">
        <v>0</v>
      </c>
      <c r="Y178">
        <v>4</v>
      </c>
      <c r="Z178">
        <v>0</v>
      </c>
      <c r="AA178">
        <v>39.936100000000003</v>
      </c>
      <c r="AB178">
        <v>7.0658899999999996</v>
      </c>
    </row>
    <row r="179" spans="1:28" x14ac:dyDescent="0.25">
      <c r="A179">
        <v>178</v>
      </c>
      <c r="B179">
        <v>896792023</v>
      </c>
      <c r="C179" s="7" t="s">
        <v>27</v>
      </c>
      <c r="D179">
        <v>-8.5503599999999995</v>
      </c>
      <c r="E179">
        <v>1.91351</v>
      </c>
      <c r="F179">
        <v>-8.5503599999999995</v>
      </c>
      <c r="G179" s="3">
        <f>firm_data[[#This Row],[production]]-firm_data[[#This Row],[sales]]</f>
        <v>0</v>
      </c>
      <c r="H179">
        <v>0</v>
      </c>
      <c r="I179">
        <v>-0.69452899999999995</v>
      </c>
      <c r="J179">
        <v>2</v>
      </c>
      <c r="K179">
        <v>2</v>
      </c>
      <c r="L179">
        <v>0</v>
      </c>
      <c r="M179">
        <v>5</v>
      </c>
      <c r="N179">
        <v>0</v>
      </c>
      <c r="O179">
        <v>0</v>
      </c>
      <c r="P179">
        <v>0.99990000000000001</v>
      </c>
      <c r="Q179" s="7" t="s">
        <v>28</v>
      </c>
      <c r="R179" s="7" t="s">
        <v>151</v>
      </c>
      <c r="S179">
        <v>0</v>
      </c>
      <c r="T179">
        <v>7.4262499999999996</v>
      </c>
      <c r="U179">
        <v>6.0060099999999998</v>
      </c>
      <c r="V179">
        <v>8.3773900000000001</v>
      </c>
      <c r="W179">
        <v>1.8311200000000001</v>
      </c>
      <c r="X179">
        <v>1.3019700000000001</v>
      </c>
      <c r="Y179">
        <v>4</v>
      </c>
      <c r="Z179">
        <v>8.3691999999999993</v>
      </c>
      <c r="AA179">
        <v>47.736800000000002</v>
      </c>
      <c r="AB179">
        <v>7.0658899999999996</v>
      </c>
    </row>
    <row r="180" spans="1:28" x14ac:dyDescent="0.25">
      <c r="A180">
        <v>179</v>
      </c>
      <c r="B180">
        <v>370659053</v>
      </c>
      <c r="C180" s="7" t="s">
        <v>27</v>
      </c>
      <c r="D180">
        <v>-0.17297100000000001</v>
      </c>
      <c r="E180">
        <v>1.91351</v>
      </c>
      <c r="F180">
        <v>-0.17297100000000001</v>
      </c>
      <c r="G180" s="3">
        <f>firm_data[[#This Row],[production]]-firm_data[[#This Row],[sales]]</f>
        <v>0</v>
      </c>
      <c r="H180">
        <v>0</v>
      </c>
      <c r="I180">
        <v>-0.69452899999999995</v>
      </c>
      <c r="J180">
        <v>2</v>
      </c>
      <c r="K180">
        <v>2</v>
      </c>
      <c r="L180">
        <v>0</v>
      </c>
      <c r="M180">
        <v>5</v>
      </c>
      <c r="N180">
        <v>0</v>
      </c>
      <c r="O180">
        <v>0</v>
      </c>
      <c r="P180">
        <v>0.99990000000000001</v>
      </c>
      <c r="Q180" s="7" t="s">
        <v>28</v>
      </c>
      <c r="R180" s="7" t="s">
        <v>151</v>
      </c>
      <c r="S180">
        <v>0</v>
      </c>
      <c r="T180">
        <v>7.3061299999999996</v>
      </c>
      <c r="U180">
        <v>6.0060099999999998</v>
      </c>
      <c r="V180">
        <v>0</v>
      </c>
      <c r="W180">
        <v>1.8311200000000001</v>
      </c>
      <c r="X180">
        <v>0</v>
      </c>
      <c r="Y180">
        <v>4</v>
      </c>
      <c r="Z180">
        <v>0</v>
      </c>
      <c r="AA180">
        <v>47.398400000000002</v>
      </c>
      <c r="AB180">
        <v>7.0658899999999996</v>
      </c>
    </row>
    <row r="181" spans="1:28" x14ac:dyDescent="0.25">
      <c r="A181">
        <v>180</v>
      </c>
      <c r="B181">
        <v>639266381</v>
      </c>
      <c r="C181" s="7" t="s">
        <v>27</v>
      </c>
      <c r="D181">
        <v>-1.6989700000000001</v>
      </c>
      <c r="E181">
        <v>1.91351</v>
      </c>
      <c r="F181">
        <v>-1.6989700000000001</v>
      </c>
      <c r="G181" s="3">
        <f>firm_data[[#This Row],[production]]-firm_data[[#This Row],[sales]]</f>
        <v>0</v>
      </c>
      <c r="H181">
        <v>0</v>
      </c>
      <c r="I181">
        <v>-0.69452899999999995</v>
      </c>
      <c r="J181">
        <v>2</v>
      </c>
      <c r="K181">
        <v>2</v>
      </c>
      <c r="L181">
        <v>0</v>
      </c>
      <c r="M181">
        <v>5</v>
      </c>
      <c r="N181">
        <v>0</v>
      </c>
      <c r="O181">
        <v>0</v>
      </c>
      <c r="P181">
        <v>0.99990000000000001</v>
      </c>
      <c r="Q181" s="7" t="s">
        <v>28</v>
      </c>
      <c r="R181" s="7" t="s">
        <v>151</v>
      </c>
      <c r="S181">
        <v>0</v>
      </c>
      <c r="T181">
        <v>7.4262499999999996</v>
      </c>
      <c r="U181">
        <v>6.0060099999999998</v>
      </c>
      <c r="V181">
        <v>1.526</v>
      </c>
      <c r="W181">
        <v>1.8311200000000001</v>
      </c>
      <c r="X181">
        <v>0.24024000000000001</v>
      </c>
      <c r="Y181">
        <v>4</v>
      </c>
      <c r="Z181">
        <v>1.5711599999999999</v>
      </c>
      <c r="AA181">
        <v>48.567300000000003</v>
      </c>
      <c r="AB181">
        <v>7.0658899999999996</v>
      </c>
    </row>
    <row r="182" spans="1:28" x14ac:dyDescent="0.25">
      <c r="A182">
        <v>181</v>
      </c>
      <c r="B182">
        <v>236331067</v>
      </c>
      <c r="C182" s="7" t="s">
        <v>27</v>
      </c>
      <c r="D182">
        <v>-0.17297100000000001</v>
      </c>
      <c r="E182">
        <v>1.91351</v>
      </c>
      <c r="F182">
        <v>-0.17297100000000001</v>
      </c>
      <c r="G182" s="3">
        <f>firm_data[[#This Row],[production]]-firm_data[[#This Row],[sales]]</f>
        <v>0</v>
      </c>
      <c r="H182">
        <v>0</v>
      </c>
      <c r="I182">
        <v>-0.69452899999999995</v>
      </c>
      <c r="J182">
        <v>2</v>
      </c>
      <c r="K182">
        <v>2</v>
      </c>
      <c r="L182">
        <v>0</v>
      </c>
      <c r="M182">
        <v>5</v>
      </c>
      <c r="N182">
        <v>0</v>
      </c>
      <c r="O182">
        <v>0</v>
      </c>
      <c r="P182">
        <v>0.99990000000000001</v>
      </c>
      <c r="Q182" s="7" t="s">
        <v>28</v>
      </c>
      <c r="R182" s="7" t="s">
        <v>151</v>
      </c>
      <c r="S182">
        <v>0</v>
      </c>
      <c r="T182">
        <v>7.3061299999999996</v>
      </c>
      <c r="U182">
        <v>6.0060099999999998</v>
      </c>
      <c r="V182">
        <v>0</v>
      </c>
      <c r="W182">
        <v>1.8311200000000001</v>
      </c>
      <c r="X182">
        <v>0</v>
      </c>
      <c r="Y182">
        <v>4</v>
      </c>
      <c r="Z182">
        <v>0</v>
      </c>
      <c r="AA182">
        <v>48.456400000000002</v>
      </c>
      <c r="AB182">
        <v>7.0658899999999996</v>
      </c>
    </row>
    <row r="183" spans="1:28" x14ac:dyDescent="0.25">
      <c r="A183">
        <v>182</v>
      </c>
      <c r="B183">
        <v>305170747</v>
      </c>
      <c r="C183" s="7" t="s">
        <v>27</v>
      </c>
      <c r="D183">
        <v>-1.71201</v>
      </c>
      <c r="E183">
        <v>1.91351</v>
      </c>
      <c r="F183">
        <v>-1.71201</v>
      </c>
      <c r="G183" s="3">
        <f>firm_data[[#This Row],[production]]-firm_data[[#This Row],[sales]]</f>
        <v>0</v>
      </c>
      <c r="H183">
        <v>0</v>
      </c>
      <c r="I183">
        <v>-0.69452899999999995</v>
      </c>
      <c r="J183">
        <v>2</v>
      </c>
      <c r="K183">
        <v>2</v>
      </c>
      <c r="L183">
        <v>0</v>
      </c>
      <c r="M183">
        <v>5</v>
      </c>
      <c r="N183">
        <v>0</v>
      </c>
      <c r="O183">
        <v>0</v>
      </c>
      <c r="P183">
        <v>0.99990000000000001</v>
      </c>
      <c r="Q183" s="7" t="s">
        <v>28</v>
      </c>
      <c r="R183" s="7" t="s">
        <v>151</v>
      </c>
      <c r="S183">
        <v>0</v>
      </c>
      <c r="T183">
        <v>7.4262499999999996</v>
      </c>
      <c r="U183">
        <v>6.0060099999999998</v>
      </c>
      <c r="V183">
        <v>1.53904</v>
      </c>
      <c r="W183">
        <v>1.8311200000000001</v>
      </c>
      <c r="X183">
        <v>0.24024000000000001</v>
      </c>
      <c r="Y183">
        <v>4</v>
      </c>
      <c r="Z183">
        <v>1.61493</v>
      </c>
      <c r="AA183">
        <v>49.920299999999997</v>
      </c>
      <c r="AB183">
        <v>7.0658899999999996</v>
      </c>
    </row>
    <row r="184" spans="1:28" x14ac:dyDescent="0.25">
      <c r="A184">
        <v>183</v>
      </c>
      <c r="B184">
        <v>866824477</v>
      </c>
      <c r="C184" s="7" t="s">
        <v>27</v>
      </c>
      <c r="D184">
        <v>-0.99662300000000004</v>
      </c>
      <c r="E184">
        <v>1.91351</v>
      </c>
      <c r="F184">
        <v>-0.99662300000000004</v>
      </c>
      <c r="G184" s="3">
        <f>firm_data[[#This Row],[production]]-firm_data[[#This Row],[sales]]</f>
        <v>0</v>
      </c>
      <c r="H184">
        <v>0</v>
      </c>
      <c r="I184">
        <v>-0.69452899999999995</v>
      </c>
      <c r="J184">
        <v>2</v>
      </c>
      <c r="K184">
        <v>2</v>
      </c>
      <c r="L184">
        <v>0</v>
      </c>
      <c r="M184">
        <v>5</v>
      </c>
      <c r="N184">
        <v>0</v>
      </c>
      <c r="O184">
        <v>0</v>
      </c>
      <c r="P184">
        <v>0.99990000000000001</v>
      </c>
      <c r="Q184" s="7" t="s">
        <v>28</v>
      </c>
      <c r="R184" s="7" t="s">
        <v>151</v>
      </c>
      <c r="S184">
        <v>0</v>
      </c>
      <c r="T184">
        <v>7.4262499999999996</v>
      </c>
      <c r="U184">
        <v>6.0060099999999998</v>
      </c>
      <c r="V184">
        <v>0.82365200000000005</v>
      </c>
      <c r="W184">
        <v>1.8311200000000001</v>
      </c>
      <c r="X184">
        <v>0.12012</v>
      </c>
      <c r="Y184">
        <v>4</v>
      </c>
      <c r="Z184">
        <v>0.81610000000000005</v>
      </c>
      <c r="AA184">
        <v>50.4542</v>
      </c>
      <c r="AB184">
        <v>7.0658899999999996</v>
      </c>
    </row>
    <row r="185" spans="1:28" x14ac:dyDescent="0.25">
      <c r="A185">
        <v>184</v>
      </c>
      <c r="B185">
        <v>108062707</v>
      </c>
      <c r="C185" s="7" t="s">
        <v>27</v>
      </c>
      <c r="D185">
        <v>-0.17297100000000001</v>
      </c>
      <c r="E185">
        <v>1.91351</v>
      </c>
      <c r="F185">
        <v>-0.17297100000000001</v>
      </c>
      <c r="G185" s="3">
        <f>firm_data[[#This Row],[production]]-firm_data[[#This Row],[sales]]</f>
        <v>0</v>
      </c>
      <c r="H185">
        <v>0</v>
      </c>
      <c r="I185">
        <v>-0.69452899999999995</v>
      </c>
      <c r="J185">
        <v>2</v>
      </c>
      <c r="K185">
        <v>2</v>
      </c>
      <c r="L185">
        <v>0</v>
      </c>
      <c r="M185">
        <v>5</v>
      </c>
      <c r="N185">
        <v>0</v>
      </c>
      <c r="O185">
        <v>0</v>
      </c>
      <c r="P185">
        <v>0.99990000000000001</v>
      </c>
      <c r="Q185" s="7" t="s">
        <v>28</v>
      </c>
      <c r="R185" s="7" t="s">
        <v>151</v>
      </c>
      <c r="S185">
        <v>0</v>
      </c>
      <c r="T185">
        <v>7.3061299999999996</v>
      </c>
      <c r="U185">
        <v>6.0060099999999998</v>
      </c>
      <c r="V185">
        <v>0</v>
      </c>
      <c r="W185">
        <v>1.8311200000000001</v>
      </c>
      <c r="X185">
        <v>0</v>
      </c>
      <c r="Y185">
        <v>4</v>
      </c>
      <c r="Z185">
        <v>0</v>
      </c>
      <c r="AA185">
        <v>50.067999999999998</v>
      </c>
      <c r="AB185">
        <v>7.0658899999999996</v>
      </c>
    </row>
    <row r="186" spans="1:28" x14ac:dyDescent="0.25">
      <c r="A186">
        <v>185</v>
      </c>
      <c r="B186">
        <v>453852245</v>
      </c>
      <c r="C186" s="7" t="s">
        <v>27</v>
      </c>
      <c r="D186">
        <v>-0.17297100000000001</v>
      </c>
      <c r="E186">
        <v>1.91351</v>
      </c>
      <c r="F186">
        <v>-0.17297100000000001</v>
      </c>
      <c r="G186" s="3">
        <f>firm_data[[#This Row],[production]]-firm_data[[#This Row],[sales]]</f>
        <v>0</v>
      </c>
      <c r="H186">
        <v>0</v>
      </c>
      <c r="I186">
        <v>-0.69452899999999995</v>
      </c>
      <c r="J186">
        <v>2</v>
      </c>
      <c r="K186">
        <v>2</v>
      </c>
      <c r="L186">
        <v>0</v>
      </c>
      <c r="M186">
        <v>5</v>
      </c>
      <c r="N186">
        <v>0</v>
      </c>
      <c r="O186">
        <v>0</v>
      </c>
      <c r="P186">
        <v>0.99990000000000001</v>
      </c>
      <c r="Q186" s="7" t="s">
        <v>28</v>
      </c>
      <c r="R186" s="7" t="s">
        <v>151</v>
      </c>
      <c r="S186">
        <v>0</v>
      </c>
      <c r="T186">
        <v>7.1860099999999996</v>
      </c>
      <c r="U186">
        <v>6.0060099999999998</v>
      </c>
      <c r="V186">
        <v>0</v>
      </c>
      <c r="W186">
        <v>1.8311200000000001</v>
      </c>
      <c r="X186">
        <v>0</v>
      </c>
      <c r="Y186">
        <v>4</v>
      </c>
      <c r="Z186">
        <v>0</v>
      </c>
      <c r="AA186">
        <v>49.613199999999999</v>
      </c>
      <c r="AB186">
        <v>7.0658899999999996</v>
      </c>
    </row>
    <row r="187" spans="1:28" x14ac:dyDescent="0.25">
      <c r="A187">
        <v>186</v>
      </c>
      <c r="B187">
        <v>141432107</v>
      </c>
      <c r="C187" s="7" t="s">
        <v>27</v>
      </c>
      <c r="D187">
        <v>-2.5718100000000002</v>
      </c>
      <c r="E187">
        <v>1.91351</v>
      </c>
      <c r="F187">
        <v>-2.5718100000000002</v>
      </c>
      <c r="G187" s="3">
        <f>firm_data[[#This Row],[production]]-firm_data[[#This Row],[sales]]</f>
        <v>0</v>
      </c>
      <c r="H187">
        <v>0</v>
      </c>
      <c r="I187">
        <v>-0.69452899999999995</v>
      </c>
      <c r="J187">
        <v>2</v>
      </c>
      <c r="K187">
        <v>2</v>
      </c>
      <c r="L187">
        <v>0</v>
      </c>
      <c r="M187">
        <v>5</v>
      </c>
      <c r="N187">
        <v>0</v>
      </c>
      <c r="O187">
        <v>0</v>
      </c>
      <c r="P187">
        <v>0.99990000000000001</v>
      </c>
      <c r="Q187" s="7" t="s">
        <v>28</v>
      </c>
      <c r="R187" s="7" t="s">
        <v>151</v>
      </c>
      <c r="S187">
        <v>0</v>
      </c>
      <c r="T187">
        <v>7.4262499999999996</v>
      </c>
      <c r="U187">
        <v>6.0060099999999998</v>
      </c>
      <c r="V187">
        <v>2.3988399999999999</v>
      </c>
      <c r="W187">
        <v>1.8311200000000001</v>
      </c>
      <c r="X187">
        <v>0.36036000000000001</v>
      </c>
      <c r="Y187">
        <v>4</v>
      </c>
      <c r="Z187">
        <v>2.5056400000000001</v>
      </c>
      <c r="AA187">
        <v>51.635800000000003</v>
      </c>
      <c r="AB187">
        <v>7.0658899999999996</v>
      </c>
    </row>
    <row r="188" spans="1:28" x14ac:dyDescent="0.25">
      <c r="A188">
        <v>187</v>
      </c>
      <c r="B188">
        <v>239885474</v>
      </c>
      <c r="C188" s="7" t="s">
        <v>27</v>
      </c>
      <c r="D188">
        <v>-0.974638</v>
      </c>
      <c r="E188">
        <v>1.91351</v>
      </c>
      <c r="F188">
        <v>-0.974638</v>
      </c>
      <c r="G188" s="3">
        <f>firm_data[[#This Row],[production]]-firm_data[[#This Row],[sales]]</f>
        <v>0</v>
      </c>
      <c r="H188">
        <v>0</v>
      </c>
      <c r="I188">
        <v>-0.69452899999999995</v>
      </c>
      <c r="J188">
        <v>2</v>
      </c>
      <c r="K188">
        <v>2</v>
      </c>
      <c r="L188">
        <v>0</v>
      </c>
      <c r="M188">
        <v>5</v>
      </c>
      <c r="N188">
        <v>0</v>
      </c>
      <c r="O188">
        <v>0</v>
      </c>
      <c r="P188">
        <v>0.99990000000000001</v>
      </c>
      <c r="Q188" s="7" t="s">
        <v>28</v>
      </c>
      <c r="R188" s="7" t="s">
        <v>151</v>
      </c>
      <c r="S188">
        <v>0</v>
      </c>
      <c r="T188">
        <v>7.4262499999999996</v>
      </c>
      <c r="U188">
        <v>6.0060099999999998</v>
      </c>
      <c r="V188">
        <v>0.80166800000000005</v>
      </c>
      <c r="W188">
        <v>1.8311200000000001</v>
      </c>
      <c r="X188">
        <v>0.12012</v>
      </c>
      <c r="Y188">
        <v>4</v>
      </c>
      <c r="Z188">
        <v>0.84104800000000002</v>
      </c>
      <c r="AA188">
        <v>51.996600000000001</v>
      </c>
      <c r="AB188">
        <v>7.0658899999999996</v>
      </c>
    </row>
    <row r="189" spans="1:28" x14ac:dyDescent="0.25">
      <c r="A189">
        <v>188</v>
      </c>
      <c r="B189">
        <v>219093766</v>
      </c>
      <c r="C189" s="7" t="s">
        <v>27</v>
      </c>
      <c r="D189">
        <v>-0.17297100000000001</v>
      </c>
      <c r="E189">
        <v>1.91351</v>
      </c>
      <c r="F189">
        <v>-0.17297100000000001</v>
      </c>
      <c r="G189" s="3">
        <f>firm_data[[#This Row],[production]]-firm_data[[#This Row],[sales]]</f>
        <v>0</v>
      </c>
      <c r="H189">
        <v>0</v>
      </c>
      <c r="I189">
        <v>-0.69452899999999995</v>
      </c>
      <c r="J189">
        <v>2</v>
      </c>
      <c r="K189">
        <v>2</v>
      </c>
      <c r="L189">
        <v>0</v>
      </c>
      <c r="M189">
        <v>5</v>
      </c>
      <c r="N189">
        <v>0</v>
      </c>
      <c r="O189">
        <v>0</v>
      </c>
      <c r="P189">
        <v>0.99990000000000001</v>
      </c>
      <c r="Q189" s="7" t="s">
        <v>28</v>
      </c>
      <c r="R189" s="7" t="s">
        <v>151</v>
      </c>
      <c r="S189">
        <v>0</v>
      </c>
      <c r="T189">
        <v>7.3061299999999996</v>
      </c>
      <c r="U189">
        <v>6.0060099999999998</v>
      </c>
      <c r="V189">
        <v>0</v>
      </c>
      <c r="W189">
        <v>1.8311200000000001</v>
      </c>
      <c r="X189">
        <v>0</v>
      </c>
      <c r="Y189">
        <v>4</v>
      </c>
      <c r="Z189">
        <v>0</v>
      </c>
      <c r="AA189">
        <v>51.024099999999997</v>
      </c>
      <c r="AB189">
        <v>7.0658899999999996</v>
      </c>
    </row>
    <row r="190" spans="1:28" x14ac:dyDescent="0.25">
      <c r="A190">
        <v>189</v>
      </c>
      <c r="B190">
        <v>22148652</v>
      </c>
      <c r="C190" s="7" t="s">
        <v>27</v>
      </c>
      <c r="D190">
        <v>-0.17297100000000001</v>
      </c>
      <c r="E190">
        <v>1.91351</v>
      </c>
      <c r="F190">
        <v>-0.17297100000000001</v>
      </c>
      <c r="G190" s="3">
        <f>firm_data[[#This Row],[production]]-firm_data[[#This Row],[sales]]</f>
        <v>0</v>
      </c>
      <c r="H190">
        <v>0</v>
      </c>
      <c r="I190">
        <v>-0.69452899999999995</v>
      </c>
      <c r="J190">
        <v>2</v>
      </c>
      <c r="K190">
        <v>2</v>
      </c>
      <c r="L190">
        <v>0</v>
      </c>
      <c r="M190">
        <v>5</v>
      </c>
      <c r="N190">
        <v>0</v>
      </c>
      <c r="O190">
        <v>0</v>
      </c>
      <c r="P190">
        <v>0.99990000000000001</v>
      </c>
      <c r="Q190" s="7" t="s">
        <v>28</v>
      </c>
      <c r="R190" s="7" t="s">
        <v>151</v>
      </c>
      <c r="S190">
        <v>0</v>
      </c>
      <c r="T190">
        <v>7.1860099999999996</v>
      </c>
      <c r="U190">
        <v>6.0060099999999998</v>
      </c>
      <c r="V190">
        <v>0</v>
      </c>
      <c r="W190">
        <v>1.8311200000000001</v>
      </c>
      <c r="X190">
        <v>0</v>
      </c>
      <c r="Y190">
        <v>4</v>
      </c>
      <c r="Z190">
        <v>0</v>
      </c>
      <c r="AA190">
        <v>50.483600000000003</v>
      </c>
      <c r="AB190">
        <v>7.0658899999999996</v>
      </c>
    </row>
    <row r="191" spans="1:28" x14ac:dyDescent="0.25">
      <c r="A191">
        <v>190</v>
      </c>
      <c r="B191">
        <v>668580760</v>
      </c>
      <c r="C191" s="7" t="s">
        <v>27</v>
      </c>
      <c r="D191">
        <v>-0.17297100000000001</v>
      </c>
      <c r="E191">
        <v>1.91351</v>
      </c>
      <c r="F191">
        <v>-0.17297100000000001</v>
      </c>
      <c r="G191" s="3">
        <f>firm_data[[#This Row],[production]]-firm_data[[#This Row],[sales]]</f>
        <v>0</v>
      </c>
      <c r="H191">
        <v>0</v>
      </c>
      <c r="I191">
        <v>-0.69452899999999995</v>
      </c>
      <c r="J191">
        <v>2</v>
      </c>
      <c r="K191">
        <v>2</v>
      </c>
      <c r="L191">
        <v>0</v>
      </c>
      <c r="M191">
        <v>5</v>
      </c>
      <c r="N191">
        <v>0</v>
      </c>
      <c r="O191">
        <v>0</v>
      </c>
      <c r="P191">
        <v>0.99990000000000001</v>
      </c>
      <c r="Q191" s="7" t="s">
        <v>28</v>
      </c>
      <c r="R191" s="7" t="s">
        <v>151</v>
      </c>
      <c r="S191">
        <v>0</v>
      </c>
      <c r="T191">
        <v>7.0658899999999996</v>
      </c>
      <c r="U191">
        <v>6.0060099999999998</v>
      </c>
      <c r="V191">
        <v>0</v>
      </c>
      <c r="W191">
        <v>1.8311200000000001</v>
      </c>
      <c r="X191">
        <v>0</v>
      </c>
      <c r="Y191">
        <v>4</v>
      </c>
      <c r="Z191">
        <v>0</v>
      </c>
      <c r="AA191">
        <v>50.324100000000001</v>
      </c>
      <c r="AB191">
        <v>7.0658899999999996</v>
      </c>
    </row>
    <row r="192" spans="1:28" x14ac:dyDescent="0.25">
      <c r="A192">
        <v>191</v>
      </c>
      <c r="B192">
        <v>484498776</v>
      </c>
      <c r="C192" s="7" t="s">
        <v>27</v>
      </c>
      <c r="D192">
        <v>-3.6944300000000001</v>
      </c>
      <c r="E192">
        <v>1.91351</v>
      </c>
      <c r="F192">
        <v>-3.6944300000000001</v>
      </c>
      <c r="G192" s="3">
        <f>firm_data[[#This Row],[production]]-firm_data[[#This Row],[sales]]</f>
        <v>0</v>
      </c>
      <c r="H192">
        <v>0</v>
      </c>
      <c r="I192">
        <v>-0.69452899999999995</v>
      </c>
      <c r="J192">
        <v>2</v>
      </c>
      <c r="K192">
        <v>2</v>
      </c>
      <c r="L192">
        <v>0</v>
      </c>
      <c r="M192">
        <v>5</v>
      </c>
      <c r="N192">
        <v>0</v>
      </c>
      <c r="O192">
        <v>0</v>
      </c>
      <c r="P192">
        <v>0.99990000000000001</v>
      </c>
      <c r="Q192" s="7" t="s">
        <v>28</v>
      </c>
      <c r="R192" s="7" t="s">
        <v>151</v>
      </c>
      <c r="S192">
        <v>0</v>
      </c>
      <c r="T192">
        <v>7.4262499999999996</v>
      </c>
      <c r="U192">
        <v>6.0060099999999998</v>
      </c>
      <c r="V192">
        <v>3.5214599999999998</v>
      </c>
      <c r="W192">
        <v>1.8311200000000001</v>
      </c>
      <c r="X192">
        <v>0.48048000000000002</v>
      </c>
      <c r="Y192">
        <v>4</v>
      </c>
      <c r="Z192">
        <v>3.4815900000000002</v>
      </c>
      <c r="AA192">
        <v>53.811</v>
      </c>
      <c r="AB192">
        <v>7.0658899999999996</v>
      </c>
    </row>
    <row r="193" spans="1:28" x14ac:dyDescent="0.25">
      <c r="A193">
        <v>192</v>
      </c>
      <c r="B193">
        <v>106186031</v>
      </c>
      <c r="C193" s="7" t="s">
        <v>27</v>
      </c>
      <c r="D193">
        <v>-0.17297100000000001</v>
      </c>
      <c r="E193">
        <v>1.91351</v>
      </c>
      <c r="F193">
        <v>-0.17297100000000001</v>
      </c>
      <c r="G193" s="3">
        <f>firm_data[[#This Row],[production]]-firm_data[[#This Row],[sales]]</f>
        <v>0</v>
      </c>
      <c r="H193">
        <v>0</v>
      </c>
      <c r="I193">
        <v>-0.69452899999999995</v>
      </c>
      <c r="J193">
        <v>2</v>
      </c>
      <c r="K193">
        <v>2</v>
      </c>
      <c r="L193">
        <v>0</v>
      </c>
      <c r="M193">
        <v>5</v>
      </c>
      <c r="N193">
        <v>0</v>
      </c>
      <c r="O193">
        <v>0</v>
      </c>
      <c r="P193">
        <v>0.99990000000000001</v>
      </c>
      <c r="Q193" s="7" t="s">
        <v>28</v>
      </c>
      <c r="R193" s="7" t="s">
        <v>151</v>
      </c>
      <c r="S193">
        <v>0</v>
      </c>
      <c r="T193">
        <v>7.3061299999999996</v>
      </c>
      <c r="U193">
        <v>6.0060099999999998</v>
      </c>
      <c r="V193">
        <v>0</v>
      </c>
      <c r="W193">
        <v>1.8311200000000001</v>
      </c>
      <c r="X193">
        <v>0</v>
      </c>
      <c r="Y193">
        <v>4</v>
      </c>
      <c r="Z193">
        <v>0</v>
      </c>
      <c r="AA193">
        <v>54.063299999999998</v>
      </c>
      <c r="AB193">
        <v>7.0658899999999996</v>
      </c>
    </row>
    <row r="194" spans="1:28" x14ac:dyDescent="0.25">
      <c r="A194">
        <v>193</v>
      </c>
      <c r="B194">
        <v>121380578</v>
      </c>
      <c r="C194" s="7" t="s">
        <v>27</v>
      </c>
      <c r="D194">
        <v>-0.17297100000000001</v>
      </c>
      <c r="E194">
        <v>1.91351</v>
      </c>
      <c r="F194">
        <v>-0.17297100000000001</v>
      </c>
      <c r="G194" s="3">
        <f>firm_data[[#This Row],[production]]-firm_data[[#This Row],[sales]]</f>
        <v>0</v>
      </c>
      <c r="H194">
        <v>0</v>
      </c>
      <c r="I194">
        <v>-0.69452899999999995</v>
      </c>
      <c r="J194">
        <v>2</v>
      </c>
      <c r="K194">
        <v>2</v>
      </c>
      <c r="L194">
        <v>0</v>
      </c>
      <c r="M194">
        <v>5</v>
      </c>
      <c r="N194">
        <v>0</v>
      </c>
      <c r="O194">
        <v>0</v>
      </c>
      <c r="P194">
        <v>0.99990000000000001</v>
      </c>
      <c r="Q194" s="7" t="s">
        <v>28</v>
      </c>
      <c r="R194" s="7" t="s">
        <v>151</v>
      </c>
      <c r="S194">
        <v>0</v>
      </c>
      <c r="T194">
        <v>7.1860099999999996</v>
      </c>
      <c r="U194">
        <v>6.0060099999999998</v>
      </c>
      <c r="V194">
        <v>0</v>
      </c>
      <c r="W194">
        <v>1.8311200000000001</v>
      </c>
      <c r="X194">
        <v>0</v>
      </c>
      <c r="Y194">
        <v>4</v>
      </c>
      <c r="Z194">
        <v>0</v>
      </c>
      <c r="AA194">
        <v>54.342100000000002</v>
      </c>
      <c r="AB194">
        <v>7.0658899999999996</v>
      </c>
    </row>
    <row r="195" spans="1:28" x14ac:dyDescent="0.25">
      <c r="A195">
        <v>194</v>
      </c>
      <c r="B195">
        <v>109606916</v>
      </c>
      <c r="C195" s="7" t="s">
        <v>27</v>
      </c>
      <c r="D195">
        <v>-0.17297100000000001</v>
      </c>
      <c r="E195">
        <v>1.91351</v>
      </c>
      <c r="F195">
        <v>-0.17297100000000001</v>
      </c>
      <c r="G195" s="3">
        <f>firm_data[[#This Row],[production]]-firm_data[[#This Row],[sales]]</f>
        <v>0</v>
      </c>
      <c r="H195">
        <v>0</v>
      </c>
      <c r="I195">
        <v>-0.69452899999999995</v>
      </c>
      <c r="J195">
        <v>2</v>
      </c>
      <c r="K195">
        <v>2</v>
      </c>
      <c r="L195">
        <v>0</v>
      </c>
      <c r="M195">
        <v>5</v>
      </c>
      <c r="N195">
        <v>0</v>
      </c>
      <c r="O195">
        <v>0</v>
      </c>
      <c r="P195">
        <v>0.99990000000000001</v>
      </c>
      <c r="Q195" s="7" t="s">
        <v>28</v>
      </c>
      <c r="R195" s="7" t="s">
        <v>151</v>
      </c>
      <c r="S195">
        <v>0</v>
      </c>
      <c r="T195">
        <v>7.0658899999999996</v>
      </c>
      <c r="U195">
        <v>6.0060099999999998</v>
      </c>
      <c r="V195">
        <v>0</v>
      </c>
      <c r="W195">
        <v>1.8311200000000001</v>
      </c>
      <c r="X195">
        <v>0.36036000000000001</v>
      </c>
      <c r="Y195">
        <v>4</v>
      </c>
      <c r="Z195">
        <v>2.7564500000000001</v>
      </c>
      <c r="AA195">
        <v>54.048000000000002</v>
      </c>
      <c r="AB195">
        <v>7.0658899999999996</v>
      </c>
    </row>
    <row r="196" spans="1:28" x14ac:dyDescent="0.25">
      <c r="A196">
        <v>195</v>
      </c>
      <c r="B196">
        <v>499275632</v>
      </c>
      <c r="C196" s="7" t="s">
        <v>27</v>
      </c>
      <c r="D196">
        <v>-4.0319900000000004</v>
      </c>
      <c r="E196">
        <v>1.91351</v>
      </c>
      <c r="F196">
        <v>-4.0319900000000004</v>
      </c>
      <c r="G196" s="3">
        <f>firm_data[[#This Row],[production]]-firm_data[[#This Row],[sales]]</f>
        <v>0</v>
      </c>
      <c r="H196">
        <v>0</v>
      </c>
      <c r="I196">
        <v>-0.69452899999999995</v>
      </c>
      <c r="J196">
        <v>2</v>
      </c>
      <c r="K196">
        <v>2</v>
      </c>
      <c r="L196">
        <v>0</v>
      </c>
      <c r="M196">
        <v>5</v>
      </c>
      <c r="N196">
        <v>0</v>
      </c>
      <c r="O196">
        <v>0</v>
      </c>
      <c r="P196">
        <v>0.99990000000000001</v>
      </c>
      <c r="Q196" s="7" t="s">
        <v>28</v>
      </c>
      <c r="R196" s="7" t="s">
        <v>151</v>
      </c>
      <c r="S196">
        <v>0</v>
      </c>
      <c r="T196">
        <v>7.4262499999999996</v>
      </c>
      <c r="U196">
        <v>6.0060099999999998</v>
      </c>
      <c r="V196">
        <v>3.8590200000000001</v>
      </c>
      <c r="W196">
        <v>1.8311200000000001</v>
      </c>
      <c r="X196">
        <v>0.48048000000000002</v>
      </c>
      <c r="Y196">
        <v>4</v>
      </c>
      <c r="Z196">
        <v>3.7086700000000001</v>
      </c>
      <c r="AA196">
        <v>57.320799999999998</v>
      </c>
      <c r="AB196">
        <v>7.0658899999999996</v>
      </c>
    </row>
    <row r="197" spans="1:28" x14ac:dyDescent="0.25">
      <c r="A197">
        <v>196</v>
      </c>
      <c r="B197">
        <v>867913190</v>
      </c>
      <c r="C197" s="7" t="s">
        <v>27</v>
      </c>
      <c r="D197">
        <v>-0.17297100000000001</v>
      </c>
      <c r="E197">
        <v>1.91351</v>
      </c>
      <c r="F197">
        <v>-0.17297100000000001</v>
      </c>
      <c r="G197" s="3">
        <f>firm_data[[#This Row],[production]]-firm_data[[#This Row],[sales]]</f>
        <v>0</v>
      </c>
      <c r="H197">
        <v>0</v>
      </c>
      <c r="I197">
        <v>-0.69452899999999995</v>
      </c>
      <c r="J197">
        <v>2</v>
      </c>
      <c r="K197">
        <v>2</v>
      </c>
      <c r="L197">
        <v>0</v>
      </c>
      <c r="M197">
        <v>5</v>
      </c>
      <c r="N197">
        <v>0</v>
      </c>
      <c r="O197">
        <v>0</v>
      </c>
      <c r="P197">
        <v>0.99990000000000001</v>
      </c>
      <c r="Q197" s="7" t="s">
        <v>28</v>
      </c>
      <c r="R197" s="7" t="s">
        <v>151</v>
      </c>
      <c r="S197">
        <v>0</v>
      </c>
      <c r="T197">
        <v>7.3061299999999996</v>
      </c>
      <c r="U197">
        <v>6.0060099999999998</v>
      </c>
      <c r="V197">
        <v>0</v>
      </c>
      <c r="W197">
        <v>1.8311200000000001</v>
      </c>
      <c r="X197">
        <v>0</v>
      </c>
      <c r="Y197">
        <v>4</v>
      </c>
      <c r="Z197">
        <v>0</v>
      </c>
      <c r="AA197">
        <v>57.305199999999999</v>
      </c>
      <c r="AB197">
        <v>7.0658899999999996</v>
      </c>
    </row>
    <row r="198" spans="1:28" x14ac:dyDescent="0.25">
      <c r="A198">
        <v>197</v>
      </c>
      <c r="B198">
        <v>389082205</v>
      </c>
      <c r="C198" s="7" t="s">
        <v>27</v>
      </c>
      <c r="D198">
        <v>-0.17297100000000001</v>
      </c>
      <c r="E198">
        <v>1.91351</v>
      </c>
      <c r="F198">
        <v>-0.17297100000000001</v>
      </c>
      <c r="G198" s="3">
        <f>firm_data[[#This Row],[production]]-firm_data[[#This Row],[sales]]</f>
        <v>0</v>
      </c>
      <c r="H198">
        <v>0</v>
      </c>
      <c r="I198">
        <v>-0.69452899999999995</v>
      </c>
      <c r="J198">
        <v>2</v>
      </c>
      <c r="K198">
        <v>2</v>
      </c>
      <c r="L198">
        <v>0</v>
      </c>
      <c r="M198">
        <v>5</v>
      </c>
      <c r="N198">
        <v>0</v>
      </c>
      <c r="O198">
        <v>0</v>
      </c>
      <c r="P198">
        <v>0.99990000000000001</v>
      </c>
      <c r="Q198" s="7" t="s">
        <v>28</v>
      </c>
      <c r="R198" s="7" t="s">
        <v>151</v>
      </c>
      <c r="S198">
        <v>0</v>
      </c>
      <c r="T198">
        <v>7.1860099999999996</v>
      </c>
      <c r="U198">
        <v>6.0060099999999998</v>
      </c>
      <c r="V198">
        <v>0</v>
      </c>
      <c r="W198">
        <v>1.8311200000000001</v>
      </c>
      <c r="X198">
        <v>0</v>
      </c>
      <c r="Y198">
        <v>4</v>
      </c>
      <c r="Z198">
        <v>0</v>
      </c>
      <c r="AA198">
        <v>57.095100000000002</v>
      </c>
      <c r="AB198">
        <v>7.0658899999999996</v>
      </c>
    </row>
    <row r="199" spans="1:28" x14ac:dyDescent="0.25">
      <c r="A199">
        <v>198</v>
      </c>
      <c r="B199">
        <v>700879034</v>
      </c>
      <c r="C199" s="7" t="s">
        <v>27</v>
      </c>
      <c r="D199">
        <v>-0.17297100000000001</v>
      </c>
      <c r="E199">
        <v>1.91351</v>
      </c>
      <c r="F199">
        <v>-0.17297100000000001</v>
      </c>
      <c r="G199" s="3">
        <f>firm_data[[#This Row],[production]]-firm_data[[#This Row],[sales]]</f>
        <v>0</v>
      </c>
      <c r="H199">
        <v>0</v>
      </c>
      <c r="I199">
        <v>-0.69452899999999995</v>
      </c>
      <c r="J199">
        <v>2</v>
      </c>
      <c r="K199">
        <v>2</v>
      </c>
      <c r="L199">
        <v>0</v>
      </c>
      <c r="M199">
        <v>5</v>
      </c>
      <c r="N199">
        <v>0</v>
      </c>
      <c r="O199">
        <v>0</v>
      </c>
      <c r="P199">
        <v>0.99990000000000001</v>
      </c>
      <c r="Q199" s="7" t="s">
        <v>28</v>
      </c>
      <c r="R199" s="7" t="s">
        <v>151</v>
      </c>
      <c r="S199">
        <v>0</v>
      </c>
      <c r="T199">
        <v>7.0658899999999996</v>
      </c>
      <c r="U199">
        <v>6.0060099999999998</v>
      </c>
      <c r="V199">
        <v>0</v>
      </c>
      <c r="W199">
        <v>1.8311200000000001</v>
      </c>
      <c r="X199">
        <v>0</v>
      </c>
      <c r="Y199">
        <v>4</v>
      </c>
      <c r="Z199">
        <v>0</v>
      </c>
      <c r="AA199">
        <v>56.978900000000003</v>
      </c>
      <c r="AB199">
        <v>7.0658899999999996</v>
      </c>
    </row>
    <row r="200" spans="1:28" x14ac:dyDescent="0.25">
      <c r="A200">
        <v>199</v>
      </c>
      <c r="B200">
        <v>10669007</v>
      </c>
      <c r="C200" s="7" t="s">
        <v>27</v>
      </c>
      <c r="D200">
        <v>-0.17297100000000001</v>
      </c>
      <c r="E200">
        <v>1.91351</v>
      </c>
      <c r="F200">
        <v>-0.17297100000000001</v>
      </c>
      <c r="G200" s="3">
        <f>firm_data[[#This Row],[production]]-firm_data[[#This Row],[sales]]</f>
        <v>0</v>
      </c>
      <c r="H200">
        <v>0</v>
      </c>
      <c r="I200">
        <v>-0.69452899999999995</v>
      </c>
      <c r="J200">
        <v>2</v>
      </c>
      <c r="K200">
        <v>2</v>
      </c>
      <c r="L200">
        <v>0</v>
      </c>
      <c r="M200">
        <v>5</v>
      </c>
      <c r="N200">
        <v>0</v>
      </c>
      <c r="O200">
        <v>0</v>
      </c>
      <c r="P200">
        <v>0.99990000000000001</v>
      </c>
      <c r="Q200" s="7" t="s">
        <v>28</v>
      </c>
      <c r="R200" s="7" t="s">
        <v>151</v>
      </c>
      <c r="S200">
        <v>0</v>
      </c>
      <c r="T200">
        <v>6.9457700000000004</v>
      </c>
      <c r="U200">
        <v>6.0060099999999998</v>
      </c>
      <c r="V200">
        <v>0</v>
      </c>
      <c r="W200">
        <v>1.8311200000000001</v>
      </c>
      <c r="X200">
        <v>0</v>
      </c>
      <c r="Y200">
        <v>4</v>
      </c>
      <c r="Z200">
        <v>0</v>
      </c>
      <c r="AA200">
        <v>56.666899999999998</v>
      </c>
      <c r="AB200">
        <v>7.0658899999999996</v>
      </c>
    </row>
    <row r="201" spans="1:28" x14ac:dyDescent="0.25">
      <c r="A201">
        <v>200</v>
      </c>
      <c r="B201">
        <v>283859287</v>
      </c>
      <c r="C201" s="7" t="s">
        <v>27</v>
      </c>
      <c r="D201">
        <v>-5.0360100000000001</v>
      </c>
      <c r="E201">
        <v>1.91351</v>
      </c>
      <c r="F201">
        <v>-5.0360100000000001</v>
      </c>
      <c r="G201" s="3">
        <f>firm_data[[#This Row],[production]]-firm_data[[#This Row],[sales]]</f>
        <v>0</v>
      </c>
      <c r="H201">
        <v>0</v>
      </c>
      <c r="I201">
        <v>-0.69452899999999995</v>
      </c>
      <c r="J201">
        <v>2</v>
      </c>
      <c r="K201">
        <v>2</v>
      </c>
      <c r="L201">
        <v>0</v>
      </c>
      <c r="M201">
        <v>5</v>
      </c>
      <c r="N201">
        <v>0</v>
      </c>
      <c r="O201">
        <v>0</v>
      </c>
      <c r="P201">
        <v>0.99990000000000001</v>
      </c>
      <c r="Q201" s="7" t="s">
        <v>28</v>
      </c>
      <c r="R201" s="7" t="s">
        <v>151</v>
      </c>
      <c r="S201">
        <v>0</v>
      </c>
      <c r="T201">
        <v>7.4262499999999996</v>
      </c>
      <c r="U201">
        <v>6.0060099999999998</v>
      </c>
      <c r="V201">
        <v>4.8630399999999998</v>
      </c>
      <c r="W201">
        <v>1.8311200000000001</v>
      </c>
      <c r="X201">
        <v>0.60060100000000005</v>
      </c>
      <c r="Y201">
        <v>4</v>
      </c>
      <c r="Z201">
        <v>4.8787200000000004</v>
      </c>
      <c r="AA201">
        <v>60.323900000000002</v>
      </c>
      <c r="AB201">
        <v>7.0658899999999996</v>
      </c>
    </row>
    <row r="202" spans="1:28" x14ac:dyDescent="0.25">
      <c r="A202">
        <v>201</v>
      </c>
      <c r="B202">
        <v>602695052</v>
      </c>
      <c r="C202" s="7" t="s">
        <v>27</v>
      </c>
      <c r="D202">
        <v>-0.17297100000000001</v>
      </c>
      <c r="E202">
        <v>1.91351</v>
      </c>
      <c r="F202">
        <v>-0.17297100000000001</v>
      </c>
      <c r="G202" s="3">
        <f>firm_data[[#This Row],[production]]-firm_data[[#This Row],[sales]]</f>
        <v>0</v>
      </c>
      <c r="H202">
        <v>0</v>
      </c>
      <c r="I202">
        <v>-0.69452899999999995</v>
      </c>
      <c r="J202">
        <v>2</v>
      </c>
      <c r="K202">
        <v>2</v>
      </c>
      <c r="L202">
        <v>0</v>
      </c>
      <c r="M202">
        <v>5</v>
      </c>
      <c r="N202">
        <v>0</v>
      </c>
      <c r="O202">
        <v>0</v>
      </c>
      <c r="P202">
        <v>0.99990000000000001</v>
      </c>
      <c r="Q202" s="7" t="s">
        <v>28</v>
      </c>
      <c r="R202" s="7" t="s">
        <v>151</v>
      </c>
      <c r="S202">
        <v>0</v>
      </c>
      <c r="T202">
        <v>7.3061299999999996</v>
      </c>
      <c r="U202">
        <v>6.0060099999999998</v>
      </c>
      <c r="V202">
        <v>0</v>
      </c>
      <c r="W202">
        <v>1.8311200000000001</v>
      </c>
      <c r="X202">
        <v>0</v>
      </c>
      <c r="Y202">
        <v>4</v>
      </c>
      <c r="Z202">
        <v>0</v>
      </c>
      <c r="AA202">
        <v>59.470799999999997</v>
      </c>
      <c r="AB202">
        <v>7.0658899999999996</v>
      </c>
    </row>
    <row r="203" spans="1:28" x14ac:dyDescent="0.25">
      <c r="A203">
        <v>202</v>
      </c>
      <c r="B203">
        <v>705804787</v>
      </c>
      <c r="C203" s="7" t="s">
        <v>27</v>
      </c>
      <c r="D203">
        <v>-0.17297100000000001</v>
      </c>
      <c r="E203">
        <v>1.91351</v>
      </c>
      <c r="F203">
        <v>-0.17297100000000001</v>
      </c>
      <c r="G203" s="3">
        <f>firm_data[[#This Row],[production]]-firm_data[[#This Row],[sales]]</f>
        <v>0</v>
      </c>
      <c r="H203">
        <v>0</v>
      </c>
      <c r="I203">
        <v>-0.69452899999999995</v>
      </c>
      <c r="J203">
        <v>2</v>
      </c>
      <c r="K203">
        <v>2</v>
      </c>
      <c r="L203">
        <v>0</v>
      </c>
      <c r="M203">
        <v>5</v>
      </c>
      <c r="N203">
        <v>0</v>
      </c>
      <c r="O203">
        <v>0</v>
      </c>
      <c r="P203">
        <v>0.99990000000000001</v>
      </c>
      <c r="Q203" s="7" t="s">
        <v>28</v>
      </c>
      <c r="R203" s="7" t="s">
        <v>151</v>
      </c>
      <c r="S203">
        <v>0</v>
      </c>
      <c r="T203">
        <v>7.1860099999999996</v>
      </c>
      <c r="U203">
        <v>6.0060099999999998</v>
      </c>
      <c r="V203">
        <v>0</v>
      </c>
      <c r="W203">
        <v>1.8311200000000001</v>
      </c>
      <c r="X203">
        <v>0</v>
      </c>
      <c r="Y203">
        <v>4</v>
      </c>
      <c r="Z203">
        <v>0</v>
      </c>
      <c r="AA203">
        <v>58.746099999999998</v>
      </c>
      <c r="AB203">
        <v>7.0658899999999996</v>
      </c>
    </row>
    <row r="204" spans="1:28" x14ac:dyDescent="0.25">
      <c r="A204">
        <v>203</v>
      </c>
      <c r="B204">
        <v>166894322</v>
      </c>
      <c r="C204" s="7" t="s">
        <v>27</v>
      </c>
      <c r="D204">
        <v>-0.17297100000000001</v>
      </c>
      <c r="E204">
        <v>1.91351</v>
      </c>
      <c r="F204">
        <v>-0.17297100000000001</v>
      </c>
      <c r="G204" s="3">
        <f>firm_data[[#This Row],[production]]-firm_data[[#This Row],[sales]]</f>
        <v>0</v>
      </c>
      <c r="H204">
        <v>0</v>
      </c>
      <c r="I204">
        <v>-0.69452899999999995</v>
      </c>
      <c r="J204">
        <v>2</v>
      </c>
      <c r="K204">
        <v>2</v>
      </c>
      <c r="L204">
        <v>0</v>
      </c>
      <c r="M204">
        <v>5</v>
      </c>
      <c r="N204">
        <v>0</v>
      </c>
      <c r="O204">
        <v>0</v>
      </c>
      <c r="P204">
        <v>0.99990000000000001</v>
      </c>
      <c r="Q204" s="7" t="s">
        <v>28</v>
      </c>
      <c r="R204" s="7" t="s">
        <v>151</v>
      </c>
      <c r="S204">
        <v>0</v>
      </c>
      <c r="T204">
        <v>7.0658899999999996</v>
      </c>
      <c r="U204">
        <v>6.0060099999999998</v>
      </c>
      <c r="V204">
        <v>0</v>
      </c>
      <c r="W204">
        <v>1.8311200000000001</v>
      </c>
      <c r="X204">
        <v>0</v>
      </c>
      <c r="Y204">
        <v>4</v>
      </c>
      <c r="Z204">
        <v>0</v>
      </c>
      <c r="AA204">
        <v>58.177999999999997</v>
      </c>
      <c r="AB204">
        <v>7.0658899999999996</v>
      </c>
    </row>
    <row r="205" spans="1:28" x14ac:dyDescent="0.25">
      <c r="A205">
        <v>204</v>
      </c>
      <c r="B205">
        <v>202862963</v>
      </c>
      <c r="C205" s="7" t="s">
        <v>27</v>
      </c>
      <c r="D205">
        <v>-0.17297100000000001</v>
      </c>
      <c r="E205">
        <v>1.91351</v>
      </c>
      <c r="F205">
        <v>-0.17297100000000001</v>
      </c>
      <c r="G205" s="3">
        <f>firm_data[[#This Row],[production]]-firm_data[[#This Row],[sales]]</f>
        <v>0</v>
      </c>
      <c r="H205">
        <v>0</v>
      </c>
      <c r="I205">
        <v>-0.69452899999999995</v>
      </c>
      <c r="J205">
        <v>2</v>
      </c>
      <c r="K205">
        <v>2</v>
      </c>
      <c r="L205">
        <v>0</v>
      </c>
      <c r="M205">
        <v>5</v>
      </c>
      <c r="N205">
        <v>0</v>
      </c>
      <c r="O205">
        <v>0</v>
      </c>
      <c r="P205">
        <v>0.99990000000000001</v>
      </c>
      <c r="Q205" s="7" t="s">
        <v>28</v>
      </c>
      <c r="R205" s="7" t="s">
        <v>151</v>
      </c>
      <c r="S205">
        <v>0</v>
      </c>
      <c r="T205">
        <v>6.9457700000000004</v>
      </c>
      <c r="U205">
        <v>6.0060099999999998</v>
      </c>
      <c r="V205">
        <v>0</v>
      </c>
      <c r="W205">
        <v>1.8311200000000001</v>
      </c>
      <c r="X205">
        <v>0</v>
      </c>
      <c r="Y205">
        <v>4</v>
      </c>
      <c r="Z205">
        <v>0</v>
      </c>
      <c r="AA205">
        <v>57.670499999999997</v>
      </c>
      <c r="AB205">
        <v>7.0658899999999996</v>
      </c>
    </row>
    <row r="206" spans="1:28" x14ac:dyDescent="0.25">
      <c r="A206">
        <v>205</v>
      </c>
      <c r="B206">
        <v>233947586</v>
      </c>
      <c r="C206" s="7" t="s">
        <v>27</v>
      </c>
      <c r="D206">
        <v>-0.17297100000000001</v>
      </c>
      <c r="E206">
        <v>1.91351</v>
      </c>
      <c r="F206">
        <v>-0.17297100000000001</v>
      </c>
      <c r="G206" s="3">
        <f>firm_data[[#This Row],[production]]-firm_data[[#This Row],[sales]]</f>
        <v>0</v>
      </c>
      <c r="H206">
        <v>0</v>
      </c>
      <c r="I206">
        <v>-0.69452899999999995</v>
      </c>
      <c r="J206">
        <v>2</v>
      </c>
      <c r="K206">
        <v>2</v>
      </c>
      <c r="L206">
        <v>0</v>
      </c>
      <c r="M206">
        <v>5</v>
      </c>
      <c r="N206">
        <v>0</v>
      </c>
      <c r="O206">
        <v>0</v>
      </c>
      <c r="P206">
        <v>0.99990000000000001</v>
      </c>
      <c r="Q206" s="7" t="s">
        <v>28</v>
      </c>
      <c r="R206" s="7" t="s">
        <v>151</v>
      </c>
      <c r="S206">
        <v>0</v>
      </c>
      <c r="T206">
        <v>6.8256500000000004</v>
      </c>
      <c r="U206">
        <v>6.0060099999999998</v>
      </c>
      <c r="V206">
        <v>0</v>
      </c>
      <c r="W206">
        <v>1.8311200000000001</v>
      </c>
      <c r="X206">
        <v>0</v>
      </c>
      <c r="Y206">
        <v>4</v>
      </c>
      <c r="Z206">
        <v>0</v>
      </c>
      <c r="AA206">
        <v>56.859299999999998</v>
      </c>
      <c r="AB206">
        <v>7.0658899999999996</v>
      </c>
    </row>
    <row r="207" spans="1:28" x14ac:dyDescent="0.25">
      <c r="A207">
        <v>206</v>
      </c>
      <c r="B207">
        <v>188059232</v>
      </c>
      <c r="C207" s="7" t="s">
        <v>27</v>
      </c>
      <c r="D207">
        <v>-0.17297100000000001</v>
      </c>
      <c r="E207">
        <v>1.91351</v>
      </c>
      <c r="F207">
        <v>-0.17297100000000001</v>
      </c>
      <c r="G207" s="3">
        <f>firm_data[[#This Row],[production]]-firm_data[[#This Row],[sales]]</f>
        <v>0</v>
      </c>
      <c r="H207">
        <v>0</v>
      </c>
      <c r="I207">
        <v>-0.69452899999999995</v>
      </c>
      <c r="J207">
        <v>2</v>
      </c>
      <c r="K207">
        <v>2</v>
      </c>
      <c r="L207">
        <v>0</v>
      </c>
      <c r="M207">
        <v>5</v>
      </c>
      <c r="N207">
        <v>0</v>
      </c>
      <c r="O207">
        <v>0</v>
      </c>
      <c r="P207">
        <v>0.99990000000000001</v>
      </c>
      <c r="Q207" s="7" t="s">
        <v>28</v>
      </c>
      <c r="R207" s="7" t="s">
        <v>151</v>
      </c>
      <c r="S207">
        <v>0</v>
      </c>
      <c r="T207">
        <v>6.7055300000000004</v>
      </c>
      <c r="U207">
        <v>6.0060099999999998</v>
      </c>
      <c r="V207">
        <v>0</v>
      </c>
      <c r="W207">
        <v>1.8311200000000001</v>
      </c>
      <c r="X207">
        <v>0</v>
      </c>
      <c r="Y207">
        <v>4</v>
      </c>
      <c r="Z207">
        <v>0</v>
      </c>
      <c r="AA207">
        <v>55.414099999999998</v>
      </c>
      <c r="AB207">
        <v>7.0658899999999996</v>
      </c>
    </row>
    <row r="208" spans="1:28" x14ac:dyDescent="0.25">
      <c r="A208">
        <v>207</v>
      </c>
      <c r="B208">
        <v>300876871</v>
      </c>
      <c r="C208" s="7" t="s">
        <v>27</v>
      </c>
      <c r="D208">
        <v>-0.17297100000000001</v>
      </c>
      <c r="E208">
        <v>1.91351</v>
      </c>
      <c r="F208">
        <v>-0.17297100000000001</v>
      </c>
      <c r="G208" s="3">
        <f>firm_data[[#This Row],[production]]-firm_data[[#This Row],[sales]]</f>
        <v>0</v>
      </c>
      <c r="H208">
        <v>0</v>
      </c>
      <c r="I208">
        <v>-0.69452899999999995</v>
      </c>
      <c r="J208">
        <v>2</v>
      </c>
      <c r="K208">
        <v>2</v>
      </c>
      <c r="L208">
        <v>0</v>
      </c>
      <c r="M208">
        <v>5</v>
      </c>
      <c r="N208">
        <v>0</v>
      </c>
      <c r="O208">
        <v>0</v>
      </c>
      <c r="P208">
        <v>0.99990000000000001</v>
      </c>
      <c r="Q208" s="7" t="s">
        <v>28</v>
      </c>
      <c r="R208" s="7" t="s">
        <v>151</v>
      </c>
      <c r="S208">
        <v>0</v>
      </c>
      <c r="T208">
        <v>6.5854100000000004</v>
      </c>
      <c r="U208">
        <v>6.0060099999999998</v>
      </c>
      <c r="V208">
        <v>0</v>
      </c>
      <c r="W208">
        <v>1.8311200000000001</v>
      </c>
      <c r="X208">
        <v>0</v>
      </c>
      <c r="Y208">
        <v>4</v>
      </c>
      <c r="Z208">
        <v>0</v>
      </c>
      <c r="AA208">
        <v>54.872500000000002</v>
      </c>
      <c r="AB208">
        <v>7.0658899999999996</v>
      </c>
    </row>
    <row r="209" spans="1:28" x14ac:dyDescent="0.25">
      <c r="A209">
        <v>208</v>
      </c>
      <c r="B209">
        <v>2658098</v>
      </c>
      <c r="C209" s="7" t="s">
        <v>27</v>
      </c>
      <c r="D209">
        <v>-0.17297100000000001</v>
      </c>
      <c r="E209">
        <v>1.91351</v>
      </c>
      <c r="F209">
        <v>-0.17297100000000001</v>
      </c>
      <c r="G209" s="3">
        <f>firm_data[[#This Row],[production]]-firm_data[[#This Row],[sales]]</f>
        <v>0</v>
      </c>
      <c r="H209">
        <v>0</v>
      </c>
      <c r="I209">
        <v>-0.69452899999999995</v>
      </c>
      <c r="J209">
        <v>2</v>
      </c>
      <c r="K209">
        <v>2</v>
      </c>
      <c r="L209">
        <v>0</v>
      </c>
      <c r="M209">
        <v>5</v>
      </c>
      <c r="N209">
        <v>0</v>
      </c>
      <c r="O209">
        <v>0</v>
      </c>
      <c r="P209">
        <v>0.99990000000000001</v>
      </c>
      <c r="Q209" s="7" t="s">
        <v>28</v>
      </c>
      <c r="R209" s="7" t="s">
        <v>151</v>
      </c>
      <c r="S209">
        <v>0</v>
      </c>
      <c r="T209">
        <v>6.4652900000000004</v>
      </c>
      <c r="U209">
        <v>6.0060099999999998</v>
      </c>
      <c r="V209">
        <v>0</v>
      </c>
      <c r="W209">
        <v>1.8311200000000001</v>
      </c>
      <c r="X209">
        <v>0</v>
      </c>
      <c r="Y209">
        <v>4</v>
      </c>
      <c r="Z209">
        <v>0</v>
      </c>
      <c r="AA209">
        <v>54.0745</v>
      </c>
      <c r="AB209">
        <v>7.0658899999999996</v>
      </c>
    </row>
    <row r="210" spans="1:28" x14ac:dyDescent="0.25">
      <c r="A210">
        <v>209</v>
      </c>
      <c r="B210">
        <v>298387604</v>
      </c>
      <c r="C210" s="7" t="s">
        <v>27</v>
      </c>
      <c r="D210">
        <v>-0.17297100000000001</v>
      </c>
      <c r="E210">
        <v>1.91351</v>
      </c>
      <c r="F210">
        <v>-0.17297100000000001</v>
      </c>
      <c r="G210" s="3">
        <f>firm_data[[#This Row],[production]]-firm_data[[#This Row],[sales]]</f>
        <v>0</v>
      </c>
      <c r="H210">
        <v>0</v>
      </c>
      <c r="I210">
        <v>-0.69452899999999995</v>
      </c>
      <c r="J210">
        <v>2</v>
      </c>
      <c r="K210">
        <v>2</v>
      </c>
      <c r="L210">
        <v>0</v>
      </c>
      <c r="M210">
        <v>5</v>
      </c>
      <c r="N210">
        <v>0</v>
      </c>
      <c r="O210">
        <v>0</v>
      </c>
      <c r="P210">
        <v>0.99990000000000001</v>
      </c>
      <c r="Q210" s="7" t="s">
        <v>28</v>
      </c>
      <c r="R210" s="7" t="s">
        <v>151</v>
      </c>
      <c r="S210">
        <v>0</v>
      </c>
      <c r="T210">
        <v>6.3451700000000004</v>
      </c>
      <c r="U210">
        <v>6.0060099999999998</v>
      </c>
      <c r="V210">
        <v>0</v>
      </c>
      <c r="W210">
        <v>1.8311200000000001</v>
      </c>
      <c r="X210">
        <v>1.08108</v>
      </c>
      <c r="Y210">
        <v>4</v>
      </c>
      <c r="Z210">
        <v>9.1524300000000007</v>
      </c>
      <c r="AA210">
        <v>53.718200000000003</v>
      </c>
      <c r="AB210">
        <v>7.0658899999999996</v>
      </c>
    </row>
    <row r="211" spans="1:28" x14ac:dyDescent="0.25">
      <c r="A211">
        <v>210</v>
      </c>
      <c r="B211">
        <v>607947311</v>
      </c>
      <c r="C211" s="7" t="s">
        <v>27</v>
      </c>
      <c r="D211">
        <v>-0.17297100000000001</v>
      </c>
      <c r="E211">
        <v>1.91351</v>
      </c>
      <c r="F211">
        <v>-0.17297100000000001</v>
      </c>
      <c r="G211" s="3">
        <f>firm_data[[#This Row],[production]]-firm_data[[#This Row],[sales]]</f>
        <v>0</v>
      </c>
      <c r="H211">
        <v>0</v>
      </c>
      <c r="I211">
        <v>-0.69452899999999995</v>
      </c>
      <c r="J211">
        <v>2</v>
      </c>
      <c r="K211">
        <v>2</v>
      </c>
      <c r="L211">
        <v>0</v>
      </c>
      <c r="M211">
        <v>5</v>
      </c>
      <c r="N211">
        <v>0</v>
      </c>
      <c r="O211">
        <v>0</v>
      </c>
      <c r="P211">
        <v>0.99990000000000001</v>
      </c>
      <c r="Q211" s="7" t="s">
        <v>28</v>
      </c>
      <c r="R211" s="7" t="s">
        <v>151</v>
      </c>
      <c r="S211">
        <v>0</v>
      </c>
      <c r="T211">
        <v>6.2250500000000004</v>
      </c>
      <c r="U211">
        <v>6.0060099999999998</v>
      </c>
      <c r="V211">
        <v>0</v>
      </c>
      <c r="W211">
        <v>1.8311200000000001</v>
      </c>
      <c r="X211">
        <v>0</v>
      </c>
      <c r="Y211">
        <v>4</v>
      </c>
      <c r="Z211">
        <v>0</v>
      </c>
      <c r="AA211">
        <v>52.914999999999999</v>
      </c>
      <c r="AB211">
        <v>7.0658899999999996</v>
      </c>
    </row>
    <row r="212" spans="1:28" x14ac:dyDescent="0.25">
      <c r="A212">
        <v>211</v>
      </c>
      <c r="B212">
        <v>889364532</v>
      </c>
      <c r="C212" s="7" t="s">
        <v>27</v>
      </c>
      <c r="D212">
        <v>-0.17297100000000001</v>
      </c>
      <c r="E212">
        <v>1.91351</v>
      </c>
      <c r="F212">
        <v>-0.17297100000000001</v>
      </c>
      <c r="G212" s="3">
        <f>firm_data[[#This Row],[production]]-firm_data[[#This Row],[sales]]</f>
        <v>0</v>
      </c>
      <c r="H212">
        <v>0</v>
      </c>
      <c r="I212">
        <v>-0.69452899999999995</v>
      </c>
      <c r="J212">
        <v>2</v>
      </c>
      <c r="K212">
        <v>2</v>
      </c>
      <c r="L212">
        <v>0</v>
      </c>
      <c r="M212">
        <v>5</v>
      </c>
      <c r="N212">
        <v>0</v>
      </c>
      <c r="O212">
        <v>0</v>
      </c>
      <c r="P212">
        <v>0.99990000000000001</v>
      </c>
      <c r="Q212" s="7" t="s">
        <v>28</v>
      </c>
      <c r="R212" s="7" t="s">
        <v>151</v>
      </c>
      <c r="S212">
        <v>0</v>
      </c>
      <c r="T212">
        <v>6.1049300000000004</v>
      </c>
      <c r="U212">
        <v>6.0060099999999998</v>
      </c>
      <c r="V212">
        <v>0</v>
      </c>
      <c r="W212">
        <v>1.8311200000000001</v>
      </c>
      <c r="X212">
        <v>0</v>
      </c>
      <c r="Y212">
        <v>4</v>
      </c>
      <c r="Z212">
        <v>0</v>
      </c>
      <c r="AA212">
        <v>51.947299999999998</v>
      </c>
      <c r="AB212">
        <v>7.0658899999999996</v>
      </c>
    </row>
    <row r="213" spans="1:28" x14ac:dyDescent="0.25">
      <c r="A213">
        <v>212</v>
      </c>
      <c r="B213">
        <v>875774962</v>
      </c>
      <c r="C213" s="7" t="s">
        <v>27</v>
      </c>
      <c r="D213">
        <v>-0.17297100000000001</v>
      </c>
      <c r="E213">
        <v>1.91351</v>
      </c>
      <c r="F213">
        <v>-0.17297100000000001</v>
      </c>
      <c r="G213" s="3">
        <f>firm_data[[#This Row],[production]]-firm_data[[#This Row],[sales]]</f>
        <v>0</v>
      </c>
      <c r="H213">
        <v>0</v>
      </c>
      <c r="I213">
        <v>-0.69452899999999995</v>
      </c>
      <c r="J213">
        <v>2</v>
      </c>
      <c r="K213">
        <v>2</v>
      </c>
      <c r="L213">
        <v>0</v>
      </c>
      <c r="M213">
        <v>5</v>
      </c>
      <c r="N213">
        <v>0</v>
      </c>
      <c r="O213">
        <v>0</v>
      </c>
      <c r="P213">
        <v>0.99990000000000001</v>
      </c>
      <c r="Q213" s="7" t="s">
        <v>28</v>
      </c>
      <c r="R213" s="7" t="s">
        <v>151</v>
      </c>
      <c r="S213">
        <v>0</v>
      </c>
      <c r="T213">
        <v>5.9848100000000004</v>
      </c>
      <c r="U213">
        <v>6.0060099999999998</v>
      </c>
      <c r="V213">
        <v>0</v>
      </c>
      <c r="W213">
        <v>1.8311200000000001</v>
      </c>
      <c r="X213">
        <v>0</v>
      </c>
      <c r="Y213">
        <v>4</v>
      </c>
      <c r="Z213">
        <v>0</v>
      </c>
      <c r="AA213">
        <v>51.1492</v>
      </c>
      <c r="AB213">
        <v>7.0658899999999996</v>
      </c>
    </row>
    <row r="214" spans="1:28" x14ac:dyDescent="0.25">
      <c r="A214">
        <v>213</v>
      </c>
      <c r="B214">
        <v>990735240</v>
      </c>
      <c r="C214" s="7" t="s">
        <v>27</v>
      </c>
      <c r="D214">
        <v>-0.186478</v>
      </c>
      <c r="E214">
        <v>1.91351</v>
      </c>
      <c r="F214">
        <v>-0.186478</v>
      </c>
      <c r="G214" s="3">
        <f>firm_data[[#This Row],[production]]-firm_data[[#This Row],[sales]]</f>
        <v>0</v>
      </c>
      <c r="H214">
        <v>0</v>
      </c>
      <c r="I214">
        <v>-0.69452899999999995</v>
      </c>
      <c r="J214">
        <v>1.9929399999999999</v>
      </c>
      <c r="K214">
        <v>1.9929399999999999</v>
      </c>
      <c r="L214">
        <v>0</v>
      </c>
      <c r="M214">
        <v>5</v>
      </c>
      <c r="N214">
        <v>0</v>
      </c>
      <c r="O214">
        <v>0</v>
      </c>
      <c r="P214">
        <v>0.99990000000000001</v>
      </c>
      <c r="Q214" s="7" t="s">
        <v>28</v>
      </c>
      <c r="R214" s="7" t="s">
        <v>151</v>
      </c>
      <c r="S214">
        <v>0</v>
      </c>
      <c r="T214">
        <v>5.8651099999999996</v>
      </c>
      <c r="U214">
        <v>6.0060099999999998</v>
      </c>
      <c r="V214">
        <v>0</v>
      </c>
      <c r="W214">
        <v>1.8311200000000001</v>
      </c>
      <c r="X214">
        <v>0</v>
      </c>
      <c r="Y214">
        <v>4</v>
      </c>
      <c r="Z214">
        <v>0</v>
      </c>
      <c r="AA214">
        <v>50.249400000000001</v>
      </c>
      <c r="AB214">
        <v>7.0658899999999996</v>
      </c>
    </row>
    <row r="215" spans="1:28" x14ac:dyDescent="0.25">
      <c r="A215">
        <v>214</v>
      </c>
      <c r="B215">
        <v>607216559</v>
      </c>
      <c r="C215" s="7" t="s">
        <v>27</v>
      </c>
      <c r="D215">
        <v>-8.9857399999999998</v>
      </c>
      <c r="E215">
        <v>1.91351</v>
      </c>
      <c r="F215">
        <v>-8.9857399999999998</v>
      </c>
      <c r="G215" s="3">
        <f>firm_data[[#This Row],[production]]-firm_data[[#This Row],[sales]]</f>
        <v>0</v>
      </c>
      <c r="H215">
        <v>0</v>
      </c>
      <c r="I215">
        <v>-0.69452899999999995</v>
      </c>
      <c r="J215">
        <v>1.9530799999999999</v>
      </c>
      <c r="K215">
        <v>1.9530799999999999</v>
      </c>
      <c r="L215">
        <v>0</v>
      </c>
      <c r="M215">
        <v>5</v>
      </c>
      <c r="N215">
        <v>0</v>
      </c>
      <c r="O215">
        <v>0</v>
      </c>
      <c r="P215">
        <v>0.99990000000000001</v>
      </c>
      <c r="Q215" s="7" t="s">
        <v>28</v>
      </c>
      <c r="R215" s="7" t="s">
        <v>151</v>
      </c>
      <c r="S215">
        <v>0</v>
      </c>
      <c r="T215">
        <v>6.7478100000000003</v>
      </c>
      <c r="U215">
        <v>5.9954099999999997</v>
      </c>
      <c r="V215">
        <v>8.7229899999999994</v>
      </c>
      <c r="W215">
        <v>1.8311200000000001</v>
      </c>
      <c r="X215">
        <v>1.66794</v>
      </c>
      <c r="Y215">
        <v>4</v>
      </c>
      <c r="Z215">
        <v>14.423400000000001</v>
      </c>
      <c r="AA215">
        <v>58.351300000000002</v>
      </c>
      <c r="AB215">
        <v>7.05342</v>
      </c>
    </row>
    <row r="216" spans="1:28" x14ac:dyDescent="0.25">
      <c r="A216">
        <v>215</v>
      </c>
      <c r="B216">
        <v>551247484</v>
      </c>
      <c r="C216" s="7" t="s">
        <v>27</v>
      </c>
      <c r="D216">
        <v>-0.17297100000000001</v>
      </c>
      <c r="E216">
        <v>1.91351</v>
      </c>
      <c r="F216">
        <v>-0.17297100000000001</v>
      </c>
      <c r="G216" s="3">
        <f>firm_data[[#This Row],[production]]-firm_data[[#This Row],[sales]]</f>
        <v>0</v>
      </c>
      <c r="H216">
        <v>0</v>
      </c>
      <c r="I216">
        <v>-0.69452899999999995</v>
      </c>
      <c r="J216">
        <v>2</v>
      </c>
      <c r="K216">
        <v>2</v>
      </c>
      <c r="L216">
        <v>0</v>
      </c>
      <c r="M216">
        <v>5</v>
      </c>
      <c r="N216">
        <v>0</v>
      </c>
      <c r="O216">
        <v>0</v>
      </c>
      <c r="P216">
        <v>0.99990000000000001</v>
      </c>
      <c r="Q216" s="7" t="s">
        <v>28</v>
      </c>
      <c r="R216" s="7" t="s">
        <v>151</v>
      </c>
      <c r="S216">
        <v>0</v>
      </c>
      <c r="T216">
        <v>6.6276900000000003</v>
      </c>
      <c r="U216">
        <v>5.9302599999999996</v>
      </c>
      <c r="V216">
        <v>0</v>
      </c>
      <c r="W216">
        <v>1.8311200000000001</v>
      </c>
      <c r="X216">
        <v>0</v>
      </c>
      <c r="Y216">
        <v>4</v>
      </c>
      <c r="Z216">
        <v>0</v>
      </c>
      <c r="AA216">
        <v>57.846699999999998</v>
      </c>
      <c r="AB216">
        <v>7.05342</v>
      </c>
    </row>
    <row r="217" spans="1:28" x14ac:dyDescent="0.25">
      <c r="A217">
        <v>216</v>
      </c>
      <c r="B217">
        <v>217501998</v>
      </c>
      <c r="C217" s="7" t="s">
        <v>27</v>
      </c>
      <c r="D217">
        <v>-0.17297100000000001</v>
      </c>
      <c r="E217">
        <v>1.91351</v>
      </c>
      <c r="F217">
        <v>-0.17297100000000001</v>
      </c>
      <c r="G217" s="3">
        <f>firm_data[[#This Row],[production]]-firm_data[[#This Row],[sales]]</f>
        <v>0</v>
      </c>
      <c r="H217">
        <v>0</v>
      </c>
      <c r="I217">
        <v>-0.69452899999999995</v>
      </c>
      <c r="J217">
        <v>2</v>
      </c>
      <c r="K217">
        <v>2</v>
      </c>
      <c r="L217">
        <v>0</v>
      </c>
      <c r="M217">
        <v>5</v>
      </c>
      <c r="N217">
        <v>0</v>
      </c>
      <c r="O217">
        <v>0</v>
      </c>
      <c r="P217">
        <v>0.99990000000000001</v>
      </c>
      <c r="Q217" s="7" t="s">
        <v>28</v>
      </c>
      <c r="R217" s="7" t="s">
        <v>151</v>
      </c>
      <c r="S217">
        <v>0</v>
      </c>
      <c r="T217">
        <v>6.5075700000000003</v>
      </c>
      <c r="U217">
        <v>5.9681300000000004</v>
      </c>
      <c r="V217">
        <v>0</v>
      </c>
      <c r="W217">
        <v>1.8311200000000001</v>
      </c>
      <c r="X217">
        <v>0</v>
      </c>
      <c r="Y217">
        <v>4</v>
      </c>
      <c r="Z217">
        <v>0</v>
      </c>
      <c r="AA217">
        <v>57.42</v>
      </c>
      <c r="AB217">
        <v>7.05342</v>
      </c>
    </row>
    <row r="218" spans="1:28" x14ac:dyDescent="0.25">
      <c r="A218">
        <v>217</v>
      </c>
      <c r="B218">
        <v>741572992</v>
      </c>
      <c r="C218" s="7" t="s">
        <v>27</v>
      </c>
      <c r="D218">
        <v>-4.6523700000000003</v>
      </c>
      <c r="E218">
        <v>1.91351</v>
      </c>
      <c r="F218">
        <v>-4.6523700000000003</v>
      </c>
      <c r="G218" s="3">
        <f>firm_data[[#This Row],[production]]-firm_data[[#This Row],[sales]]</f>
        <v>0</v>
      </c>
      <c r="H218">
        <v>0</v>
      </c>
      <c r="I218">
        <v>-0.69452899999999995</v>
      </c>
      <c r="J218">
        <v>2</v>
      </c>
      <c r="K218">
        <v>2</v>
      </c>
      <c r="L218">
        <v>0</v>
      </c>
      <c r="M218">
        <v>5</v>
      </c>
      <c r="N218">
        <v>0</v>
      </c>
      <c r="O218">
        <v>0</v>
      </c>
      <c r="P218">
        <v>0.99990000000000001</v>
      </c>
      <c r="Q218" s="7" t="s">
        <v>28</v>
      </c>
      <c r="R218" s="7" t="s">
        <v>151</v>
      </c>
      <c r="S218">
        <v>0</v>
      </c>
      <c r="T218">
        <v>6.8874500000000003</v>
      </c>
      <c r="U218">
        <v>5.9870700000000001</v>
      </c>
      <c r="V218">
        <v>4.4794</v>
      </c>
      <c r="W218">
        <v>1.8311200000000001</v>
      </c>
      <c r="X218">
        <v>1.01501</v>
      </c>
      <c r="Y218">
        <v>4</v>
      </c>
      <c r="Z218">
        <v>8.9575300000000002</v>
      </c>
      <c r="AA218">
        <v>60.782400000000003</v>
      </c>
      <c r="AB218">
        <v>7.0436100000000001</v>
      </c>
    </row>
    <row r="219" spans="1:28" x14ac:dyDescent="0.25">
      <c r="A219">
        <v>218</v>
      </c>
      <c r="B219">
        <v>206514133</v>
      </c>
      <c r="C219" s="7" t="s">
        <v>27</v>
      </c>
      <c r="D219">
        <v>-4.6582800000000004</v>
      </c>
      <c r="E219">
        <v>1.91351</v>
      </c>
      <c r="F219">
        <v>-4.6582800000000004</v>
      </c>
      <c r="G219" s="3">
        <f>firm_data[[#This Row],[production]]-firm_data[[#This Row],[sales]]</f>
        <v>0</v>
      </c>
      <c r="H219">
        <v>0</v>
      </c>
      <c r="I219">
        <v>-0.69452899999999995</v>
      </c>
      <c r="J219">
        <v>2</v>
      </c>
      <c r="K219">
        <v>2</v>
      </c>
      <c r="L219">
        <v>0</v>
      </c>
      <c r="M219">
        <v>5</v>
      </c>
      <c r="N219">
        <v>0</v>
      </c>
      <c r="O219">
        <v>0</v>
      </c>
      <c r="P219">
        <v>0.99990000000000001</v>
      </c>
      <c r="Q219" s="7" t="s">
        <v>28</v>
      </c>
      <c r="R219" s="7" t="s">
        <v>151</v>
      </c>
      <c r="S219">
        <v>0</v>
      </c>
      <c r="T219">
        <v>7.2864599999999999</v>
      </c>
      <c r="U219">
        <v>5.9965400000000004</v>
      </c>
      <c r="V219">
        <v>4.4853100000000001</v>
      </c>
      <c r="W219">
        <v>1.8311200000000001</v>
      </c>
      <c r="X219">
        <v>0.64702400000000004</v>
      </c>
      <c r="Y219">
        <v>4</v>
      </c>
      <c r="Z219">
        <v>5.7295199999999999</v>
      </c>
      <c r="AA219">
        <v>64.522900000000007</v>
      </c>
      <c r="AB219">
        <v>7.0547500000000003</v>
      </c>
    </row>
    <row r="220" spans="1:28" x14ac:dyDescent="0.25">
      <c r="A220">
        <v>219</v>
      </c>
      <c r="B220">
        <v>15178248</v>
      </c>
      <c r="C220" s="7" t="s">
        <v>27</v>
      </c>
      <c r="D220">
        <v>-0.17297100000000001</v>
      </c>
      <c r="E220">
        <v>1.91351</v>
      </c>
      <c r="F220">
        <v>-0.17297100000000001</v>
      </c>
      <c r="G220" s="3">
        <f>firm_data[[#This Row],[production]]-firm_data[[#This Row],[sales]]</f>
        <v>0</v>
      </c>
      <c r="H220">
        <v>0</v>
      </c>
      <c r="I220">
        <v>-0.69452899999999995</v>
      </c>
      <c r="J220">
        <v>2</v>
      </c>
      <c r="K220">
        <v>2</v>
      </c>
      <c r="L220">
        <v>0</v>
      </c>
      <c r="M220">
        <v>5</v>
      </c>
      <c r="N220">
        <v>0</v>
      </c>
      <c r="O220">
        <v>0</v>
      </c>
      <c r="P220">
        <v>0.99990000000000001</v>
      </c>
      <c r="Q220" s="7" t="s">
        <v>28</v>
      </c>
      <c r="R220" s="7" t="s">
        <v>151</v>
      </c>
      <c r="S220">
        <v>0</v>
      </c>
      <c r="T220">
        <v>7.1663399999999999</v>
      </c>
      <c r="U220">
        <v>6.0012699999999999</v>
      </c>
      <c r="V220">
        <v>0</v>
      </c>
      <c r="W220">
        <v>1.8311200000000001</v>
      </c>
      <c r="X220">
        <v>0</v>
      </c>
      <c r="Y220">
        <v>4</v>
      </c>
      <c r="Z220">
        <v>0</v>
      </c>
      <c r="AA220">
        <v>63.959899999999998</v>
      </c>
      <c r="AB220">
        <v>7.0547500000000003</v>
      </c>
    </row>
    <row r="221" spans="1:28" x14ac:dyDescent="0.25">
      <c r="A221">
        <v>220</v>
      </c>
      <c r="B221">
        <v>153054463</v>
      </c>
      <c r="C221" s="7" t="s">
        <v>27</v>
      </c>
      <c r="D221">
        <v>-3.5038200000000002</v>
      </c>
      <c r="E221">
        <v>1.91351</v>
      </c>
      <c r="F221">
        <v>-3.5038200000000002</v>
      </c>
      <c r="G221" s="3">
        <f>firm_data[[#This Row],[production]]-firm_data[[#This Row],[sales]]</f>
        <v>0</v>
      </c>
      <c r="H221">
        <v>0</v>
      </c>
      <c r="I221">
        <v>-0.69452899999999995</v>
      </c>
      <c r="J221">
        <v>2</v>
      </c>
      <c r="K221">
        <v>2</v>
      </c>
      <c r="L221">
        <v>0</v>
      </c>
      <c r="M221">
        <v>5</v>
      </c>
      <c r="N221">
        <v>0</v>
      </c>
      <c r="O221">
        <v>0</v>
      </c>
      <c r="P221">
        <v>0.99990000000000001</v>
      </c>
      <c r="Q221" s="7" t="s">
        <v>28</v>
      </c>
      <c r="R221" s="7" t="s">
        <v>151</v>
      </c>
      <c r="S221">
        <v>0</v>
      </c>
      <c r="T221">
        <v>7.4232800000000001</v>
      </c>
      <c r="U221">
        <v>6.0036399999999999</v>
      </c>
      <c r="V221">
        <v>3.3308499999999999</v>
      </c>
      <c r="W221">
        <v>1.8311200000000001</v>
      </c>
      <c r="X221">
        <v>0.37705699999999998</v>
      </c>
      <c r="Y221">
        <v>4</v>
      </c>
      <c r="Z221">
        <v>3.4046599999999998</v>
      </c>
      <c r="AA221">
        <v>67.028899999999993</v>
      </c>
      <c r="AB221">
        <v>7.0631000000000004</v>
      </c>
    </row>
    <row r="222" spans="1:28" x14ac:dyDescent="0.25">
      <c r="A222">
        <v>221</v>
      </c>
      <c r="B222">
        <v>467297306</v>
      </c>
      <c r="C222" s="7" t="s">
        <v>27</v>
      </c>
      <c r="D222">
        <v>-0.17297100000000001</v>
      </c>
      <c r="E222">
        <v>1.91351</v>
      </c>
      <c r="F222">
        <v>-0.17297100000000001</v>
      </c>
      <c r="G222" s="3">
        <f>firm_data[[#This Row],[production]]-firm_data[[#This Row],[sales]]</f>
        <v>0</v>
      </c>
      <c r="H222">
        <v>0</v>
      </c>
      <c r="I222">
        <v>-0.69452899999999995</v>
      </c>
      <c r="J222">
        <v>2</v>
      </c>
      <c r="K222">
        <v>2</v>
      </c>
      <c r="L222">
        <v>0</v>
      </c>
      <c r="M222">
        <v>5</v>
      </c>
      <c r="N222">
        <v>0</v>
      </c>
      <c r="O222">
        <v>0</v>
      </c>
      <c r="P222">
        <v>0.99990000000000001</v>
      </c>
      <c r="Q222" s="7" t="s">
        <v>28</v>
      </c>
      <c r="R222" s="7" t="s">
        <v>151</v>
      </c>
      <c r="S222">
        <v>0</v>
      </c>
      <c r="T222">
        <v>7.3031600000000001</v>
      </c>
      <c r="U222">
        <v>6.0048199999999996</v>
      </c>
      <c r="V222">
        <v>0</v>
      </c>
      <c r="W222">
        <v>1.8311200000000001</v>
      </c>
      <c r="X222">
        <v>0</v>
      </c>
      <c r="Y222">
        <v>4</v>
      </c>
      <c r="Z222">
        <v>0</v>
      </c>
      <c r="AA222">
        <v>66.954599999999999</v>
      </c>
      <c r="AB222">
        <v>7.0631000000000004</v>
      </c>
    </row>
    <row r="223" spans="1:28" x14ac:dyDescent="0.25">
      <c r="A223">
        <v>222</v>
      </c>
      <c r="B223">
        <v>341480049</v>
      </c>
      <c r="C223" s="7" t="s">
        <v>27</v>
      </c>
      <c r="D223">
        <v>-0.17297100000000001</v>
      </c>
      <c r="E223">
        <v>1.91351</v>
      </c>
      <c r="F223">
        <v>-0.17297100000000001</v>
      </c>
      <c r="G223" s="3">
        <f>firm_data[[#This Row],[production]]-firm_data[[#This Row],[sales]]</f>
        <v>0</v>
      </c>
      <c r="H223">
        <v>0</v>
      </c>
      <c r="I223">
        <v>-0.69452899999999995</v>
      </c>
      <c r="J223">
        <v>2</v>
      </c>
      <c r="K223">
        <v>2</v>
      </c>
      <c r="L223">
        <v>0</v>
      </c>
      <c r="M223">
        <v>5</v>
      </c>
      <c r="N223">
        <v>0</v>
      </c>
      <c r="O223">
        <v>0</v>
      </c>
      <c r="P223">
        <v>0.99990000000000001</v>
      </c>
      <c r="Q223" s="7" t="s">
        <v>28</v>
      </c>
      <c r="R223" s="7" t="s">
        <v>151</v>
      </c>
      <c r="S223">
        <v>0</v>
      </c>
      <c r="T223">
        <v>7.1830400000000001</v>
      </c>
      <c r="U223">
        <v>6.0054100000000004</v>
      </c>
      <c r="V223">
        <v>0</v>
      </c>
      <c r="W223">
        <v>1.8311200000000001</v>
      </c>
      <c r="X223">
        <v>0</v>
      </c>
      <c r="Y223">
        <v>4</v>
      </c>
      <c r="Z223">
        <v>0</v>
      </c>
      <c r="AA223">
        <v>66.153999999999996</v>
      </c>
      <c r="AB223">
        <v>7.0631000000000004</v>
      </c>
    </row>
    <row r="224" spans="1:28" x14ac:dyDescent="0.25">
      <c r="A224">
        <v>223</v>
      </c>
      <c r="B224">
        <v>354217056</v>
      </c>
      <c r="C224" s="7" t="s">
        <v>27</v>
      </c>
      <c r="D224">
        <v>-0.17297100000000001</v>
      </c>
      <c r="E224">
        <v>1.91351</v>
      </c>
      <c r="F224">
        <v>-0.17297100000000001</v>
      </c>
      <c r="G224" s="3">
        <f>firm_data[[#This Row],[production]]-firm_data[[#This Row],[sales]]</f>
        <v>0</v>
      </c>
      <c r="H224">
        <v>0</v>
      </c>
      <c r="I224">
        <v>-0.69452899999999995</v>
      </c>
      <c r="J224">
        <v>2</v>
      </c>
      <c r="K224">
        <v>2</v>
      </c>
      <c r="L224">
        <v>0</v>
      </c>
      <c r="M224">
        <v>5</v>
      </c>
      <c r="N224">
        <v>0</v>
      </c>
      <c r="O224">
        <v>0</v>
      </c>
      <c r="P224">
        <v>0.99990000000000001</v>
      </c>
      <c r="Q224" s="7" t="s">
        <v>28</v>
      </c>
      <c r="R224" s="7" t="s">
        <v>151</v>
      </c>
      <c r="S224">
        <v>0</v>
      </c>
      <c r="T224">
        <v>7.0629200000000001</v>
      </c>
      <c r="U224">
        <v>6.0057099999999997</v>
      </c>
      <c r="V224">
        <v>0</v>
      </c>
      <c r="W224">
        <v>1.8311200000000001</v>
      </c>
      <c r="X224">
        <v>0</v>
      </c>
      <c r="Y224">
        <v>4</v>
      </c>
      <c r="Z224">
        <v>0</v>
      </c>
      <c r="AA224">
        <v>65.447199999999995</v>
      </c>
      <c r="AB224">
        <v>7.0631000000000004</v>
      </c>
    </row>
    <row r="225" spans="1:28" x14ac:dyDescent="0.25">
      <c r="A225">
        <v>224</v>
      </c>
      <c r="B225">
        <v>617861270</v>
      </c>
      <c r="C225" s="7" t="s">
        <v>27</v>
      </c>
      <c r="D225">
        <v>-0.17297100000000001</v>
      </c>
      <c r="E225">
        <v>1.91351</v>
      </c>
      <c r="F225">
        <v>-0.17297100000000001</v>
      </c>
      <c r="G225" s="3">
        <f>firm_data[[#This Row],[production]]-firm_data[[#This Row],[sales]]</f>
        <v>0</v>
      </c>
      <c r="H225">
        <v>0</v>
      </c>
      <c r="I225">
        <v>-0.69452899999999995</v>
      </c>
      <c r="J225">
        <v>2</v>
      </c>
      <c r="K225">
        <v>2</v>
      </c>
      <c r="L225">
        <v>0</v>
      </c>
      <c r="M225">
        <v>5</v>
      </c>
      <c r="N225">
        <v>0</v>
      </c>
      <c r="O225">
        <v>0</v>
      </c>
      <c r="P225">
        <v>0.99990000000000001</v>
      </c>
      <c r="Q225" s="7" t="s">
        <v>28</v>
      </c>
      <c r="R225" s="7" t="s">
        <v>151</v>
      </c>
      <c r="S225">
        <v>0</v>
      </c>
      <c r="T225">
        <v>6.9428000000000001</v>
      </c>
      <c r="U225">
        <v>6.0058600000000002</v>
      </c>
      <c r="V225">
        <v>0</v>
      </c>
      <c r="W225">
        <v>1.8311200000000001</v>
      </c>
      <c r="X225">
        <v>0</v>
      </c>
      <c r="Y225">
        <v>4</v>
      </c>
      <c r="Z225">
        <v>0</v>
      </c>
      <c r="AA225">
        <v>64.449399999999997</v>
      </c>
      <c r="AB225">
        <v>7.0631000000000004</v>
      </c>
    </row>
    <row r="226" spans="1:28" x14ac:dyDescent="0.25">
      <c r="A226">
        <v>225</v>
      </c>
      <c r="B226">
        <v>984952402</v>
      </c>
      <c r="C226" s="7" t="s">
        <v>27</v>
      </c>
      <c r="D226">
        <v>-5.4271200000000004</v>
      </c>
      <c r="E226">
        <v>1.91351</v>
      </c>
      <c r="F226">
        <v>-5.4271200000000004</v>
      </c>
      <c r="G226" s="3">
        <f>firm_data[[#This Row],[production]]-firm_data[[#This Row],[sales]]</f>
        <v>0</v>
      </c>
      <c r="H226">
        <v>0</v>
      </c>
      <c r="I226">
        <v>-0.69452899999999995</v>
      </c>
      <c r="J226">
        <v>2</v>
      </c>
      <c r="K226">
        <v>2</v>
      </c>
      <c r="L226">
        <v>0</v>
      </c>
      <c r="M226">
        <v>5</v>
      </c>
      <c r="N226">
        <v>0</v>
      </c>
      <c r="O226">
        <v>0</v>
      </c>
      <c r="P226">
        <v>0.99990000000000001</v>
      </c>
      <c r="Q226" s="7" t="s">
        <v>28</v>
      </c>
      <c r="R226" s="7" t="s">
        <v>151</v>
      </c>
      <c r="S226">
        <v>0</v>
      </c>
      <c r="T226">
        <v>7.4261600000000003</v>
      </c>
      <c r="U226">
        <v>6.0059300000000002</v>
      </c>
      <c r="V226">
        <v>5.2541500000000001</v>
      </c>
      <c r="W226">
        <v>1.8311200000000001</v>
      </c>
      <c r="X226">
        <v>0.60348199999999996</v>
      </c>
      <c r="Y226">
        <v>4</v>
      </c>
      <c r="Z226">
        <v>5.5884499999999999</v>
      </c>
      <c r="AA226">
        <v>68.768799999999999</v>
      </c>
      <c r="AB226">
        <v>7.0658000000000003</v>
      </c>
    </row>
    <row r="227" spans="1:28" x14ac:dyDescent="0.25">
      <c r="A227">
        <v>226</v>
      </c>
      <c r="B227">
        <v>997035739</v>
      </c>
      <c r="C227" s="7" t="s">
        <v>27</v>
      </c>
      <c r="D227">
        <v>-0.17297100000000001</v>
      </c>
      <c r="E227">
        <v>1.91351</v>
      </c>
      <c r="F227">
        <v>-0.17297100000000001</v>
      </c>
      <c r="G227" s="3">
        <f>firm_data[[#This Row],[production]]-firm_data[[#This Row],[sales]]</f>
        <v>0</v>
      </c>
      <c r="H227">
        <v>0</v>
      </c>
      <c r="I227">
        <v>-0.69452899999999995</v>
      </c>
      <c r="J227">
        <v>2</v>
      </c>
      <c r="K227">
        <v>2</v>
      </c>
      <c r="L227">
        <v>0</v>
      </c>
      <c r="M227">
        <v>5</v>
      </c>
      <c r="N227">
        <v>0</v>
      </c>
      <c r="O227">
        <v>0</v>
      </c>
      <c r="P227">
        <v>0.99990000000000001</v>
      </c>
      <c r="Q227" s="7" t="s">
        <v>28</v>
      </c>
      <c r="R227" s="7" t="s">
        <v>151</v>
      </c>
      <c r="S227">
        <v>0</v>
      </c>
      <c r="T227">
        <v>7.3060400000000003</v>
      </c>
      <c r="U227">
        <v>6.0059699999999996</v>
      </c>
      <c r="V227">
        <v>0</v>
      </c>
      <c r="W227">
        <v>1.8311200000000001</v>
      </c>
      <c r="X227">
        <v>0</v>
      </c>
      <c r="Y227">
        <v>4</v>
      </c>
      <c r="Z227">
        <v>0</v>
      </c>
      <c r="AA227">
        <v>68.056600000000003</v>
      </c>
      <c r="AB227">
        <v>7.0658000000000003</v>
      </c>
    </row>
    <row r="228" spans="1:28" x14ac:dyDescent="0.25">
      <c r="A228">
        <v>227</v>
      </c>
      <c r="B228">
        <v>545603301</v>
      </c>
      <c r="C228" s="7" t="s">
        <v>27</v>
      </c>
      <c r="D228">
        <v>-0.17297100000000001</v>
      </c>
      <c r="E228">
        <v>1.91351</v>
      </c>
      <c r="F228">
        <v>-0.17297100000000001</v>
      </c>
      <c r="G228" s="3">
        <f>firm_data[[#This Row],[production]]-firm_data[[#This Row],[sales]]</f>
        <v>0</v>
      </c>
      <c r="H228">
        <v>0</v>
      </c>
      <c r="I228">
        <v>-0.69452899999999995</v>
      </c>
      <c r="J228">
        <v>2</v>
      </c>
      <c r="K228">
        <v>2</v>
      </c>
      <c r="L228">
        <v>0</v>
      </c>
      <c r="M228">
        <v>5</v>
      </c>
      <c r="N228">
        <v>0</v>
      </c>
      <c r="O228">
        <v>0</v>
      </c>
      <c r="P228">
        <v>0.99990000000000001</v>
      </c>
      <c r="Q228" s="7" t="s">
        <v>28</v>
      </c>
      <c r="R228" s="7" t="s">
        <v>151</v>
      </c>
      <c r="S228">
        <v>0</v>
      </c>
      <c r="T228">
        <v>7.1859200000000003</v>
      </c>
      <c r="U228">
        <v>6.0059899999999997</v>
      </c>
      <c r="V228">
        <v>0</v>
      </c>
      <c r="W228">
        <v>1.8311200000000001</v>
      </c>
      <c r="X228">
        <v>0</v>
      </c>
      <c r="Y228">
        <v>4</v>
      </c>
      <c r="Z228">
        <v>0</v>
      </c>
      <c r="AA228">
        <v>67.226600000000005</v>
      </c>
      <c r="AB228">
        <v>7.0658000000000003</v>
      </c>
    </row>
    <row r="229" spans="1:28" x14ac:dyDescent="0.25">
      <c r="A229">
        <v>228</v>
      </c>
      <c r="B229">
        <v>690221441</v>
      </c>
      <c r="C229" s="7" t="s">
        <v>27</v>
      </c>
      <c r="D229">
        <v>-3.5486900000000001</v>
      </c>
      <c r="E229">
        <v>1.91351</v>
      </c>
      <c r="F229">
        <v>-3.5486900000000001</v>
      </c>
      <c r="G229" s="3">
        <f>firm_data[[#This Row],[production]]-firm_data[[#This Row],[sales]]</f>
        <v>0</v>
      </c>
      <c r="H229">
        <v>0</v>
      </c>
      <c r="I229">
        <v>-0.69452899999999995</v>
      </c>
      <c r="J229">
        <v>2</v>
      </c>
      <c r="K229">
        <v>2</v>
      </c>
      <c r="L229">
        <v>0</v>
      </c>
      <c r="M229">
        <v>5</v>
      </c>
      <c r="N229">
        <v>0</v>
      </c>
      <c r="O229">
        <v>0</v>
      </c>
      <c r="P229">
        <v>0.99990000000000001</v>
      </c>
      <c r="Q229" s="7" t="s">
        <v>28</v>
      </c>
      <c r="R229" s="7" t="s">
        <v>151</v>
      </c>
      <c r="S229">
        <v>0</v>
      </c>
      <c r="T229">
        <v>7.42624</v>
      </c>
      <c r="U229">
        <v>6.0060000000000002</v>
      </c>
      <c r="V229">
        <v>3.3757199999999998</v>
      </c>
      <c r="W229">
        <v>1.8311200000000001</v>
      </c>
      <c r="X229">
        <v>0.36044199999999998</v>
      </c>
      <c r="Y229">
        <v>4</v>
      </c>
      <c r="Z229">
        <v>3.4121199999999998</v>
      </c>
      <c r="AA229">
        <v>70.3005</v>
      </c>
      <c r="AB229">
        <v>7.0658799999999999</v>
      </c>
    </row>
    <row r="230" spans="1:28" x14ac:dyDescent="0.25">
      <c r="A230">
        <v>229</v>
      </c>
      <c r="B230">
        <v>379039057</v>
      </c>
      <c r="C230" s="7" t="s">
        <v>27</v>
      </c>
      <c r="D230">
        <v>-1.2157</v>
      </c>
      <c r="E230">
        <v>1.91351</v>
      </c>
      <c r="F230">
        <v>-1.2157</v>
      </c>
      <c r="G230" s="3">
        <f>firm_data[[#This Row],[production]]-firm_data[[#This Row],[sales]]</f>
        <v>0</v>
      </c>
      <c r="H230">
        <v>0</v>
      </c>
      <c r="I230">
        <v>-0.69452899999999995</v>
      </c>
      <c r="J230">
        <v>2</v>
      </c>
      <c r="K230">
        <v>2</v>
      </c>
      <c r="L230">
        <v>0</v>
      </c>
      <c r="M230">
        <v>5</v>
      </c>
      <c r="N230">
        <v>0</v>
      </c>
      <c r="O230">
        <v>0</v>
      </c>
      <c r="P230">
        <v>0.99990000000000001</v>
      </c>
      <c r="Q230" s="7" t="s">
        <v>28</v>
      </c>
      <c r="R230" s="7" t="s">
        <v>151</v>
      </c>
      <c r="S230">
        <v>0</v>
      </c>
      <c r="T230">
        <v>7.42624</v>
      </c>
      <c r="U230">
        <v>6.0060000000000002</v>
      </c>
      <c r="V230">
        <v>1.0427299999999999</v>
      </c>
      <c r="W230">
        <v>1.8311200000000001</v>
      </c>
      <c r="X230">
        <v>0.120126</v>
      </c>
      <c r="Y230">
        <v>4</v>
      </c>
      <c r="Z230">
        <v>1.1441699999999999</v>
      </c>
      <c r="AA230">
        <v>70.733099999999993</v>
      </c>
      <c r="AB230">
        <v>7.0658799999999999</v>
      </c>
    </row>
    <row r="231" spans="1:28" x14ac:dyDescent="0.25">
      <c r="A231">
        <v>230</v>
      </c>
      <c r="B231">
        <v>600195480</v>
      </c>
      <c r="C231" s="7" t="s">
        <v>27</v>
      </c>
      <c r="D231">
        <v>-0.17297100000000001</v>
      </c>
      <c r="E231">
        <v>1.91351</v>
      </c>
      <c r="F231">
        <v>-0.17297100000000001</v>
      </c>
      <c r="G231" s="3">
        <f>firm_data[[#This Row],[production]]-firm_data[[#This Row],[sales]]</f>
        <v>0</v>
      </c>
      <c r="H231">
        <v>0</v>
      </c>
      <c r="I231">
        <v>-0.69452899999999995</v>
      </c>
      <c r="J231">
        <v>2</v>
      </c>
      <c r="K231">
        <v>2</v>
      </c>
      <c r="L231">
        <v>0</v>
      </c>
      <c r="M231">
        <v>5</v>
      </c>
      <c r="N231">
        <v>0</v>
      </c>
      <c r="O231">
        <v>0</v>
      </c>
      <c r="P231">
        <v>0.99990000000000001</v>
      </c>
      <c r="Q231" s="7" t="s">
        <v>28</v>
      </c>
      <c r="R231" s="7" t="s">
        <v>151</v>
      </c>
      <c r="S231">
        <v>0</v>
      </c>
      <c r="T231">
        <v>7.3061199999999999</v>
      </c>
      <c r="U231">
        <v>6.0060000000000002</v>
      </c>
      <c r="V231">
        <v>0</v>
      </c>
      <c r="W231">
        <v>1.8311200000000001</v>
      </c>
      <c r="X231">
        <v>0</v>
      </c>
      <c r="Y231">
        <v>4</v>
      </c>
      <c r="Z231">
        <v>0</v>
      </c>
      <c r="AA231">
        <v>69.651300000000006</v>
      </c>
      <c r="AB231">
        <v>7.0658799999999999</v>
      </c>
    </row>
    <row r="232" spans="1:28" x14ac:dyDescent="0.25">
      <c r="A232">
        <v>231</v>
      </c>
      <c r="B232">
        <v>85379391</v>
      </c>
      <c r="C232" s="7" t="s">
        <v>27</v>
      </c>
      <c r="D232">
        <v>-0.17297100000000001</v>
      </c>
      <c r="E232">
        <v>1.91351</v>
      </c>
      <c r="F232">
        <v>-0.17297100000000001</v>
      </c>
      <c r="G232" s="3">
        <f>firm_data[[#This Row],[production]]-firm_data[[#This Row],[sales]]</f>
        <v>0</v>
      </c>
      <c r="H232">
        <v>0</v>
      </c>
      <c r="I232">
        <v>-0.69452899999999995</v>
      </c>
      <c r="J232">
        <v>2</v>
      </c>
      <c r="K232">
        <v>2</v>
      </c>
      <c r="L232">
        <v>0</v>
      </c>
      <c r="M232">
        <v>5</v>
      </c>
      <c r="N232">
        <v>0</v>
      </c>
      <c r="O232">
        <v>0</v>
      </c>
      <c r="P232">
        <v>0.99990000000000001</v>
      </c>
      <c r="Q232" s="7" t="s">
        <v>28</v>
      </c>
      <c r="R232" s="7" t="s">
        <v>151</v>
      </c>
      <c r="S232">
        <v>0</v>
      </c>
      <c r="T232">
        <v>7.1859999999999999</v>
      </c>
      <c r="U232">
        <v>6.0060000000000002</v>
      </c>
      <c r="V232">
        <v>0</v>
      </c>
      <c r="W232">
        <v>1.8311200000000001</v>
      </c>
      <c r="X232">
        <v>0</v>
      </c>
      <c r="Y232">
        <v>4</v>
      </c>
      <c r="Z232">
        <v>0</v>
      </c>
      <c r="AA232">
        <v>69.151399999999995</v>
      </c>
      <c r="AB232">
        <v>7.0658799999999999</v>
      </c>
    </row>
    <row r="233" spans="1:28" x14ac:dyDescent="0.25">
      <c r="A233">
        <v>232</v>
      </c>
      <c r="B233">
        <v>668715559</v>
      </c>
      <c r="C233" s="7" t="s">
        <v>27</v>
      </c>
      <c r="D233">
        <v>-0.17297100000000001</v>
      </c>
      <c r="E233">
        <v>1.91351</v>
      </c>
      <c r="F233">
        <v>-0.17297100000000001</v>
      </c>
      <c r="G233" s="3">
        <f>firm_data[[#This Row],[production]]-firm_data[[#This Row],[sales]]</f>
        <v>0</v>
      </c>
      <c r="H233">
        <v>0</v>
      </c>
      <c r="I233">
        <v>-0.69452899999999995</v>
      </c>
      <c r="J233">
        <v>2</v>
      </c>
      <c r="K233">
        <v>2</v>
      </c>
      <c r="L233">
        <v>0</v>
      </c>
      <c r="M233">
        <v>5</v>
      </c>
      <c r="N233">
        <v>0</v>
      </c>
      <c r="O233">
        <v>0</v>
      </c>
      <c r="P233">
        <v>0.99990000000000001</v>
      </c>
      <c r="Q233" s="7" t="s">
        <v>28</v>
      </c>
      <c r="R233" s="7" t="s">
        <v>151</v>
      </c>
      <c r="S233">
        <v>0</v>
      </c>
      <c r="T233">
        <v>7.0658799999999999</v>
      </c>
      <c r="U233">
        <v>6.0060099999999998</v>
      </c>
      <c r="V233">
        <v>0</v>
      </c>
      <c r="W233">
        <v>1.8311200000000001</v>
      </c>
      <c r="X233">
        <v>0</v>
      </c>
      <c r="Y233">
        <v>4</v>
      </c>
      <c r="Z233">
        <v>0</v>
      </c>
      <c r="AA233">
        <v>68.694999999999993</v>
      </c>
      <c r="AB233">
        <v>7.0658799999999999</v>
      </c>
    </row>
    <row r="234" spans="1:28" x14ac:dyDescent="0.25">
      <c r="A234">
        <v>233</v>
      </c>
      <c r="B234">
        <v>101699668</v>
      </c>
      <c r="C234" s="7" t="s">
        <v>27</v>
      </c>
      <c r="D234">
        <v>-0.17297100000000001</v>
      </c>
      <c r="E234">
        <v>1.91351</v>
      </c>
      <c r="F234">
        <v>-0.17297100000000001</v>
      </c>
      <c r="G234" s="3">
        <f>firm_data[[#This Row],[production]]-firm_data[[#This Row],[sales]]</f>
        <v>0</v>
      </c>
      <c r="H234">
        <v>0</v>
      </c>
      <c r="I234">
        <v>-0.69452899999999995</v>
      </c>
      <c r="J234">
        <v>2</v>
      </c>
      <c r="K234">
        <v>2</v>
      </c>
      <c r="L234">
        <v>0</v>
      </c>
      <c r="M234">
        <v>5</v>
      </c>
      <c r="N234">
        <v>0</v>
      </c>
      <c r="O234">
        <v>0</v>
      </c>
      <c r="P234">
        <v>0.99990000000000001</v>
      </c>
      <c r="Q234" s="7" t="s">
        <v>28</v>
      </c>
      <c r="R234" s="7" t="s">
        <v>151</v>
      </c>
      <c r="S234">
        <v>0</v>
      </c>
      <c r="T234">
        <v>6.9457599999999999</v>
      </c>
      <c r="U234">
        <v>6.0060099999999998</v>
      </c>
      <c r="V234">
        <v>0</v>
      </c>
      <c r="W234">
        <v>1.8311200000000001</v>
      </c>
      <c r="X234">
        <v>0</v>
      </c>
      <c r="Y234">
        <v>4</v>
      </c>
      <c r="Z234">
        <v>0</v>
      </c>
      <c r="AA234">
        <v>67.771299999999997</v>
      </c>
      <c r="AB234">
        <v>7.0658799999999999</v>
      </c>
    </row>
    <row r="235" spans="1:28" x14ac:dyDescent="0.25">
      <c r="A235">
        <v>234</v>
      </c>
      <c r="B235">
        <v>564160796</v>
      </c>
      <c r="C235" s="7" t="s">
        <v>27</v>
      </c>
      <c r="D235">
        <v>-5.75732</v>
      </c>
      <c r="E235">
        <v>1.91351</v>
      </c>
      <c r="F235">
        <v>-5.75732</v>
      </c>
      <c r="G235" s="3">
        <f>firm_data[[#This Row],[production]]-firm_data[[#This Row],[sales]]</f>
        <v>0</v>
      </c>
      <c r="H235">
        <v>0</v>
      </c>
      <c r="I235">
        <v>-0.69452899999999995</v>
      </c>
      <c r="J235">
        <v>2</v>
      </c>
      <c r="K235">
        <v>2</v>
      </c>
      <c r="L235">
        <v>0</v>
      </c>
      <c r="M235">
        <v>5</v>
      </c>
      <c r="N235">
        <v>0</v>
      </c>
      <c r="O235">
        <v>0</v>
      </c>
      <c r="P235">
        <v>0.99990000000000001</v>
      </c>
      <c r="Q235" s="7" t="s">
        <v>28</v>
      </c>
      <c r="R235" s="7" t="s">
        <v>151</v>
      </c>
      <c r="S235">
        <v>0</v>
      </c>
      <c r="T235">
        <v>7.4262499999999996</v>
      </c>
      <c r="U235">
        <v>6.0060099999999998</v>
      </c>
      <c r="V235">
        <v>5.5843499999999997</v>
      </c>
      <c r="W235">
        <v>1.8311200000000001</v>
      </c>
      <c r="X235">
        <v>0.60060599999999997</v>
      </c>
      <c r="Y235">
        <v>4</v>
      </c>
      <c r="Z235">
        <v>5.9253999999999998</v>
      </c>
      <c r="AA235">
        <v>73.265199999999993</v>
      </c>
      <c r="AB235">
        <v>7.0658899999999996</v>
      </c>
    </row>
    <row r="236" spans="1:28" x14ac:dyDescent="0.25">
      <c r="A236">
        <v>235</v>
      </c>
      <c r="B236">
        <v>543781884</v>
      </c>
      <c r="C236" s="7" t="s">
        <v>27</v>
      </c>
      <c r="D236">
        <v>-0.17297100000000001</v>
      </c>
      <c r="E236">
        <v>1.91351</v>
      </c>
      <c r="F236">
        <v>-0.17297100000000001</v>
      </c>
      <c r="G236" s="3">
        <f>firm_data[[#This Row],[production]]-firm_data[[#This Row],[sales]]</f>
        <v>0</v>
      </c>
      <c r="H236">
        <v>0</v>
      </c>
      <c r="I236">
        <v>-0.69452899999999995</v>
      </c>
      <c r="J236">
        <v>2</v>
      </c>
      <c r="K236">
        <v>2</v>
      </c>
      <c r="L236">
        <v>0</v>
      </c>
      <c r="M236">
        <v>5</v>
      </c>
      <c r="N236">
        <v>0</v>
      </c>
      <c r="O236">
        <v>0</v>
      </c>
      <c r="P236">
        <v>0.99990000000000001</v>
      </c>
      <c r="Q236" s="7" t="s">
        <v>28</v>
      </c>
      <c r="R236" s="7" t="s">
        <v>151</v>
      </c>
      <c r="S236">
        <v>0</v>
      </c>
      <c r="T236">
        <v>7.3061299999999996</v>
      </c>
      <c r="U236">
        <v>6.0060099999999998</v>
      </c>
      <c r="V236">
        <v>0</v>
      </c>
      <c r="W236">
        <v>1.8311200000000001</v>
      </c>
      <c r="X236">
        <v>0</v>
      </c>
      <c r="Y236">
        <v>4</v>
      </c>
      <c r="Z236">
        <v>0</v>
      </c>
      <c r="AA236">
        <v>72.792900000000003</v>
      </c>
      <c r="AB236">
        <v>7.0658899999999996</v>
      </c>
    </row>
    <row r="237" spans="1:28" x14ac:dyDescent="0.25">
      <c r="A237">
        <v>236</v>
      </c>
      <c r="B237">
        <v>366471115</v>
      </c>
      <c r="C237" s="7" t="s">
        <v>27</v>
      </c>
      <c r="D237">
        <v>-0.17297100000000001</v>
      </c>
      <c r="E237">
        <v>1.91351</v>
      </c>
      <c r="F237">
        <v>-0.17297100000000001</v>
      </c>
      <c r="G237" s="3">
        <f>firm_data[[#This Row],[production]]-firm_data[[#This Row],[sales]]</f>
        <v>0</v>
      </c>
      <c r="H237">
        <v>0</v>
      </c>
      <c r="I237">
        <v>-0.69452899999999995</v>
      </c>
      <c r="J237">
        <v>2</v>
      </c>
      <c r="K237">
        <v>2</v>
      </c>
      <c r="L237">
        <v>0</v>
      </c>
      <c r="M237">
        <v>5</v>
      </c>
      <c r="N237">
        <v>0</v>
      </c>
      <c r="O237">
        <v>0</v>
      </c>
      <c r="P237">
        <v>0.99990000000000001</v>
      </c>
      <c r="Q237" s="7" t="s">
        <v>28</v>
      </c>
      <c r="R237" s="7" t="s">
        <v>151</v>
      </c>
      <c r="S237">
        <v>0</v>
      </c>
      <c r="T237">
        <v>7.1860099999999996</v>
      </c>
      <c r="U237">
        <v>6.0060099999999998</v>
      </c>
      <c r="V237">
        <v>0</v>
      </c>
      <c r="W237">
        <v>1.8311200000000001</v>
      </c>
      <c r="X237">
        <v>0</v>
      </c>
      <c r="Y237">
        <v>4</v>
      </c>
      <c r="Z237">
        <v>0</v>
      </c>
      <c r="AA237">
        <v>72.053100000000001</v>
      </c>
      <c r="AB237">
        <v>7.0658899999999996</v>
      </c>
    </row>
    <row r="238" spans="1:28" x14ac:dyDescent="0.25">
      <c r="A238">
        <v>237</v>
      </c>
      <c r="B238">
        <v>500825286</v>
      </c>
      <c r="C238" s="7" t="s">
        <v>27</v>
      </c>
      <c r="D238">
        <v>-3.4784799999999998</v>
      </c>
      <c r="E238">
        <v>1.91351</v>
      </c>
      <c r="F238">
        <v>-3.4784799999999998</v>
      </c>
      <c r="G238" s="3">
        <f>firm_data[[#This Row],[production]]-firm_data[[#This Row],[sales]]</f>
        <v>0</v>
      </c>
      <c r="H238">
        <v>0</v>
      </c>
      <c r="I238">
        <v>-0.69452899999999995</v>
      </c>
      <c r="J238">
        <v>2</v>
      </c>
      <c r="K238">
        <v>2</v>
      </c>
      <c r="L238">
        <v>0</v>
      </c>
      <c r="M238">
        <v>5</v>
      </c>
      <c r="N238">
        <v>0</v>
      </c>
      <c r="O238">
        <v>0</v>
      </c>
      <c r="P238">
        <v>0.99990000000000001</v>
      </c>
      <c r="Q238" s="7" t="s">
        <v>28</v>
      </c>
      <c r="R238" s="7" t="s">
        <v>151</v>
      </c>
      <c r="S238">
        <v>0</v>
      </c>
      <c r="T238">
        <v>7.4262499999999996</v>
      </c>
      <c r="U238">
        <v>6.0060099999999998</v>
      </c>
      <c r="V238">
        <v>3.3055099999999999</v>
      </c>
      <c r="W238">
        <v>1.8311200000000001</v>
      </c>
      <c r="X238">
        <v>0.36036099999999999</v>
      </c>
      <c r="Y238">
        <v>4</v>
      </c>
      <c r="Z238">
        <v>3.6556999999999999</v>
      </c>
      <c r="AA238">
        <v>75.336100000000002</v>
      </c>
      <c r="AB238">
        <v>7.0658899999999996</v>
      </c>
    </row>
    <row r="239" spans="1:28" x14ac:dyDescent="0.25">
      <c r="A239">
        <v>238</v>
      </c>
      <c r="B239">
        <v>840295589</v>
      </c>
      <c r="C239" s="7" t="s">
        <v>27</v>
      </c>
      <c r="D239">
        <v>-0.17297100000000001</v>
      </c>
      <c r="E239">
        <v>1.91351</v>
      </c>
      <c r="F239">
        <v>-0.17297100000000001</v>
      </c>
      <c r="G239" s="3">
        <f>firm_data[[#This Row],[production]]-firm_data[[#This Row],[sales]]</f>
        <v>0</v>
      </c>
      <c r="H239">
        <v>0</v>
      </c>
      <c r="I239">
        <v>-0.69452899999999995</v>
      </c>
      <c r="J239">
        <v>2</v>
      </c>
      <c r="K239">
        <v>2</v>
      </c>
      <c r="L239">
        <v>0</v>
      </c>
      <c r="M239">
        <v>5</v>
      </c>
      <c r="N239">
        <v>0</v>
      </c>
      <c r="O239">
        <v>0</v>
      </c>
      <c r="P239">
        <v>0.99990000000000001</v>
      </c>
      <c r="Q239" s="7" t="s">
        <v>28</v>
      </c>
      <c r="R239" s="7" t="s">
        <v>151</v>
      </c>
      <c r="S239">
        <v>0</v>
      </c>
      <c r="T239">
        <v>7.3061299999999996</v>
      </c>
      <c r="U239">
        <v>6.0060099999999998</v>
      </c>
      <c r="V239">
        <v>0</v>
      </c>
      <c r="W239">
        <v>1.8311200000000001</v>
      </c>
      <c r="X239">
        <v>0</v>
      </c>
      <c r="Y239">
        <v>4</v>
      </c>
      <c r="Z239">
        <v>0</v>
      </c>
      <c r="AA239">
        <v>73.636499999999998</v>
      </c>
      <c r="AB239">
        <v>7.0658899999999996</v>
      </c>
    </row>
    <row r="240" spans="1:28" x14ac:dyDescent="0.25">
      <c r="A240">
        <v>239</v>
      </c>
      <c r="B240">
        <v>446191670</v>
      </c>
      <c r="C240" s="7" t="s">
        <v>27</v>
      </c>
      <c r="D240">
        <v>-0.17297100000000001</v>
      </c>
      <c r="E240">
        <v>1.91351</v>
      </c>
      <c r="F240">
        <v>-0.17297100000000001</v>
      </c>
      <c r="G240" s="3">
        <f>firm_data[[#This Row],[production]]-firm_data[[#This Row],[sales]]</f>
        <v>0</v>
      </c>
      <c r="H240">
        <v>0</v>
      </c>
      <c r="I240">
        <v>-0.69452899999999995</v>
      </c>
      <c r="J240">
        <v>2</v>
      </c>
      <c r="K240">
        <v>2</v>
      </c>
      <c r="L240">
        <v>0</v>
      </c>
      <c r="M240">
        <v>5</v>
      </c>
      <c r="N240">
        <v>0</v>
      </c>
      <c r="O240">
        <v>0</v>
      </c>
      <c r="P240">
        <v>0.99990000000000001</v>
      </c>
      <c r="Q240" s="7" t="s">
        <v>28</v>
      </c>
      <c r="R240" s="7" t="s">
        <v>151</v>
      </c>
      <c r="S240">
        <v>0</v>
      </c>
      <c r="T240">
        <v>7.1860099999999996</v>
      </c>
      <c r="U240">
        <v>6.0060099999999998</v>
      </c>
      <c r="V240">
        <v>0</v>
      </c>
      <c r="W240">
        <v>1.8311200000000001</v>
      </c>
      <c r="X240">
        <v>0</v>
      </c>
      <c r="Y240">
        <v>4</v>
      </c>
      <c r="Z240">
        <v>0</v>
      </c>
      <c r="AA240">
        <v>73.368499999999997</v>
      </c>
      <c r="AB240">
        <v>7.0658899999999996</v>
      </c>
    </row>
    <row r="241" spans="1:28" x14ac:dyDescent="0.25">
      <c r="A241">
        <v>240</v>
      </c>
      <c r="B241">
        <v>240511312</v>
      </c>
      <c r="C241" s="7" t="s">
        <v>27</v>
      </c>
      <c r="D241">
        <v>-0.17297100000000001</v>
      </c>
      <c r="E241">
        <v>1.91351</v>
      </c>
      <c r="F241">
        <v>-0.17297100000000001</v>
      </c>
      <c r="G241" s="3">
        <f>firm_data[[#This Row],[production]]-firm_data[[#This Row],[sales]]</f>
        <v>0</v>
      </c>
      <c r="H241">
        <v>0</v>
      </c>
      <c r="I241">
        <v>-0.69452899999999995</v>
      </c>
      <c r="J241">
        <v>2</v>
      </c>
      <c r="K241">
        <v>2</v>
      </c>
      <c r="L241">
        <v>0</v>
      </c>
      <c r="M241">
        <v>5</v>
      </c>
      <c r="N241">
        <v>0</v>
      </c>
      <c r="O241">
        <v>0</v>
      </c>
      <c r="P241">
        <v>0.99990000000000001</v>
      </c>
      <c r="Q241" s="7" t="s">
        <v>28</v>
      </c>
      <c r="R241" s="7" t="s">
        <v>151</v>
      </c>
      <c r="S241">
        <v>0</v>
      </c>
      <c r="T241">
        <v>7.0658899999999996</v>
      </c>
      <c r="U241">
        <v>6.0060099999999998</v>
      </c>
      <c r="V241">
        <v>0</v>
      </c>
      <c r="W241">
        <v>1.8311200000000001</v>
      </c>
      <c r="X241">
        <v>0</v>
      </c>
      <c r="Y241">
        <v>4</v>
      </c>
      <c r="Z241">
        <v>0</v>
      </c>
      <c r="AA241">
        <v>73.147099999999995</v>
      </c>
      <c r="AB241">
        <v>7.0658899999999996</v>
      </c>
    </row>
    <row r="242" spans="1:28" x14ac:dyDescent="0.25">
      <c r="A242">
        <v>241</v>
      </c>
      <c r="B242">
        <v>773880751</v>
      </c>
      <c r="C242" s="7" t="s">
        <v>27</v>
      </c>
      <c r="D242">
        <v>-0.17297100000000001</v>
      </c>
      <c r="E242">
        <v>1.91351</v>
      </c>
      <c r="F242">
        <v>-0.17297100000000001</v>
      </c>
      <c r="G242" s="3">
        <f>firm_data[[#This Row],[production]]-firm_data[[#This Row],[sales]]</f>
        <v>0</v>
      </c>
      <c r="H242">
        <v>0</v>
      </c>
      <c r="I242">
        <v>-0.69452899999999995</v>
      </c>
      <c r="J242">
        <v>2</v>
      </c>
      <c r="K242">
        <v>2</v>
      </c>
      <c r="L242">
        <v>0</v>
      </c>
      <c r="M242">
        <v>5</v>
      </c>
      <c r="N242">
        <v>0</v>
      </c>
      <c r="O242">
        <v>0</v>
      </c>
      <c r="P242">
        <v>0.99990000000000001</v>
      </c>
      <c r="Q242" s="7" t="s">
        <v>28</v>
      </c>
      <c r="R242" s="7" t="s">
        <v>151</v>
      </c>
      <c r="S242">
        <v>0</v>
      </c>
      <c r="T242">
        <v>6.9457700000000004</v>
      </c>
      <c r="U242">
        <v>6.0060099999999998</v>
      </c>
      <c r="V242">
        <v>0</v>
      </c>
      <c r="W242">
        <v>1.8311200000000001</v>
      </c>
      <c r="X242">
        <v>0</v>
      </c>
      <c r="Y242">
        <v>4</v>
      </c>
      <c r="Z242">
        <v>0</v>
      </c>
      <c r="AA242">
        <v>72.902000000000001</v>
      </c>
      <c r="AB242">
        <v>7.0658899999999996</v>
      </c>
    </row>
    <row r="243" spans="1:28" x14ac:dyDescent="0.25">
      <c r="A243">
        <v>242</v>
      </c>
      <c r="B243">
        <v>968142369</v>
      </c>
      <c r="C243" s="7" t="s">
        <v>27</v>
      </c>
      <c r="D243">
        <v>-6.4143499999999998</v>
      </c>
      <c r="E243">
        <v>1.91351</v>
      </c>
      <c r="F243">
        <v>-6.4143499999999998</v>
      </c>
      <c r="G243" s="3">
        <f>firm_data[[#This Row],[production]]-firm_data[[#This Row],[sales]]</f>
        <v>0</v>
      </c>
      <c r="H243">
        <v>0</v>
      </c>
      <c r="I243">
        <v>-0.69452899999999995</v>
      </c>
      <c r="J243">
        <v>2</v>
      </c>
      <c r="K243">
        <v>2</v>
      </c>
      <c r="L243">
        <v>0</v>
      </c>
      <c r="M243">
        <v>5</v>
      </c>
      <c r="N243">
        <v>0</v>
      </c>
      <c r="O243">
        <v>0</v>
      </c>
      <c r="P243">
        <v>0.99990000000000001</v>
      </c>
      <c r="Q243" s="7" t="s">
        <v>28</v>
      </c>
      <c r="R243" s="7" t="s">
        <v>151</v>
      </c>
      <c r="S243">
        <v>0</v>
      </c>
      <c r="T243">
        <v>7.4262499999999996</v>
      </c>
      <c r="U243">
        <v>6.0060099999999998</v>
      </c>
      <c r="V243">
        <v>6.2413800000000004</v>
      </c>
      <c r="W243">
        <v>1.8311200000000001</v>
      </c>
      <c r="X243">
        <v>0.60060100000000005</v>
      </c>
      <c r="Y243">
        <v>4</v>
      </c>
      <c r="Z243">
        <v>6.2790699999999999</v>
      </c>
      <c r="AA243">
        <v>77.638800000000003</v>
      </c>
      <c r="AB243">
        <v>7.0658899999999996</v>
      </c>
    </row>
    <row r="244" spans="1:28" x14ac:dyDescent="0.25">
      <c r="A244">
        <v>243</v>
      </c>
      <c r="B244">
        <v>207368622</v>
      </c>
      <c r="C244" s="7" t="s">
        <v>27</v>
      </c>
      <c r="D244">
        <v>-1.4274100000000001</v>
      </c>
      <c r="E244">
        <v>1.91351</v>
      </c>
      <c r="F244">
        <v>-1.4274100000000001</v>
      </c>
      <c r="G244" s="3">
        <f>firm_data[[#This Row],[production]]-firm_data[[#This Row],[sales]]</f>
        <v>0</v>
      </c>
      <c r="H244">
        <v>0</v>
      </c>
      <c r="I244">
        <v>-0.69452899999999995</v>
      </c>
      <c r="J244">
        <v>2</v>
      </c>
      <c r="K244">
        <v>2</v>
      </c>
      <c r="L244">
        <v>0</v>
      </c>
      <c r="M244">
        <v>5</v>
      </c>
      <c r="N244">
        <v>0</v>
      </c>
      <c r="O244">
        <v>0</v>
      </c>
      <c r="P244">
        <v>0.99990000000000001</v>
      </c>
      <c r="Q244" s="7" t="s">
        <v>28</v>
      </c>
      <c r="R244" s="7" t="s">
        <v>151</v>
      </c>
      <c r="S244">
        <v>0</v>
      </c>
      <c r="T244">
        <v>7.4262499999999996</v>
      </c>
      <c r="U244">
        <v>6.0060099999999998</v>
      </c>
      <c r="V244">
        <v>1.25444</v>
      </c>
      <c r="W244">
        <v>1.8311200000000001</v>
      </c>
      <c r="X244">
        <v>0.12012</v>
      </c>
      <c r="Y244">
        <v>4</v>
      </c>
      <c r="Z244">
        <v>1.26603</v>
      </c>
      <c r="AA244">
        <v>78.270499999999998</v>
      </c>
      <c r="AB244">
        <v>7.0658899999999996</v>
      </c>
    </row>
    <row r="245" spans="1:28" x14ac:dyDescent="0.25">
      <c r="A245">
        <v>244</v>
      </c>
      <c r="B245">
        <v>412283738</v>
      </c>
      <c r="C245" s="7" t="s">
        <v>27</v>
      </c>
      <c r="D245">
        <v>-0.17297100000000001</v>
      </c>
      <c r="E245">
        <v>1.91351</v>
      </c>
      <c r="F245">
        <v>-0.17297100000000001</v>
      </c>
      <c r="G245" s="3">
        <f>firm_data[[#This Row],[production]]-firm_data[[#This Row],[sales]]</f>
        <v>0</v>
      </c>
      <c r="H245">
        <v>0</v>
      </c>
      <c r="I245">
        <v>-0.69452899999999995</v>
      </c>
      <c r="J245">
        <v>2</v>
      </c>
      <c r="K245">
        <v>2</v>
      </c>
      <c r="L245">
        <v>0</v>
      </c>
      <c r="M245">
        <v>5</v>
      </c>
      <c r="N245">
        <v>0</v>
      </c>
      <c r="O245">
        <v>0</v>
      </c>
      <c r="P245">
        <v>0.99990000000000001</v>
      </c>
      <c r="Q245" s="7" t="s">
        <v>28</v>
      </c>
      <c r="R245" s="7" t="s">
        <v>151</v>
      </c>
      <c r="S245">
        <v>0</v>
      </c>
      <c r="T245">
        <v>7.3061299999999996</v>
      </c>
      <c r="U245">
        <v>6.0060099999999998</v>
      </c>
      <c r="V245">
        <v>0</v>
      </c>
      <c r="W245">
        <v>1.8311200000000001</v>
      </c>
      <c r="X245">
        <v>0</v>
      </c>
      <c r="Y245">
        <v>4</v>
      </c>
      <c r="Z245">
        <v>0</v>
      </c>
      <c r="AA245">
        <v>76.930199999999999</v>
      </c>
      <c r="AB245">
        <v>7.0658899999999996</v>
      </c>
    </row>
    <row r="246" spans="1:28" x14ac:dyDescent="0.25">
      <c r="A246">
        <v>245</v>
      </c>
      <c r="B246">
        <v>956168485</v>
      </c>
      <c r="C246" s="7" t="s">
        <v>27</v>
      </c>
      <c r="D246">
        <v>-0.17297100000000001</v>
      </c>
      <c r="E246">
        <v>1.91351</v>
      </c>
      <c r="F246">
        <v>-0.17297100000000001</v>
      </c>
      <c r="G246" s="3">
        <f>firm_data[[#This Row],[production]]-firm_data[[#This Row],[sales]]</f>
        <v>0</v>
      </c>
      <c r="H246">
        <v>0</v>
      </c>
      <c r="I246">
        <v>-0.69452899999999995</v>
      </c>
      <c r="J246">
        <v>2</v>
      </c>
      <c r="K246">
        <v>2</v>
      </c>
      <c r="L246">
        <v>0</v>
      </c>
      <c r="M246">
        <v>5</v>
      </c>
      <c r="N246">
        <v>0</v>
      </c>
      <c r="O246">
        <v>0</v>
      </c>
      <c r="P246">
        <v>0.99990000000000001</v>
      </c>
      <c r="Q246" s="7" t="s">
        <v>28</v>
      </c>
      <c r="R246" s="7" t="s">
        <v>151</v>
      </c>
      <c r="S246">
        <v>0</v>
      </c>
      <c r="T246">
        <v>7.1860099999999996</v>
      </c>
      <c r="U246">
        <v>6.0060099999999998</v>
      </c>
      <c r="V246">
        <v>0</v>
      </c>
      <c r="W246">
        <v>1.8311200000000001</v>
      </c>
      <c r="X246">
        <v>0</v>
      </c>
      <c r="Y246">
        <v>4</v>
      </c>
      <c r="Z246">
        <v>0</v>
      </c>
      <c r="AA246">
        <v>75.920599999999993</v>
      </c>
      <c r="AB246">
        <v>7.0658899999999996</v>
      </c>
    </row>
    <row r="247" spans="1:28" x14ac:dyDescent="0.25">
      <c r="A247">
        <v>246</v>
      </c>
      <c r="B247">
        <v>686698496</v>
      </c>
      <c r="C247" s="7" t="s">
        <v>27</v>
      </c>
      <c r="D247">
        <v>-0.17297100000000001</v>
      </c>
      <c r="E247">
        <v>1.91351</v>
      </c>
      <c r="F247">
        <v>-0.17297100000000001</v>
      </c>
      <c r="G247" s="3">
        <f>firm_data[[#This Row],[production]]-firm_data[[#This Row],[sales]]</f>
        <v>0</v>
      </c>
      <c r="H247">
        <v>0</v>
      </c>
      <c r="I247">
        <v>-0.69452899999999995</v>
      </c>
      <c r="J247">
        <v>2</v>
      </c>
      <c r="K247">
        <v>2</v>
      </c>
      <c r="L247">
        <v>0</v>
      </c>
      <c r="M247">
        <v>5</v>
      </c>
      <c r="N247">
        <v>0</v>
      </c>
      <c r="O247">
        <v>0</v>
      </c>
      <c r="P247">
        <v>0.99990000000000001</v>
      </c>
      <c r="Q247" s="7" t="s">
        <v>28</v>
      </c>
      <c r="R247" s="7" t="s">
        <v>151</v>
      </c>
      <c r="S247">
        <v>0</v>
      </c>
      <c r="T247">
        <v>7.0658899999999996</v>
      </c>
      <c r="U247">
        <v>6.0060099999999998</v>
      </c>
      <c r="V247">
        <v>0</v>
      </c>
      <c r="W247">
        <v>1.8311200000000001</v>
      </c>
      <c r="X247">
        <v>0</v>
      </c>
      <c r="Y247">
        <v>4</v>
      </c>
      <c r="Z247">
        <v>0</v>
      </c>
      <c r="AA247">
        <v>75.008099999999999</v>
      </c>
      <c r="AB247">
        <v>7.0658899999999996</v>
      </c>
    </row>
    <row r="248" spans="1:28" x14ac:dyDescent="0.25">
      <c r="A248">
        <v>247</v>
      </c>
      <c r="B248">
        <v>254337552</v>
      </c>
      <c r="C248" s="7" t="s">
        <v>27</v>
      </c>
      <c r="D248">
        <v>-0.17297100000000001</v>
      </c>
      <c r="E248">
        <v>1.91351</v>
      </c>
      <c r="F248">
        <v>-0.17297100000000001</v>
      </c>
      <c r="G248" s="3">
        <f>firm_data[[#This Row],[production]]-firm_data[[#This Row],[sales]]</f>
        <v>0</v>
      </c>
      <c r="H248">
        <v>0</v>
      </c>
      <c r="I248">
        <v>-0.69452899999999995</v>
      </c>
      <c r="J248">
        <v>2</v>
      </c>
      <c r="K248">
        <v>2</v>
      </c>
      <c r="L248">
        <v>0</v>
      </c>
      <c r="M248">
        <v>5</v>
      </c>
      <c r="N248">
        <v>0</v>
      </c>
      <c r="O248">
        <v>0</v>
      </c>
      <c r="P248">
        <v>0.99990000000000001</v>
      </c>
      <c r="Q248" s="7" t="s">
        <v>28</v>
      </c>
      <c r="R248" s="7" t="s">
        <v>151</v>
      </c>
      <c r="S248">
        <v>0</v>
      </c>
      <c r="T248">
        <v>6.9457700000000004</v>
      </c>
      <c r="U248">
        <v>6.0060099999999998</v>
      </c>
      <c r="V248">
        <v>0</v>
      </c>
      <c r="W248">
        <v>1.8311200000000001</v>
      </c>
      <c r="X248">
        <v>0</v>
      </c>
      <c r="Y248">
        <v>4</v>
      </c>
      <c r="Z248">
        <v>0</v>
      </c>
      <c r="AA248">
        <v>74.597800000000007</v>
      </c>
      <c r="AB248">
        <v>7.0658899999999996</v>
      </c>
    </row>
    <row r="249" spans="1:28" x14ac:dyDescent="0.25">
      <c r="A249">
        <v>248</v>
      </c>
      <c r="B249">
        <v>723789435</v>
      </c>
      <c r="C249" s="7" t="s">
        <v>27</v>
      </c>
      <c r="D249">
        <v>-0.17297100000000001</v>
      </c>
      <c r="E249">
        <v>1.91351</v>
      </c>
      <c r="F249">
        <v>-0.17297100000000001</v>
      </c>
      <c r="G249" s="3">
        <f>firm_data[[#This Row],[production]]-firm_data[[#This Row],[sales]]</f>
        <v>0</v>
      </c>
      <c r="H249">
        <v>0</v>
      </c>
      <c r="I249">
        <v>-0.69452899999999995</v>
      </c>
      <c r="J249">
        <v>2</v>
      </c>
      <c r="K249">
        <v>2</v>
      </c>
      <c r="L249">
        <v>0</v>
      </c>
      <c r="M249">
        <v>5</v>
      </c>
      <c r="N249">
        <v>0</v>
      </c>
      <c r="O249">
        <v>0</v>
      </c>
      <c r="P249">
        <v>0.99990000000000001</v>
      </c>
      <c r="Q249" s="7" t="s">
        <v>28</v>
      </c>
      <c r="R249" s="7" t="s">
        <v>151</v>
      </c>
      <c r="S249">
        <v>0</v>
      </c>
      <c r="T249">
        <v>6.8256500000000004</v>
      </c>
      <c r="U249">
        <v>6.0060099999999998</v>
      </c>
      <c r="V249">
        <v>0</v>
      </c>
      <c r="W249">
        <v>1.8311200000000001</v>
      </c>
      <c r="X249">
        <v>0</v>
      </c>
      <c r="Y249">
        <v>4</v>
      </c>
      <c r="Z249">
        <v>0</v>
      </c>
      <c r="AA249">
        <v>74.214100000000002</v>
      </c>
      <c r="AB249">
        <v>7.0658899999999996</v>
      </c>
    </row>
    <row r="250" spans="1:28" x14ac:dyDescent="0.25">
      <c r="A250">
        <v>249</v>
      </c>
      <c r="B250">
        <v>257004539</v>
      </c>
      <c r="C250" s="7" t="s">
        <v>27</v>
      </c>
      <c r="D250">
        <v>-0.17297100000000001</v>
      </c>
      <c r="E250">
        <v>1.91351</v>
      </c>
      <c r="F250">
        <v>-0.17297100000000001</v>
      </c>
      <c r="G250" s="3">
        <f>firm_data[[#This Row],[production]]-firm_data[[#This Row],[sales]]</f>
        <v>0</v>
      </c>
      <c r="H250">
        <v>0</v>
      </c>
      <c r="I250">
        <v>-0.69452899999999995</v>
      </c>
      <c r="J250">
        <v>2</v>
      </c>
      <c r="K250">
        <v>2</v>
      </c>
      <c r="L250">
        <v>0</v>
      </c>
      <c r="M250">
        <v>5</v>
      </c>
      <c r="N250">
        <v>0</v>
      </c>
      <c r="O250">
        <v>0</v>
      </c>
      <c r="P250">
        <v>0.99990000000000001</v>
      </c>
      <c r="Q250" s="7" t="s">
        <v>28</v>
      </c>
      <c r="R250" s="7" t="s">
        <v>151</v>
      </c>
      <c r="S250">
        <v>0</v>
      </c>
      <c r="T250">
        <v>6.7055300000000004</v>
      </c>
      <c r="U250">
        <v>6.0060099999999998</v>
      </c>
      <c r="V250">
        <v>0</v>
      </c>
      <c r="W250">
        <v>1.8311200000000001</v>
      </c>
      <c r="X250">
        <v>0</v>
      </c>
      <c r="Y250">
        <v>4</v>
      </c>
      <c r="Z250">
        <v>0</v>
      </c>
      <c r="AA250">
        <v>73.808499999999995</v>
      </c>
      <c r="AB250">
        <v>7.0658899999999996</v>
      </c>
    </row>
    <row r="251" spans="1:28" x14ac:dyDescent="0.25">
      <c r="A251">
        <v>250</v>
      </c>
      <c r="B251">
        <v>22019533</v>
      </c>
      <c r="C251" s="7" t="s">
        <v>27</v>
      </c>
      <c r="D251">
        <v>-0.17297100000000001</v>
      </c>
      <c r="E251">
        <v>1.91351</v>
      </c>
      <c r="F251">
        <v>-0.17297100000000001</v>
      </c>
      <c r="G251" s="3">
        <f>firm_data[[#This Row],[production]]-firm_data[[#This Row],[sales]]</f>
        <v>0</v>
      </c>
      <c r="H251">
        <v>0</v>
      </c>
      <c r="I251">
        <v>-0.69452899999999995</v>
      </c>
      <c r="J251">
        <v>2</v>
      </c>
      <c r="K251">
        <v>2</v>
      </c>
      <c r="L251">
        <v>0</v>
      </c>
      <c r="M251">
        <v>5</v>
      </c>
      <c r="N251">
        <v>0</v>
      </c>
      <c r="O251">
        <v>0</v>
      </c>
      <c r="P251">
        <v>0.99990000000000001</v>
      </c>
      <c r="Q251" s="7" t="s">
        <v>28</v>
      </c>
      <c r="R251" s="7" t="s">
        <v>151</v>
      </c>
      <c r="S251">
        <v>0</v>
      </c>
      <c r="T251">
        <v>6.5854100000000004</v>
      </c>
      <c r="U251">
        <v>6.0060099999999998</v>
      </c>
      <c r="V251">
        <v>0</v>
      </c>
      <c r="W251">
        <v>1.8311200000000001</v>
      </c>
      <c r="X251">
        <v>0</v>
      </c>
      <c r="Y251">
        <v>4</v>
      </c>
      <c r="Z251">
        <v>0</v>
      </c>
      <c r="AA251">
        <v>73.336699999999993</v>
      </c>
      <c r="AB251">
        <v>7.0658899999999996</v>
      </c>
    </row>
    <row r="252" spans="1:28" x14ac:dyDescent="0.25">
      <c r="A252">
        <v>251</v>
      </c>
      <c r="B252">
        <v>55727148</v>
      </c>
      <c r="C252" s="7" t="s">
        <v>27</v>
      </c>
      <c r="D252">
        <v>-0.17297100000000001</v>
      </c>
      <c r="E252">
        <v>1.91351</v>
      </c>
      <c r="F252">
        <v>-0.17297100000000001</v>
      </c>
      <c r="G252" s="3">
        <f>firm_data[[#This Row],[production]]-firm_data[[#This Row],[sales]]</f>
        <v>0</v>
      </c>
      <c r="H252">
        <v>0</v>
      </c>
      <c r="I252">
        <v>-0.69452899999999995</v>
      </c>
      <c r="J252">
        <v>2</v>
      </c>
      <c r="K252">
        <v>2</v>
      </c>
      <c r="L252">
        <v>0</v>
      </c>
      <c r="M252">
        <v>5</v>
      </c>
      <c r="N252">
        <v>0</v>
      </c>
      <c r="O252">
        <v>0</v>
      </c>
      <c r="P252">
        <v>0.99990000000000001</v>
      </c>
      <c r="Q252" s="7" t="s">
        <v>28</v>
      </c>
      <c r="R252" s="7" t="s">
        <v>151</v>
      </c>
      <c r="S252">
        <v>0</v>
      </c>
      <c r="T252">
        <v>6.4652900000000004</v>
      </c>
      <c r="U252">
        <v>6.0060099999999998</v>
      </c>
      <c r="V252">
        <v>0</v>
      </c>
      <c r="W252">
        <v>1.8311200000000001</v>
      </c>
      <c r="X252">
        <v>0</v>
      </c>
      <c r="Y252">
        <v>4</v>
      </c>
      <c r="Z252">
        <v>0</v>
      </c>
      <c r="AA252">
        <v>72.811800000000005</v>
      </c>
      <c r="AB252">
        <v>7.0658899999999996</v>
      </c>
    </row>
    <row r="253" spans="1:28" x14ac:dyDescent="0.25">
      <c r="A253">
        <v>252</v>
      </c>
      <c r="B253">
        <v>460029646</v>
      </c>
      <c r="C253" s="7" t="s">
        <v>27</v>
      </c>
      <c r="D253">
        <v>-12.403499999999999</v>
      </c>
      <c r="E253">
        <v>1.91351</v>
      </c>
      <c r="F253">
        <v>-12.403499999999999</v>
      </c>
      <c r="G253" s="3">
        <f>firm_data[[#This Row],[production]]-firm_data[[#This Row],[sales]]</f>
        <v>0</v>
      </c>
      <c r="H253">
        <v>0</v>
      </c>
      <c r="I253">
        <v>-0.69452899999999995</v>
      </c>
      <c r="J253">
        <v>2</v>
      </c>
      <c r="K253">
        <v>2</v>
      </c>
      <c r="L253">
        <v>0</v>
      </c>
      <c r="M253">
        <v>5</v>
      </c>
      <c r="N253">
        <v>0</v>
      </c>
      <c r="O253">
        <v>0</v>
      </c>
      <c r="P253">
        <v>0.99990000000000001</v>
      </c>
      <c r="Q253" s="7" t="s">
        <v>28</v>
      </c>
      <c r="R253" s="7" t="s">
        <v>151</v>
      </c>
      <c r="S253">
        <v>0</v>
      </c>
      <c r="T253">
        <v>7.3451700000000004</v>
      </c>
      <c r="U253">
        <v>6.0060099999999998</v>
      </c>
      <c r="V253">
        <v>12.230499999999999</v>
      </c>
      <c r="W253">
        <v>1.8311200000000001</v>
      </c>
      <c r="X253">
        <v>1.08108</v>
      </c>
      <c r="Y253">
        <v>4</v>
      </c>
      <c r="Z253">
        <v>12.242599999999999</v>
      </c>
      <c r="AA253">
        <v>83.179299999999998</v>
      </c>
      <c r="AB253">
        <v>7.0658899999999996</v>
      </c>
    </row>
    <row r="254" spans="1:28" x14ac:dyDescent="0.25">
      <c r="A254">
        <v>253</v>
      </c>
      <c r="B254">
        <v>859940727</v>
      </c>
      <c r="C254" s="7" t="s">
        <v>27</v>
      </c>
      <c r="D254">
        <v>-2.3649</v>
      </c>
      <c r="E254">
        <v>1.91351</v>
      </c>
      <c r="F254">
        <v>-2.3649</v>
      </c>
      <c r="G254" s="3">
        <f>firm_data[[#This Row],[production]]-firm_data[[#This Row],[sales]]</f>
        <v>0</v>
      </c>
      <c r="H254">
        <v>0</v>
      </c>
      <c r="I254">
        <v>-0.69452899999999995</v>
      </c>
      <c r="J254">
        <v>2</v>
      </c>
      <c r="K254">
        <v>2</v>
      </c>
      <c r="L254">
        <v>0</v>
      </c>
      <c r="M254">
        <v>5</v>
      </c>
      <c r="N254">
        <v>0</v>
      </c>
      <c r="O254">
        <v>0</v>
      </c>
      <c r="P254">
        <v>0.99990000000000001</v>
      </c>
      <c r="Q254" s="7" t="s">
        <v>28</v>
      </c>
      <c r="R254" s="7" t="s">
        <v>151</v>
      </c>
      <c r="S254">
        <v>0</v>
      </c>
      <c r="T254">
        <v>7.4262499999999996</v>
      </c>
      <c r="U254">
        <v>6.0060099999999998</v>
      </c>
      <c r="V254">
        <v>2.1919300000000002</v>
      </c>
      <c r="W254">
        <v>1.8311200000000001</v>
      </c>
      <c r="X254">
        <v>0.20120099999999999</v>
      </c>
      <c r="Y254">
        <v>4</v>
      </c>
      <c r="Z254">
        <v>2.3154499999999998</v>
      </c>
      <c r="AA254">
        <v>85.462100000000007</v>
      </c>
      <c r="AB254">
        <v>7.0658899999999996</v>
      </c>
    </row>
    <row r="255" spans="1:28" x14ac:dyDescent="0.25">
      <c r="A255">
        <v>254</v>
      </c>
      <c r="B255">
        <v>327915947</v>
      </c>
      <c r="C255" s="7" t="s">
        <v>27</v>
      </c>
      <c r="D255">
        <v>-0.17297100000000001</v>
      </c>
      <c r="E255">
        <v>1.91351</v>
      </c>
      <c r="F255">
        <v>-0.17297100000000001</v>
      </c>
      <c r="G255" s="3">
        <f>firm_data[[#This Row],[production]]-firm_data[[#This Row],[sales]]</f>
        <v>0</v>
      </c>
      <c r="H255">
        <v>0</v>
      </c>
      <c r="I255">
        <v>-0.69452899999999995</v>
      </c>
      <c r="J255">
        <v>2</v>
      </c>
      <c r="K255">
        <v>2</v>
      </c>
      <c r="L255">
        <v>0</v>
      </c>
      <c r="M255">
        <v>5</v>
      </c>
      <c r="N255">
        <v>0</v>
      </c>
      <c r="O255">
        <v>0</v>
      </c>
      <c r="P255">
        <v>0.99990000000000001</v>
      </c>
      <c r="Q255" s="7" t="s">
        <v>28</v>
      </c>
      <c r="R255" s="7" t="s">
        <v>151</v>
      </c>
      <c r="S255">
        <v>0</v>
      </c>
      <c r="T255">
        <v>7.3061299999999996</v>
      </c>
      <c r="U255">
        <v>6.0060099999999998</v>
      </c>
      <c r="V255">
        <v>0</v>
      </c>
      <c r="W255">
        <v>1.8311200000000001</v>
      </c>
      <c r="X255">
        <v>0</v>
      </c>
      <c r="Y255">
        <v>4</v>
      </c>
      <c r="Z255">
        <v>0</v>
      </c>
      <c r="AA255">
        <v>84.998900000000006</v>
      </c>
      <c r="AB255">
        <v>7.0658899999999996</v>
      </c>
    </row>
    <row r="256" spans="1:28" x14ac:dyDescent="0.25">
      <c r="A256">
        <v>255</v>
      </c>
      <c r="B256">
        <v>802867316</v>
      </c>
      <c r="C256" s="7" t="s">
        <v>27</v>
      </c>
      <c r="D256">
        <v>-0.17297100000000001</v>
      </c>
      <c r="E256">
        <v>1.91351</v>
      </c>
      <c r="F256">
        <v>-0.17297100000000001</v>
      </c>
      <c r="G256" s="3">
        <f>firm_data[[#This Row],[production]]-firm_data[[#This Row],[sales]]</f>
        <v>0</v>
      </c>
      <c r="H256">
        <v>0</v>
      </c>
      <c r="I256">
        <v>-0.69452899999999995</v>
      </c>
      <c r="J256">
        <v>2</v>
      </c>
      <c r="K256">
        <v>2</v>
      </c>
      <c r="L256">
        <v>0</v>
      </c>
      <c r="M256">
        <v>5</v>
      </c>
      <c r="N256">
        <v>0</v>
      </c>
      <c r="O256">
        <v>0</v>
      </c>
      <c r="P256">
        <v>0.99990000000000001</v>
      </c>
      <c r="Q256" s="7" t="s">
        <v>28</v>
      </c>
      <c r="R256" s="7" t="s">
        <v>151</v>
      </c>
      <c r="S256">
        <v>0</v>
      </c>
      <c r="T256">
        <v>7.1860099999999996</v>
      </c>
      <c r="U256">
        <v>6.0060099999999998</v>
      </c>
      <c r="V256">
        <v>0</v>
      </c>
      <c r="W256">
        <v>1.8311200000000001</v>
      </c>
      <c r="X256">
        <v>0</v>
      </c>
      <c r="Y256">
        <v>4</v>
      </c>
      <c r="Z256">
        <v>0</v>
      </c>
      <c r="AA256">
        <v>84.802000000000007</v>
      </c>
      <c r="AB256">
        <v>7.0658899999999996</v>
      </c>
    </row>
    <row r="257" spans="1:28" x14ac:dyDescent="0.25">
      <c r="A257">
        <v>256</v>
      </c>
      <c r="B257">
        <v>40665707</v>
      </c>
      <c r="C257" s="7" t="s">
        <v>27</v>
      </c>
      <c r="D257">
        <v>-4.4219799999999996</v>
      </c>
      <c r="E257">
        <v>1.91351</v>
      </c>
      <c r="F257">
        <v>-4.4219799999999996</v>
      </c>
      <c r="G257" s="3">
        <f>firm_data[[#This Row],[production]]-firm_data[[#This Row],[sales]]</f>
        <v>0</v>
      </c>
      <c r="H257">
        <v>0</v>
      </c>
      <c r="I257">
        <v>-0.69452899999999995</v>
      </c>
      <c r="J257">
        <v>2</v>
      </c>
      <c r="K257">
        <v>2</v>
      </c>
      <c r="L257">
        <v>0</v>
      </c>
      <c r="M257">
        <v>5</v>
      </c>
      <c r="N257">
        <v>0</v>
      </c>
      <c r="O257">
        <v>0</v>
      </c>
      <c r="P257">
        <v>0.99990000000000001</v>
      </c>
      <c r="Q257" s="7" t="s">
        <v>28</v>
      </c>
      <c r="R257" s="7" t="s">
        <v>151</v>
      </c>
      <c r="S257">
        <v>0</v>
      </c>
      <c r="T257">
        <v>7.4262499999999996</v>
      </c>
      <c r="U257">
        <v>6.0060099999999998</v>
      </c>
      <c r="V257">
        <v>4.2490100000000002</v>
      </c>
      <c r="W257">
        <v>1.8311200000000001</v>
      </c>
      <c r="X257">
        <v>0.36036000000000001</v>
      </c>
      <c r="Y257">
        <v>4</v>
      </c>
      <c r="Z257">
        <v>4.30342</v>
      </c>
      <c r="AA257">
        <v>88.684200000000004</v>
      </c>
      <c r="AB257">
        <v>7.0658899999999996</v>
      </c>
    </row>
    <row r="258" spans="1:28" x14ac:dyDescent="0.25">
      <c r="A258">
        <v>257</v>
      </c>
      <c r="B258">
        <v>692806374</v>
      </c>
      <c r="C258" s="7" t="s">
        <v>27</v>
      </c>
      <c r="D258">
        <v>-0.17297100000000001</v>
      </c>
      <c r="E258">
        <v>1.91351</v>
      </c>
      <c r="F258">
        <v>-0.17297100000000001</v>
      </c>
      <c r="G258" s="3">
        <f>firm_data[[#This Row],[production]]-firm_data[[#This Row],[sales]]</f>
        <v>0</v>
      </c>
      <c r="H258">
        <v>0</v>
      </c>
      <c r="I258">
        <v>-0.69452899999999995</v>
      </c>
      <c r="J258">
        <v>2</v>
      </c>
      <c r="K258">
        <v>2</v>
      </c>
      <c r="L258">
        <v>0</v>
      </c>
      <c r="M258">
        <v>5</v>
      </c>
      <c r="N258">
        <v>0</v>
      </c>
      <c r="O258">
        <v>0</v>
      </c>
      <c r="P258">
        <v>0.99990000000000001</v>
      </c>
      <c r="Q258" s="7" t="s">
        <v>28</v>
      </c>
      <c r="R258" s="7" t="s">
        <v>151</v>
      </c>
      <c r="S258">
        <v>0</v>
      </c>
      <c r="T258">
        <v>7.3061299999999996</v>
      </c>
      <c r="U258">
        <v>6.0060099999999998</v>
      </c>
      <c r="V258">
        <v>0</v>
      </c>
      <c r="W258">
        <v>1.8311200000000001</v>
      </c>
      <c r="X258">
        <v>0</v>
      </c>
      <c r="Y258">
        <v>4</v>
      </c>
      <c r="Z258">
        <v>0</v>
      </c>
      <c r="AA258">
        <v>87.992400000000004</v>
      </c>
      <c r="AB258">
        <v>7.0658899999999996</v>
      </c>
    </row>
    <row r="259" spans="1:28" x14ac:dyDescent="0.25">
      <c r="A259">
        <v>258</v>
      </c>
      <c r="B259">
        <v>122247502</v>
      </c>
      <c r="C259" s="7" t="s">
        <v>27</v>
      </c>
      <c r="D259">
        <v>-0.17297100000000001</v>
      </c>
      <c r="E259">
        <v>1.91351</v>
      </c>
      <c r="F259">
        <v>-0.17297100000000001</v>
      </c>
      <c r="G259" s="3">
        <f>firm_data[[#This Row],[production]]-firm_data[[#This Row],[sales]]</f>
        <v>0</v>
      </c>
      <c r="H259">
        <v>0</v>
      </c>
      <c r="I259">
        <v>-0.69452899999999995</v>
      </c>
      <c r="J259">
        <v>2</v>
      </c>
      <c r="K259">
        <v>2</v>
      </c>
      <c r="L259">
        <v>0</v>
      </c>
      <c r="M259">
        <v>5</v>
      </c>
      <c r="N259">
        <v>0</v>
      </c>
      <c r="O259">
        <v>0</v>
      </c>
      <c r="P259">
        <v>0.99990000000000001</v>
      </c>
      <c r="Q259" s="7" t="s">
        <v>28</v>
      </c>
      <c r="R259" s="7" t="s">
        <v>151</v>
      </c>
      <c r="S259">
        <v>0</v>
      </c>
      <c r="T259">
        <v>7.1860099999999996</v>
      </c>
      <c r="U259">
        <v>6.0060099999999998</v>
      </c>
      <c r="V259">
        <v>0</v>
      </c>
      <c r="W259">
        <v>1.8311200000000001</v>
      </c>
      <c r="X259">
        <v>0</v>
      </c>
      <c r="Y259">
        <v>4</v>
      </c>
      <c r="Z259">
        <v>0</v>
      </c>
      <c r="AA259">
        <v>87.134200000000007</v>
      </c>
      <c r="AB259">
        <v>7.0658899999999996</v>
      </c>
    </row>
    <row r="260" spans="1:28" x14ac:dyDescent="0.25">
      <c r="A260">
        <v>259</v>
      </c>
      <c r="B260">
        <v>478167346</v>
      </c>
      <c r="C260" s="7" t="s">
        <v>27</v>
      </c>
      <c r="D260">
        <v>-0.17297100000000001</v>
      </c>
      <c r="E260">
        <v>1.91351</v>
      </c>
      <c r="F260">
        <v>-0.17297100000000001</v>
      </c>
      <c r="G260" s="3">
        <f>firm_data[[#This Row],[production]]-firm_data[[#This Row],[sales]]</f>
        <v>0</v>
      </c>
      <c r="H260">
        <v>0</v>
      </c>
      <c r="I260">
        <v>-0.69452899999999995</v>
      </c>
      <c r="J260">
        <v>2</v>
      </c>
      <c r="K260">
        <v>2</v>
      </c>
      <c r="L260">
        <v>0</v>
      </c>
      <c r="M260">
        <v>5</v>
      </c>
      <c r="N260">
        <v>0</v>
      </c>
      <c r="O260">
        <v>0</v>
      </c>
      <c r="P260">
        <v>0.99990000000000001</v>
      </c>
      <c r="Q260" s="7" t="s">
        <v>28</v>
      </c>
      <c r="R260" s="7" t="s">
        <v>151</v>
      </c>
      <c r="S260">
        <v>0</v>
      </c>
      <c r="T260">
        <v>7.0658899999999996</v>
      </c>
      <c r="U260">
        <v>6.0060099999999998</v>
      </c>
      <c r="V260">
        <v>0</v>
      </c>
      <c r="W260">
        <v>1.8311200000000001</v>
      </c>
      <c r="X260">
        <v>0</v>
      </c>
      <c r="Y260">
        <v>4</v>
      </c>
      <c r="Z260">
        <v>0</v>
      </c>
      <c r="AA260">
        <v>86.378500000000003</v>
      </c>
      <c r="AB260">
        <v>7.0658899999999996</v>
      </c>
    </row>
    <row r="261" spans="1:28" x14ac:dyDescent="0.25">
      <c r="A261">
        <v>260</v>
      </c>
      <c r="B261">
        <v>134576833</v>
      </c>
      <c r="C261" s="7" t="s">
        <v>27</v>
      </c>
      <c r="D261">
        <v>-0.17297100000000001</v>
      </c>
      <c r="E261">
        <v>1.91351</v>
      </c>
      <c r="F261">
        <v>-0.17297100000000001</v>
      </c>
      <c r="G261" s="3">
        <f>firm_data[[#This Row],[production]]-firm_data[[#This Row],[sales]]</f>
        <v>0</v>
      </c>
      <c r="H261">
        <v>0</v>
      </c>
      <c r="I261">
        <v>-0.69452899999999995</v>
      </c>
      <c r="J261">
        <v>2</v>
      </c>
      <c r="K261">
        <v>2</v>
      </c>
      <c r="L261">
        <v>0</v>
      </c>
      <c r="M261">
        <v>5</v>
      </c>
      <c r="N261">
        <v>0</v>
      </c>
      <c r="O261">
        <v>0</v>
      </c>
      <c r="P261">
        <v>0.99990000000000001</v>
      </c>
      <c r="Q261" s="7" t="s">
        <v>28</v>
      </c>
      <c r="R261" s="7" t="s">
        <v>151</v>
      </c>
      <c r="S261">
        <v>0</v>
      </c>
      <c r="T261">
        <v>6.9457700000000004</v>
      </c>
      <c r="U261">
        <v>6.0060099999999998</v>
      </c>
      <c r="V261">
        <v>0</v>
      </c>
      <c r="W261">
        <v>1.8311200000000001</v>
      </c>
      <c r="X261">
        <v>0</v>
      </c>
      <c r="Y261">
        <v>4</v>
      </c>
      <c r="Z261">
        <v>0</v>
      </c>
      <c r="AA261">
        <v>84.820700000000002</v>
      </c>
      <c r="AB261">
        <v>7.0658899999999996</v>
      </c>
    </row>
    <row r="262" spans="1:28" x14ac:dyDescent="0.25">
      <c r="A262">
        <v>261</v>
      </c>
      <c r="B262">
        <v>60807888</v>
      </c>
      <c r="C262" s="7" t="s">
        <v>27</v>
      </c>
      <c r="D262">
        <v>-0.17297100000000001</v>
      </c>
      <c r="E262">
        <v>1.91351</v>
      </c>
      <c r="F262">
        <v>-0.17297100000000001</v>
      </c>
      <c r="G262" s="3">
        <f>firm_data[[#This Row],[production]]-firm_data[[#This Row],[sales]]</f>
        <v>0</v>
      </c>
      <c r="H262">
        <v>0</v>
      </c>
      <c r="I262">
        <v>-0.69452899999999995</v>
      </c>
      <c r="J262">
        <v>2</v>
      </c>
      <c r="K262">
        <v>2</v>
      </c>
      <c r="L262">
        <v>0</v>
      </c>
      <c r="M262">
        <v>5</v>
      </c>
      <c r="N262">
        <v>0</v>
      </c>
      <c r="O262">
        <v>0</v>
      </c>
      <c r="P262">
        <v>0.99990000000000001</v>
      </c>
      <c r="Q262" s="7" t="s">
        <v>28</v>
      </c>
      <c r="R262" s="7" t="s">
        <v>151</v>
      </c>
      <c r="S262">
        <v>0</v>
      </c>
      <c r="T262">
        <v>6.8256500000000004</v>
      </c>
      <c r="U262">
        <v>6.0060099999999998</v>
      </c>
      <c r="V262">
        <v>0</v>
      </c>
      <c r="W262">
        <v>1.8311200000000001</v>
      </c>
      <c r="X262">
        <v>0</v>
      </c>
      <c r="Y262">
        <v>4</v>
      </c>
      <c r="Z262">
        <v>0</v>
      </c>
      <c r="AA262">
        <v>84.053399999999996</v>
      </c>
      <c r="AB262">
        <v>7.0658899999999996</v>
      </c>
    </row>
    <row r="263" spans="1:28" x14ac:dyDescent="0.25">
      <c r="A263">
        <v>262</v>
      </c>
      <c r="B263">
        <v>898859456</v>
      </c>
      <c r="C263" s="7" t="s">
        <v>27</v>
      </c>
      <c r="D263">
        <v>-0.17297100000000001</v>
      </c>
      <c r="E263">
        <v>1.91351</v>
      </c>
      <c r="F263">
        <v>-0.17297100000000001</v>
      </c>
      <c r="G263" s="3">
        <f>firm_data[[#This Row],[production]]-firm_data[[#This Row],[sales]]</f>
        <v>0</v>
      </c>
      <c r="H263">
        <v>0</v>
      </c>
      <c r="I263">
        <v>-0.69452899999999995</v>
      </c>
      <c r="J263">
        <v>2</v>
      </c>
      <c r="K263">
        <v>2</v>
      </c>
      <c r="L263">
        <v>0</v>
      </c>
      <c r="M263">
        <v>5</v>
      </c>
      <c r="N263">
        <v>0</v>
      </c>
      <c r="O263">
        <v>0</v>
      </c>
      <c r="P263">
        <v>0.99990000000000001</v>
      </c>
      <c r="Q263" s="7" t="s">
        <v>28</v>
      </c>
      <c r="R263" s="7" t="s">
        <v>151</v>
      </c>
      <c r="S263">
        <v>0</v>
      </c>
      <c r="T263">
        <v>6.7055300000000004</v>
      </c>
      <c r="U263">
        <v>6.0060099999999998</v>
      </c>
      <c r="V263">
        <v>0</v>
      </c>
      <c r="W263">
        <v>1.8311200000000001</v>
      </c>
      <c r="X263">
        <v>0</v>
      </c>
      <c r="Y263">
        <v>4</v>
      </c>
      <c r="Z263">
        <v>0</v>
      </c>
      <c r="AA263">
        <v>82.368499999999997</v>
      </c>
      <c r="AB263">
        <v>7.0658899999999996</v>
      </c>
    </row>
    <row r="264" spans="1:28" x14ac:dyDescent="0.25">
      <c r="A264">
        <v>263</v>
      </c>
      <c r="B264">
        <v>819354129</v>
      </c>
      <c r="C264" s="7" t="s">
        <v>27</v>
      </c>
      <c r="D264">
        <v>-0.17297100000000001</v>
      </c>
      <c r="E264">
        <v>1.91351</v>
      </c>
      <c r="F264">
        <v>-0.17297100000000001</v>
      </c>
      <c r="G264" s="3">
        <f>firm_data[[#This Row],[production]]-firm_data[[#This Row],[sales]]</f>
        <v>0</v>
      </c>
      <c r="H264">
        <v>0</v>
      </c>
      <c r="I264">
        <v>-0.69452899999999995</v>
      </c>
      <c r="J264">
        <v>2</v>
      </c>
      <c r="K264">
        <v>2</v>
      </c>
      <c r="L264">
        <v>0</v>
      </c>
      <c r="M264">
        <v>5</v>
      </c>
      <c r="N264">
        <v>0</v>
      </c>
      <c r="O264">
        <v>0</v>
      </c>
      <c r="P264">
        <v>0.99990000000000001</v>
      </c>
      <c r="Q264" s="7" t="s">
        <v>28</v>
      </c>
      <c r="R264" s="7" t="s">
        <v>151</v>
      </c>
      <c r="S264">
        <v>0</v>
      </c>
      <c r="T264">
        <v>6.5854100000000004</v>
      </c>
      <c r="U264">
        <v>6.0060099999999998</v>
      </c>
      <c r="V264">
        <v>0</v>
      </c>
      <c r="W264">
        <v>1.8311200000000001</v>
      </c>
      <c r="X264">
        <v>0</v>
      </c>
      <c r="Y264">
        <v>4</v>
      </c>
      <c r="Z264">
        <v>0</v>
      </c>
      <c r="AA264">
        <v>81.114000000000004</v>
      </c>
      <c r="AB264">
        <v>7.0658899999999996</v>
      </c>
    </row>
    <row r="265" spans="1:28" x14ac:dyDescent="0.25">
      <c r="A265">
        <v>264</v>
      </c>
      <c r="B265">
        <v>68213335</v>
      </c>
      <c r="C265" s="7" t="s">
        <v>27</v>
      </c>
      <c r="D265">
        <v>-12.097099999999999</v>
      </c>
      <c r="E265">
        <v>1.91351</v>
      </c>
      <c r="F265">
        <v>-12.097099999999999</v>
      </c>
      <c r="G265" s="3">
        <f>firm_data[[#This Row],[production]]-firm_data[[#This Row],[sales]]</f>
        <v>0</v>
      </c>
      <c r="H265">
        <v>0</v>
      </c>
      <c r="I265">
        <v>-0.69452899999999995</v>
      </c>
      <c r="J265">
        <v>2</v>
      </c>
      <c r="K265">
        <v>2</v>
      </c>
      <c r="L265">
        <v>0</v>
      </c>
      <c r="M265">
        <v>5</v>
      </c>
      <c r="N265">
        <v>0</v>
      </c>
      <c r="O265">
        <v>0</v>
      </c>
      <c r="P265">
        <v>0.99990000000000001</v>
      </c>
      <c r="Q265" s="7" t="s">
        <v>28</v>
      </c>
      <c r="R265" s="7" t="s">
        <v>151</v>
      </c>
      <c r="S265">
        <v>0</v>
      </c>
      <c r="T265">
        <v>7.4262499999999996</v>
      </c>
      <c r="U265">
        <v>6.0060099999999998</v>
      </c>
      <c r="V265">
        <v>11.924099999999999</v>
      </c>
      <c r="W265">
        <v>1.8311200000000001</v>
      </c>
      <c r="X265">
        <v>0.96096099999999995</v>
      </c>
      <c r="Y265">
        <v>4</v>
      </c>
      <c r="Z265">
        <v>11.8523</v>
      </c>
      <c r="AA265">
        <v>91.593699999999998</v>
      </c>
      <c r="AB265">
        <v>7.0658899999999996</v>
      </c>
    </row>
    <row r="266" spans="1:28" x14ac:dyDescent="0.25">
      <c r="A266">
        <v>265</v>
      </c>
      <c r="B266">
        <v>642711902</v>
      </c>
      <c r="C266" s="7" t="s">
        <v>27</v>
      </c>
      <c r="D266">
        <v>-0.17297100000000001</v>
      </c>
      <c r="E266">
        <v>1.91351</v>
      </c>
      <c r="F266">
        <v>-0.17297100000000001</v>
      </c>
      <c r="G266" s="3">
        <f>firm_data[[#This Row],[production]]-firm_data[[#This Row],[sales]]</f>
        <v>0</v>
      </c>
      <c r="H266">
        <v>0</v>
      </c>
      <c r="I266">
        <v>-0.69452899999999995</v>
      </c>
      <c r="J266">
        <v>2</v>
      </c>
      <c r="K266">
        <v>2</v>
      </c>
      <c r="L266">
        <v>0</v>
      </c>
      <c r="M266">
        <v>5</v>
      </c>
      <c r="N266">
        <v>0</v>
      </c>
      <c r="O266">
        <v>0</v>
      </c>
      <c r="P266">
        <v>0.99990000000000001</v>
      </c>
      <c r="Q266" s="7" t="s">
        <v>28</v>
      </c>
      <c r="R266" s="7" t="s">
        <v>151</v>
      </c>
      <c r="S266">
        <v>0</v>
      </c>
      <c r="T266">
        <v>7.3061299999999996</v>
      </c>
      <c r="U266">
        <v>6.0060099999999998</v>
      </c>
      <c r="V266">
        <v>0</v>
      </c>
      <c r="W266">
        <v>1.8311200000000001</v>
      </c>
      <c r="X266">
        <v>0</v>
      </c>
      <c r="Y266">
        <v>4</v>
      </c>
      <c r="Z266">
        <v>0</v>
      </c>
      <c r="AA266">
        <v>90.218299999999999</v>
      </c>
      <c r="AB266">
        <v>7.0658899999999996</v>
      </c>
    </row>
    <row r="267" spans="1:28" x14ac:dyDescent="0.25">
      <c r="A267">
        <v>266</v>
      </c>
      <c r="B267">
        <v>242500356</v>
      </c>
      <c r="C267" s="7" t="s">
        <v>27</v>
      </c>
      <c r="D267">
        <v>-0.17297100000000001</v>
      </c>
      <c r="E267">
        <v>1.91351</v>
      </c>
      <c r="F267">
        <v>-0.17297100000000001</v>
      </c>
      <c r="G267" s="3">
        <f>firm_data[[#This Row],[production]]-firm_data[[#This Row],[sales]]</f>
        <v>0</v>
      </c>
      <c r="H267">
        <v>0</v>
      </c>
      <c r="I267">
        <v>-0.69452899999999995</v>
      </c>
      <c r="J267">
        <v>2</v>
      </c>
      <c r="K267">
        <v>2</v>
      </c>
      <c r="L267">
        <v>0</v>
      </c>
      <c r="M267">
        <v>5</v>
      </c>
      <c r="N267">
        <v>0</v>
      </c>
      <c r="O267">
        <v>0</v>
      </c>
      <c r="P267">
        <v>0.99990000000000001</v>
      </c>
      <c r="Q267" s="7" t="s">
        <v>28</v>
      </c>
      <c r="R267" s="7" t="s">
        <v>151</v>
      </c>
      <c r="S267">
        <v>0</v>
      </c>
      <c r="T267">
        <v>7.1860099999999996</v>
      </c>
      <c r="U267">
        <v>6.0060099999999998</v>
      </c>
      <c r="V267">
        <v>0</v>
      </c>
      <c r="W267">
        <v>1.8311200000000001</v>
      </c>
      <c r="X267">
        <v>0</v>
      </c>
      <c r="Y267">
        <v>4</v>
      </c>
      <c r="Z267">
        <v>0</v>
      </c>
      <c r="AA267">
        <v>88.506100000000004</v>
      </c>
      <c r="AB267">
        <v>7.0658899999999996</v>
      </c>
    </row>
    <row r="268" spans="1:28" x14ac:dyDescent="0.25">
      <c r="A268">
        <v>267</v>
      </c>
      <c r="B268">
        <v>305998458</v>
      </c>
      <c r="C268" s="7" t="s">
        <v>27</v>
      </c>
      <c r="D268">
        <v>-0.17297100000000001</v>
      </c>
      <c r="E268">
        <v>1.91351</v>
      </c>
      <c r="F268">
        <v>-0.17297100000000001</v>
      </c>
      <c r="G268" s="3">
        <f>firm_data[[#This Row],[production]]-firm_data[[#This Row],[sales]]</f>
        <v>0</v>
      </c>
      <c r="H268">
        <v>0</v>
      </c>
      <c r="I268">
        <v>-0.69452899999999995</v>
      </c>
      <c r="J268">
        <v>2</v>
      </c>
      <c r="K268">
        <v>2</v>
      </c>
      <c r="L268">
        <v>0</v>
      </c>
      <c r="M268">
        <v>5</v>
      </c>
      <c r="N268">
        <v>0</v>
      </c>
      <c r="O268">
        <v>0</v>
      </c>
      <c r="P268">
        <v>0.99990000000000001</v>
      </c>
      <c r="Q268" s="7" t="s">
        <v>28</v>
      </c>
      <c r="R268" s="7" t="s">
        <v>151</v>
      </c>
      <c r="S268">
        <v>0</v>
      </c>
      <c r="T268">
        <v>7.0658899999999996</v>
      </c>
      <c r="U268">
        <v>6.0060099999999998</v>
      </c>
      <c r="V268">
        <v>0</v>
      </c>
      <c r="W268">
        <v>1.8311200000000001</v>
      </c>
      <c r="X268">
        <v>0</v>
      </c>
      <c r="Y268">
        <v>4</v>
      </c>
      <c r="Z268">
        <v>0</v>
      </c>
      <c r="AA268">
        <v>87.530100000000004</v>
      </c>
      <c r="AB268">
        <v>7.0658899999999996</v>
      </c>
    </row>
    <row r="269" spans="1:28" x14ac:dyDescent="0.25">
      <c r="A269">
        <v>268</v>
      </c>
      <c r="B269">
        <v>164264184</v>
      </c>
      <c r="C269" s="7" t="s">
        <v>27</v>
      </c>
      <c r="D269">
        <v>-0.17297100000000001</v>
      </c>
      <c r="E269">
        <v>1.91351</v>
      </c>
      <c r="F269">
        <v>-0.17297100000000001</v>
      </c>
      <c r="G269" s="3">
        <f>firm_data[[#This Row],[production]]-firm_data[[#This Row],[sales]]</f>
        <v>0</v>
      </c>
      <c r="H269">
        <v>0</v>
      </c>
      <c r="I269">
        <v>-0.69452899999999995</v>
      </c>
      <c r="J269">
        <v>2</v>
      </c>
      <c r="K269">
        <v>2</v>
      </c>
      <c r="L269">
        <v>0</v>
      </c>
      <c r="M269">
        <v>5</v>
      </c>
      <c r="N269">
        <v>0</v>
      </c>
      <c r="O269">
        <v>0</v>
      </c>
      <c r="P269">
        <v>0.99990000000000001</v>
      </c>
      <c r="Q269" s="7" t="s">
        <v>28</v>
      </c>
      <c r="R269" s="7" t="s">
        <v>151</v>
      </c>
      <c r="S269">
        <v>0</v>
      </c>
      <c r="T269">
        <v>6.9457700000000004</v>
      </c>
      <c r="U269">
        <v>6.0060099999999998</v>
      </c>
      <c r="V269">
        <v>0</v>
      </c>
      <c r="W269">
        <v>1.8311200000000001</v>
      </c>
      <c r="X269">
        <v>0</v>
      </c>
      <c r="Y269">
        <v>4</v>
      </c>
      <c r="Z269">
        <v>0</v>
      </c>
      <c r="AA269">
        <v>87.249700000000004</v>
      </c>
      <c r="AB269">
        <v>7.0658899999999996</v>
      </c>
    </row>
    <row r="270" spans="1:28" x14ac:dyDescent="0.25">
      <c r="A270">
        <v>269</v>
      </c>
      <c r="B270">
        <v>393914410</v>
      </c>
      <c r="C270" s="7" t="s">
        <v>27</v>
      </c>
      <c r="D270">
        <v>-0.17297100000000001</v>
      </c>
      <c r="E270">
        <v>1.91351</v>
      </c>
      <c r="F270">
        <v>-0.17297100000000001</v>
      </c>
      <c r="G270" s="3">
        <f>firm_data[[#This Row],[production]]-firm_data[[#This Row],[sales]]</f>
        <v>0</v>
      </c>
      <c r="H270">
        <v>0</v>
      </c>
      <c r="I270">
        <v>-0.69452899999999995</v>
      </c>
      <c r="J270">
        <v>2</v>
      </c>
      <c r="K270">
        <v>2</v>
      </c>
      <c r="L270">
        <v>0</v>
      </c>
      <c r="M270">
        <v>5</v>
      </c>
      <c r="N270">
        <v>0</v>
      </c>
      <c r="O270">
        <v>0</v>
      </c>
      <c r="P270">
        <v>0.99990000000000001</v>
      </c>
      <c r="Q270" s="7" t="s">
        <v>28</v>
      </c>
      <c r="R270" s="7" t="s">
        <v>151</v>
      </c>
      <c r="S270">
        <v>0</v>
      </c>
      <c r="T270">
        <v>6.8256500000000004</v>
      </c>
      <c r="U270">
        <v>6.0060099999999998</v>
      </c>
      <c r="V270">
        <v>0</v>
      </c>
      <c r="W270">
        <v>1.8311200000000001</v>
      </c>
      <c r="X270">
        <v>0</v>
      </c>
      <c r="Y270">
        <v>4</v>
      </c>
      <c r="Z270">
        <v>0</v>
      </c>
      <c r="AA270">
        <v>86.8506</v>
      </c>
      <c r="AB270">
        <v>7.0658899999999996</v>
      </c>
    </row>
    <row r="271" spans="1:28" x14ac:dyDescent="0.25">
      <c r="A271">
        <v>270</v>
      </c>
      <c r="B271">
        <v>957277630</v>
      </c>
      <c r="C271" s="7" t="s">
        <v>27</v>
      </c>
      <c r="D271">
        <v>-0.17297100000000001</v>
      </c>
      <c r="E271">
        <v>1.91351</v>
      </c>
      <c r="F271">
        <v>-0.17297100000000001</v>
      </c>
      <c r="G271" s="3">
        <f>firm_data[[#This Row],[production]]-firm_data[[#This Row],[sales]]</f>
        <v>0</v>
      </c>
      <c r="H271">
        <v>0</v>
      </c>
      <c r="I271">
        <v>-0.69452899999999995</v>
      </c>
      <c r="J271">
        <v>2</v>
      </c>
      <c r="K271">
        <v>2</v>
      </c>
      <c r="L271">
        <v>0</v>
      </c>
      <c r="M271">
        <v>5</v>
      </c>
      <c r="N271">
        <v>0</v>
      </c>
      <c r="O271">
        <v>0</v>
      </c>
      <c r="P271">
        <v>0.99990000000000001</v>
      </c>
      <c r="Q271" s="7" t="s">
        <v>28</v>
      </c>
      <c r="R271" s="7" t="s">
        <v>151</v>
      </c>
      <c r="S271">
        <v>0</v>
      </c>
      <c r="T271">
        <v>6.7055300000000004</v>
      </c>
      <c r="U271">
        <v>6.0060099999999998</v>
      </c>
      <c r="V271">
        <v>0</v>
      </c>
      <c r="W271">
        <v>1.8311200000000001</v>
      </c>
      <c r="X271">
        <v>0</v>
      </c>
      <c r="Y271">
        <v>4</v>
      </c>
      <c r="Z271">
        <v>0</v>
      </c>
      <c r="AA271">
        <v>85.739400000000003</v>
      </c>
      <c r="AB271">
        <v>7.0658899999999996</v>
      </c>
    </row>
    <row r="272" spans="1:28" x14ac:dyDescent="0.25">
      <c r="A272">
        <v>271</v>
      </c>
      <c r="B272">
        <v>136554556</v>
      </c>
      <c r="C272" s="7" t="s">
        <v>27</v>
      </c>
      <c r="D272">
        <v>-0.17297100000000001</v>
      </c>
      <c r="E272">
        <v>1.91351</v>
      </c>
      <c r="F272">
        <v>-0.17297100000000001</v>
      </c>
      <c r="G272" s="3">
        <f>firm_data[[#This Row],[production]]-firm_data[[#This Row],[sales]]</f>
        <v>0</v>
      </c>
      <c r="H272">
        <v>0</v>
      </c>
      <c r="I272">
        <v>-0.69452899999999995</v>
      </c>
      <c r="J272">
        <v>2</v>
      </c>
      <c r="K272">
        <v>2</v>
      </c>
      <c r="L272">
        <v>0</v>
      </c>
      <c r="M272">
        <v>5</v>
      </c>
      <c r="N272">
        <v>0</v>
      </c>
      <c r="O272">
        <v>0</v>
      </c>
      <c r="P272">
        <v>0.99990000000000001</v>
      </c>
      <c r="Q272" s="7" t="s">
        <v>28</v>
      </c>
      <c r="R272" s="7" t="s">
        <v>151</v>
      </c>
      <c r="S272">
        <v>0</v>
      </c>
      <c r="T272">
        <v>6.5854100000000004</v>
      </c>
      <c r="U272">
        <v>6.0060099999999998</v>
      </c>
      <c r="V272">
        <v>0</v>
      </c>
      <c r="W272">
        <v>1.8311200000000001</v>
      </c>
      <c r="X272">
        <v>0</v>
      </c>
      <c r="Y272">
        <v>4</v>
      </c>
      <c r="Z272">
        <v>0</v>
      </c>
      <c r="AA272">
        <v>84.8202</v>
      </c>
      <c r="AB272">
        <v>7.0658899999999996</v>
      </c>
    </row>
    <row r="273" spans="1:28" x14ac:dyDescent="0.25">
      <c r="A273">
        <v>272</v>
      </c>
      <c r="B273">
        <v>67101124</v>
      </c>
      <c r="C273" s="7" t="s">
        <v>27</v>
      </c>
      <c r="D273">
        <v>-12.5396</v>
      </c>
      <c r="E273">
        <v>1.91351</v>
      </c>
      <c r="F273">
        <v>-12.5396</v>
      </c>
      <c r="G273" s="3">
        <f>firm_data[[#This Row],[production]]-firm_data[[#This Row],[sales]]</f>
        <v>0</v>
      </c>
      <c r="H273">
        <v>0</v>
      </c>
      <c r="I273">
        <v>-0.69452899999999995</v>
      </c>
      <c r="J273">
        <v>2</v>
      </c>
      <c r="K273">
        <v>2</v>
      </c>
      <c r="L273">
        <v>0</v>
      </c>
      <c r="M273">
        <v>5</v>
      </c>
      <c r="N273">
        <v>0</v>
      </c>
      <c r="O273">
        <v>0</v>
      </c>
      <c r="P273">
        <v>0.99990000000000001</v>
      </c>
      <c r="Q273" s="7" t="s">
        <v>28</v>
      </c>
      <c r="R273" s="7" t="s">
        <v>151</v>
      </c>
      <c r="S273">
        <v>0</v>
      </c>
      <c r="T273">
        <v>7.4262499999999996</v>
      </c>
      <c r="U273">
        <v>6.0060099999999998</v>
      </c>
      <c r="V273">
        <v>12.3666</v>
      </c>
      <c r="W273">
        <v>1.8311200000000001</v>
      </c>
      <c r="X273">
        <v>0.96096099999999995</v>
      </c>
      <c r="Y273">
        <v>4</v>
      </c>
      <c r="Z273">
        <v>12.4183</v>
      </c>
      <c r="AA273">
        <v>95.967600000000004</v>
      </c>
      <c r="AB273">
        <v>7.0658899999999996</v>
      </c>
    </row>
    <row r="274" spans="1:28" x14ac:dyDescent="0.25">
      <c r="A274">
        <v>273</v>
      </c>
      <c r="B274">
        <v>941588760</v>
      </c>
      <c r="C274" s="7" t="s">
        <v>27</v>
      </c>
      <c r="D274">
        <v>-0.17297100000000001</v>
      </c>
      <c r="E274">
        <v>1.91351</v>
      </c>
      <c r="F274">
        <v>-0.17297100000000001</v>
      </c>
      <c r="G274" s="3">
        <f>firm_data[[#This Row],[production]]-firm_data[[#This Row],[sales]]</f>
        <v>0</v>
      </c>
      <c r="H274">
        <v>0</v>
      </c>
      <c r="I274">
        <v>-0.69452899999999995</v>
      </c>
      <c r="J274">
        <v>2</v>
      </c>
      <c r="K274">
        <v>2</v>
      </c>
      <c r="L274">
        <v>0</v>
      </c>
      <c r="M274">
        <v>5</v>
      </c>
      <c r="N274">
        <v>0</v>
      </c>
      <c r="O274">
        <v>0</v>
      </c>
      <c r="P274">
        <v>0.99990000000000001</v>
      </c>
      <c r="Q274" s="7" t="s">
        <v>28</v>
      </c>
      <c r="R274" s="7" t="s">
        <v>151</v>
      </c>
      <c r="S274">
        <v>0</v>
      </c>
      <c r="T274">
        <v>7.3061299999999996</v>
      </c>
      <c r="U274">
        <v>6.0060099999999998</v>
      </c>
      <c r="V274">
        <v>0</v>
      </c>
      <c r="W274">
        <v>1.8311200000000001</v>
      </c>
      <c r="X274">
        <v>0</v>
      </c>
      <c r="Y274">
        <v>4</v>
      </c>
      <c r="Z274">
        <v>0</v>
      </c>
      <c r="AA274">
        <v>94.671199999999999</v>
      </c>
      <c r="AB274">
        <v>7.0658899999999996</v>
      </c>
    </row>
    <row r="275" spans="1:28" x14ac:dyDescent="0.25">
      <c r="A275">
        <v>274</v>
      </c>
      <c r="B275">
        <v>853037710</v>
      </c>
      <c r="C275" s="7" t="s">
        <v>27</v>
      </c>
      <c r="D275">
        <v>-3.3323900000000002</v>
      </c>
      <c r="E275">
        <v>1.91351</v>
      </c>
      <c r="F275">
        <v>-3.3323900000000002</v>
      </c>
      <c r="G275" s="3">
        <f>firm_data[[#This Row],[production]]-firm_data[[#This Row],[sales]]</f>
        <v>0</v>
      </c>
      <c r="H275">
        <v>0</v>
      </c>
      <c r="I275">
        <v>-0.69452899999999995</v>
      </c>
      <c r="J275">
        <v>2</v>
      </c>
      <c r="K275">
        <v>2</v>
      </c>
      <c r="L275">
        <v>0</v>
      </c>
      <c r="M275">
        <v>5</v>
      </c>
      <c r="N275">
        <v>0</v>
      </c>
      <c r="O275">
        <v>0</v>
      </c>
      <c r="P275">
        <v>0.99990000000000001</v>
      </c>
      <c r="Q275" s="7" t="s">
        <v>28</v>
      </c>
      <c r="R275" s="7" t="s">
        <v>151</v>
      </c>
      <c r="S275">
        <v>0</v>
      </c>
      <c r="T275">
        <v>7.4262499999999996</v>
      </c>
      <c r="U275">
        <v>6.0060099999999998</v>
      </c>
      <c r="V275">
        <v>3.1594199999999999</v>
      </c>
      <c r="W275">
        <v>1.8311200000000001</v>
      </c>
      <c r="X275">
        <v>0.24024000000000001</v>
      </c>
      <c r="Y275">
        <v>4</v>
      </c>
      <c r="Z275">
        <v>3.15143</v>
      </c>
      <c r="AA275">
        <v>97.4161</v>
      </c>
      <c r="AB275">
        <v>7.0658899999999996</v>
      </c>
    </row>
    <row r="276" spans="1:28" x14ac:dyDescent="0.25">
      <c r="A276">
        <v>275</v>
      </c>
      <c r="B276">
        <v>855320006</v>
      </c>
      <c r="C276" s="7" t="s">
        <v>27</v>
      </c>
      <c r="D276">
        <v>-0.17297100000000001</v>
      </c>
      <c r="E276">
        <v>1.91351</v>
      </c>
      <c r="F276">
        <v>-0.17297100000000001</v>
      </c>
      <c r="G276" s="3">
        <f>firm_data[[#This Row],[production]]-firm_data[[#This Row],[sales]]</f>
        <v>0</v>
      </c>
      <c r="H276">
        <v>0</v>
      </c>
      <c r="I276">
        <v>-0.69452899999999995</v>
      </c>
      <c r="J276">
        <v>2</v>
      </c>
      <c r="K276">
        <v>2</v>
      </c>
      <c r="L276">
        <v>0</v>
      </c>
      <c r="M276">
        <v>5</v>
      </c>
      <c r="N276">
        <v>0</v>
      </c>
      <c r="O276">
        <v>0</v>
      </c>
      <c r="P276">
        <v>0.99990000000000001</v>
      </c>
      <c r="Q276" s="7" t="s">
        <v>28</v>
      </c>
      <c r="R276" s="7" t="s">
        <v>151</v>
      </c>
      <c r="S276">
        <v>0</v>
      </c>
      <c r="T276">
        <v>7.3061299999999996</v>
      </c>
      <c r="U276">
        <v>6.0060099999999998</v>
      </c>
      <c r="V276">
        <v>0</v>
      </c>
      <c r="W276">
        <v>1.8311200000000001</v>
      </c>
      <c r="X276">
        <v>0</v>
      </c>
      <c r="Y276">
        <v>4</v>
      </c>
      <c r="Z276">
        <v>0</v>
      </c>
      <c r="AA276">
        <v>96.567999999999998</v>
      </c>
      <c r="AB276">
        <v>7.0658899999999996</v>
      </c>
    </row>
    <row r="277" spans="1:28" x14ac:dyDescent="0.25">
      <c r="A277">
        <v>276</v>
      </c>
      <c r="B277">
        <v>373438215</v>
      </c>
      <c r="C277" s="7" t="s">
        <v>27</v>
      </c>
      <c r="D277">
        <v>-0.17297100000000001</v>
      </c>
      <c r="E277">
        <v>1.91351</v>
      </c>
      <c r="F277">
        <v>-0.17297100000000001</v>
      </c>
      <c r="G277" s="3">
        <f>firm_data[[#This Row],[production]]-firm_data[[#This Row],[sales]]</f>
        <v>0</v>
      </c>
      <c r="H277">
        <v>0</v>
      </c>
      <c r="I277">
        <v>-0.69452899999999995</v>
      </c>
      <c r="J277">
        <v>2</v>
      </c>
      <c r="K277">
        <v>2</v>
      </c>
      <c r="L277">
        <v>0</v>
      </c>
      <c r="M277">
        <v>5</v>
      </c>
      <c r="N277">
        <v>0</v>
      </c>
      <c r="O277">
        <v>0</v>
      </c>
      <c r="P277">
        <v>0.99990000000000001</v>
      </c>
      <c r="Q277" s="7" t="s">
        <v>28</v>
      </c>
      <c r="R277" s="7" t="s">
        <v>151</v>
      </c>
      <c r="S277">
        <v>0</v>
      </c>
      <c r="T277">
        <v>7.1860099999999996</v>
      </c>
      <c r="U277">
        <v>6.0060099999999998</v>
      </c>
      <c r="V277">
        <v>0</v>
      </c>
      <c r="W277">
        <v>1.8311200000000001</v>
      </c>
      <c r="X277">
        <v>0</v>
      </c>
      <c r="Y277">
        <v>4</v>
      </c>
      <c r="Z277">
        <v>0</v>
      </c>
      <c r="AA277">
        <v>95.398700000000005</v>
      </c>
      <c r="AB277">
        <v>7.0658899999999996</v>
      </c>
    </row>
    <row r="278" spans="1:28" x14ac:dyDescent="0.25">
      <c r="A278">
        <v>277</v>
      </c>
      <c r="B278">
        <v>703776264</v>
      </c>
      <c r="C278" s="7" t="s">
        <v>27</v>
      </c>
      <c r="D278">
        <v>-4.6548400000000001</v>
      </c>
      <c r="E278">
        <v>1.91351</v>
      </c>
      <c r="F278">
        <v>-4.6548400000000001</v>
      </c>
      <c r="G278" s="3">
        <f>firm_data[[#This Row],[production]]-firm_data[[#This Row],[sales]]</f>
        <v>0</v>
      </c>
      <c r="H278">
        <v>0</v>
      </c>
      <c r="I278">
        <v>-0.69452899999999995</v>
      </c>
      <c r="J278">
        <v>2</v>
      </c>
      <c r="K278">
        <v>2</v>
      </c>
      <c r="L278">
        <v>0</v>
      </c>
      <c r="M278">
        <v>5</v>
      </c>
      <c r="N278">
        <v>0</v>
      </c>
      <c r="O278">
        <v>0</v>
      </c>
      <c r="P278">
        <v>0.99990000000000001</v>
      </c>
      <c r="Q278" s="7" t="s">
        <v>28</v>
      </c>
      <c r="R278" s="7" t="s">
        <v>151</v>
      </c>
      <c r="S278">
        <v>0</v>
      </c>
      <c r="T278">
        <v>7.4262499999999996</v>
      </c>
      <c r="U278">
        <v>6.0060099999999998</v>
      </c>
      <c r="V278">
        <v>4.4818699999999998</v>
      </c>
      <c r="W278">
        <v>1.8311200000000001</v>
      </c>
      <c r="X278">
        <v>0.36036000000000001</v>
      </c>
      <c r="Y278">
        <v>4</v>
      </c>
      <c r="Z278">
        <v>4.77773</v>
      </c>
      <c r="AA278">
        <v>98.458699999999993</v>
      </c>
      <c r="AB278">
        <v>7.0658899999999996</v>
      </c>
    </row>
    <row r="279" spans="1:28" x14ac:dyDescent="0.25">
      <c r="A279">
        <v>278</v>
      </c>
      <c r="B279">
        <v>228412864</v>
      </c>
      <c r="C279" s="7" t="s">
        <v>27</v>
      </c>
      <c r="D279">
        <v>-0.17297100000000001</v>
      </c>
      <c r="E279">
        <v>1.91351</v>
      </c>
      <c r="F279">
        <v>-0.17297100000000001</v>
      </c>
      <c r="G279" s="3">
        <f>firm_data[[#This Row],[production]]-firm_data[[#This Row],[sales]]</f>
        <v>0</v>
      </c>
      <c r="H279">
        <v>0</v>
      </c>
      <c r="I279">
        <v>-0.69452899999999995</v>
      </c>
      <c r="J279">
        <v>2</v>
      </c>
      <c r="K279">
        <v>2</v>
      </c>
      <c r="L279">
        <v>0</v>
      </c>
      <c r="M279">
        <v>5</v>
      </c>
      <c r="N279">
        <v>0</v>
      </c>
      <c r="O279">
        <v>0</v>
      </c>
      <c r="P279">
        <v>0.99990000000000001</v>
      </c>
      <c r="Q279" s="7" t="s">
        <v>28</v>
      </c>
      <c r="R279" s="7" t="s">
        <v>151</v>
      </c>
      <c r="S279">
        <v>0</v>
      </c>
      <c r="T279">
        <v>7.3061299999999996</v>
      </c>
      <c r="U279">
        <v>6.0060099999999998</v>
      </c>
      <c r="V279">
        <v>0</v>
      </c>
      <c r="W279">
        <v>1.8311200000000001</v>
      </c>
      <c r="X279">
        <v>0</v>
      </c>
      <c r="Y279">
        <v>4</v>
      </c>
      <c r="Z279">
        <v>0</v>
      </c>
      <c r="AA279">
        <v>97.035799999999995</v>
      </c>
      <c r="AB279">
        <v>7.0658899999999996</v>
      </c>
    </row>
    <row r="280" spans="1:28" x14ac:dyDescent="0.25">
      <c r="A280">
        <v>279</v>
      </c>
      <c r="B280">
        <v>107701386</v>
      </c>
      <c r="C280" s="7" t="s">
        <v>27</v>
      </c>
      <c r="D280">
        <v>-0.17297100000000001</v>
      </c>
      <c r="E280">
        <v>1.91351</v>
      </c>
      <c r="F280">
        <v>-0.17297100000000001</v>
      </c>
      <c r="G280" s="3">
        <f>firm_data[[#This Row],[production]]-firm_data[[#This Row],[sales]]</f>
        <v>0</v>
      </c>
      <c r="H280">
        <v>0</v>
      </c>
      <c r="I280">
        <v>-0.69452899999999995</v>
      </c>
      <c r="J280">
        <v>2</v>
      </c>
      <c r="K280">
        <v>2</v>
      </c>
      <c r="L280">
        <v>0</v>
      </c>
      <c r="M280">
        <v>5</v>
      </c>
      <c r="N280">
        <v>0</v>
      </c>
      <c r="O280">
        <v>0</v>
      </c>
      <c r="P280">
        <v>0.99990000000000001</v>
      </c>
      <c r="Q280" s="7" t="s">
        <v>28</v>
      </c>
      <c r="R280" s="7" t="s">
        <v>151</v>
      </c>
      <c r="S280">
        <v>0</v>
      </c>
      <c r="T280">
        <v>7.1860099999999996</v>
      </c>
      <c r="U280">
        <v>6.0060099999999998</v>
      </c>
      <c r="V280">
        <v>0</v>
      </c>
      <c r="W280">
        <v>1.8311200000000001</v>
      </c>
      <c r="X280">
        <v>0</v>
      </c>
      <c r="Y280">
        <v>4</v>
      </c>
      <c r="Z280">
        <v>0</v>
      </c>
      <c r="AA280">
        <v>94.472300000000004</v>
      </c>
      <c r="AB280">
        <v>7.0658899999999996</v>
      </c>
    </row>
    <row r="281" spans="1:28" x14ac:dyDescent="0.25">
      <c r="A281">
        <v>280</v>
      </c>
      <c r="B281">
        <v>413905273</v>
      </c>
      <c r="C281" s="7" t="s">
        <v>27</v>
      </c>
      <c r="D281">
        <v>-0.17297100000000001</v>
      </c>
      <c r="E281">
        <v>1.91351</v>
      </c>
      <c r="F281">
        <v>-0.17297100000000001</v>
      </c>
      <c r="G281" s="3">
        <f>firm_data[[#This Row],[production]]-firm_data[[#This Row],[sales]]</f>
        <v>0</v>
      </c>
      <c r="H281">
        <v>0</v>
      </c>
      <c r="I281">
        <v>-0.69452899999999995</v>
      </c>
      <c r="J281">
        <v>2</v>
      </c>
      <c r="K281">
        <v>2</v>
      </c>
      <c r="L281">
        <v>0</v>
      </c>
      <c r="M281">
        <v>5</v>
      </c>
      <c r="N281">
        <v>0</v>
      </c>
      <c r="O281">
        <v>0</v>
      </c>
      <c r="P281">
        <v>0.99990000000000001</v>
      </c>
      <c r="Q281" s="7" t="s">
        <v>28</v>
      </c>
      <c r="R281" s="7" t="s">
        <v>151</v>
      </c>
      <c r="S281">
        <v>0</v>
      </c>
      <c r="T281">
        <v>7.0658899999999996</v>
      </c>
      <c r="U281">
        <v>6.0060099999999998</v>
      </c>
      <c r="V281">
        <v>0</v>
      </c>
      <c r="W281">
        <v>1.8311200000000001</v>
      </c>
      <c r="X281">
        <v>0</v>
      </c>
      <c r="Y281">
        <v>4</v>
      </c>
      <c r="Z281">
        <v>0</v>
      </c>
      <c r="AA281">
        <v>93.534700000000001</v>
      </c>
      <c r="AB281">
        <v>7.0658899999999996</v>
      </c>
    </row>
    <row r="282" spans="1:28" x14ac:dyDescent="0.25">
      <c r="A282">
        <v>281</v>
      </c>
      <c r="B282">
        <v>113465216</v>
      </c>
      <c r="C282" s="7" t="s">
        <v>27</v>
      </c>
      <c r="D282">
        <v>-0.17297100000000001</v>
      </c>
      <c r="E282">
        <v>1.91351</v>
      </c>
      <c r="F282">
        <v>-0.17297100000000001</v>
      </c>
      <c r="G282" s="3">
        <f>firm_data[[#This Row],[production]]-firm_data[[#This Row],[sales]]</f>
        <v>0</v>
      </c>
      <c r="H282">
        <v>0</v>
      </c>
      <c r="I282">
        <v>-0.69452899999999995</v>
      </c>
      <c r="J282">
        <v>2</v>
      </c>
      <c r="K282">
        <v>2</v>
      </c>
      <c r="L282">
        <v>0</v>
      </c>
      <c r="M282">
        <v>5</v>
      </c>
      <c r="N282">
        <v>0</v>
      </c>
      <c r="O282">
        <v>0</v>
      </c>
      <c r="P282">
        <v>0.99990000000000001</v>
      </c>
      <c r="Q282" s="7" t="s">
        <v>28</v>
      </c>
      <c r="R282" s="7" t="s">
        <v>151</v>
      </c>
      <c r="S282">
        <v>0</v>
      </c>
      <c r="T282">
        <v>6.9457700000000004</v>
      </c>
      <c r="U282">
        <v>6.0060099999999998</v>
      </c>
      <c r="V282">
        <v>0</v>
      </c>
      <c r="W282">
        <v>1.8311200000000001</v>
      </c>
      <c r="X282">
        <v>0</v>
      </c>
      <c r="Y282">
        <v>4</v>
      </c>
      <c r="Z282">
        <v>0</v>
      </c>
      <c r="AA282">
        <v>91.728899999999996</v>
      </c>
      <c r="AB282">
        <v>7.0658899999999996</v>
      </c>
    </row>
    <row r="283" spans="1:28" x14ac:dyDescent="0.25">
      <c r="A283">
        <v>282</v>
      </c>
      <c r="B283">
        <v>852600574</v>
      </c>
      <c r="C283" s="7" t="s">
        <v>27</v>
      </c>
      <c r="D283">
        <v>-0.17297100000000001</v>
      </c>
      <c r="E283">
        <v>1.91351</v>
      </c>
      <c r="F283">
        <v>-0.17297100000000001</v>
      </c>
      <c r="G283" s="3">
        <f>firm_data[[#This Row],[production]]-firm_data[[#This Row],[sales]]</f>
        <v>0</v>
      </c>
      <c r="H283">
        <v>0</v>
      </c>
      <c r="I283">
        <v>-0.69452899999999995</v>
      </c>
      <c r="J283">
        <v>2</v>
      </c>
      <c r="K283">
        <v>2</v>
      </c>
      <c r="L283">
        <v>0</v>
      </c>
      <c r="M283">
        <v>5</v>
      </c>
      <c r="N283">
        <v>0</v>
      </c>
      <c r="O283">
        <v>0</v>
      </c>
      <c r="P283">
        <v>0.99990000000000001</v>
      </c>
      <c r="Q283" s="7" t="s">
        <v>28</v>
      </c>
      <c r="R283" s="7" t="s">
        <v>151</v>
      </c>
      <c r="S283">
        <v>0</v>
      </c>
      <c r="T283">
        <v>6.8256500000000004</v>
      </c>
      <c r="U283">
        <v>6.0060099999999998</v>
      </c>
      <c r="V283">
        <v>0</v>
      </c>
      <c r="W283">
        <v>1.8311200000000001</v>
      </c>
      <c r="X283">
        <v>0</v>
      </c>
      <c r="Y283">
        <v>4</v>
      </c>
      <c r="Z283">
        <v>0</v>
      </c>
      <c r="AA283">
        <v>90.7804</v>
      </c>
      <c r="AB283">
        <v>7.0658899999999996</v>
      </c>
    </row>
    <row r="284" spans="1:28" x14ac:dyDescent="0.25">
      <c r="A284">
        <v>283</v>
      </c>
      <c r="B284">
        <v>739612202</v>
      </c>
      <c r="C284" s="7" t="s">
        <v>27</v>
      </c>
      <c r="D284">
        <v>-0.17297100000000001</v>
      </c>
      <c r="E284">
        <v>1.91351</v>
      </c>
      <c r="F284">
        <v>-0.17297100000000001</v>
      </c>
      <c r="G284" s="3">
        <f>firm_data[[#This Row],[production]]-firm_data[[#This Row],[sales]]</f>
        <v>0</v>
      </c>
      <c r="H284">
        <v>0</v>
      </c>
      <c r="I284">
        <v>-0.69452899999999995</v>
      </c>
      <c r="J284">
        <v>2</v>
      </c>
      <c r="K284">
        <v>2</v>
      </c>
      <c r="L284">
        <v>0</v>
      </c>
      <c r="M284">
        <v>5</v>
      </c>
      <c r="N284">
        <v>0</v>
      </c>
      <c r="O284">
        <v>0</v>
      </c>
      <c r="P284">
        <v>0.99990000000000001</v>
      </c>
      <c r="Q284" s="7" t="s">
        <v>28</v>
      </c>
      <c r="R284" s="7" t="s">
        <v>151</v>
      </c>
      <c r="S284">
        <v>0</v>
      </c>
      <c r="T284">
        <v>6.7055300000000004</v>
      </c>
      <c r="U284">
        <v>6.0060099999999998</v>
      </c>
      <c r="V284">
        <v>0</v>
      </c>
      <c r="W284">
        <v>1.8311200000000001</v>
      </c>
      <c r="X284">
        <v>0</v>
      </c>
      <c r="Y284">
        <v>4</v>
      </c>
      <c r="Z284">
        <v>0</v>
      </c>
      <c r="AA284">
        <v>90.031300000000002</v>
      </c>
      <c r="AB284">
        <v>7.0658899999999996</v>
      </c>
    </row>
    <row r="285" spans="1:28" x14ac:dyDescent="0.25">
      <c r="A285">
        <v>284</v>
      </c>
      <c r="B285">
        <v>747501755</v>
      </c>
      <c r="C285" s="7" t="s">
        <v>27</v>
      </c>
      <c r="D285">
        <v>-11.480499999999999</v>
      </c>
      <c r="E285">
        <v>1.91351</v>
      </c>
      <c r="F285">
        <v>-11.480499999999999</v>
      </c>
      <c r="G285" s="3">
        <f>firm_data[[#This Row],[production]]-firm_data[[#This Row],[sales]]</f>
        <v>0</v>
      </c>
      <c r="H285">
        <v>0</v>
      </c>
      <c r="I285">
        <v>-0.69452899999999995</v>
      </c>
      <c r="J285">
        <v>2</v>
      </c>
      <c r="K285">
        <v>2</v>
      </c>
      <c r="L285">
        <v>0</v>
      </c>
      <c r="M285">
        <v>5</v>
      </c>
      <c r="N285">
        <v>0</v>
      </c>
      <c r="O285">
        <v>0</v>
      </c>
      <c r="P285">
        <v>0.99990000000000001</v>
      </c>
      <c r="Q285" s="7" t="s">
        <v>28</v>
      </c>
      <c r="R285" s="7" t="s">
        <v>151</v>
      </c>
      <c r="S285">
        <v>0</v>
      </c>
      <c r="T285">
        <v>7.4262499999999996</v>
      </c>
      <c r="U285">
        <v>6.0060099999999998</v>
      </c>
      <c r="V285">
        <v>11.307499999999999</v>
      </c>
      <c r="W285">
        <v>1.8311200000000001</v>
      </c>
      <c r="X285">
        <v>0.84084099999999995</v>
      </c>
      <c r="Y285">
        <v>4</v>
      </c>
      <c r="Z285">
        <v>11.3733</v>
      </c>
      <c r="AA285">
        <v>100.44799999999999</v>
      </c>
      <c r="AB285">
        <v>7.0658899999999996</v>
      </c>
    </row>
    <row r="286" spans="1:28" x14ac:dyDescent="0.25">
      <c r="A286">
        <v>285</v>
      </c>
      <c r="B286">
        <v>973567785</v>
      </c>
      <c r="C286" s="7" t="s">
        <v>27</v>
      </c>
      <c r="D286">
        <v>-1.6613199999999999</v>
      </c>
      <c r="E286">
        <v>1.91351</v>
      </c>
      <c r="F286">
        <v>-1.6613199999999999</v>
      </c>
      <c r="G286" s="3">
        <f>firm_data[[#This Row],[production]]-firm_data[[#This Row],[sales]]</f>
        <v>0</v>
      </c>
      <c r="H286">
        <v>0</v>
      </c>
      <c r="I286">
        <v>-0.69452899999999995</v>
      </c>
      <c r="J286">
        <v>2</v>
      </c>
      <c r="K286">
        <v>2</v>
      </c>
      <c r="L286">
        <v>0</v>
      </c>
      <c r="M286">
        <v>5</v>
      </c>
      <c r="N286">
        <v>0</v>
      </c>
      <c r="O286">
        <v>0</v>
      </c>
      <c r="P286">
        <v>0.99990000000000001</v>
      </c>
      <c r="Q286" s="7" t="s">
        <v>28</v>
      </c>
      <c r="R286" s="7" t="s">
        <v>151</v>
      </c>
      <c r="S286">
        <v>0</v>
      </c>
      <c r="T286">
        <v>7.4262499999999996</v>
      </c>
      <c r="U286">
        <v>6.0060099999999998</v>
      </c>
      <c r="V286">
        <v>1.4883500000000001</v>
      </c>
      <c r="W286">
        <v>1.8311200000000001</v>
      </c>
      <c r="X286">
        <v>0.12012</v>
      </c>
      <c r="Y286">
        <v>4</v>
      </c>
      <c r="Z286">
        <v>1.63408</v>
      </c>
      <c r="AA286">
        <v>101.02500000000001</v>
      </c>
      <c r="AB286">
        <v>7.0658899999999996</v>
      </c>
    </row>
    <row r="287" spans="1:28" x14ac:dyDescent="0.25">
      <c r="A287">
        <v>286</v>
      </c>
      <c r="B287">
        <v>111207828</v>
      </c>
      <c r="C287" s="7" t="s">
        <v>27</v>
      </c>
      <c r="D287">
        <v>-0.17297100000000001</v>
      </c>
      <c r="E287">
        <v>1.91351</v>
      </c>
      <c r="F287">
        <v>-0.17297100000000001</v>
      </c>
      <c r="G287" s="3">
        <f>firm_data[[#This Row],[production]]-firm_data[[#This Row],[sales]]</f>
        <v>0</v>
      </c>
      <c r="H287">
        <v>0</v>
      </c>
      <c r="I287">
        <v>-0.69452899999999995</v>
      </c>
      <c r="J287">
        <v>2</v>
      </c>
      <c r="K287">
        <v>2</v>
      </c>
      <c r="L287">
        <v>0</v>
      </c>
      <c r="M287">
        <v>5</v>
      </c>
      <c r="N287">
        <v>0</v>
      </c>
      <c r="O287">
        <v>0</v>
      </c>
      <c r="P287">
        <v>0.99990000000000001</v>
      </c>
      <c r="Q287" s="7" t="s">
        <v>28</v>
      </c>
      <c r="R287" s="7" t="s">
        <v>151</v>
      </c>
      <c r="S287">
        <v>0</v>
      </c>
      <c r="T287">
        <v>7.3061299999999996</v>
      </c>
      <c r="U287">
        <v>6.0060099999999998</v>
      </c>
      <c r="V287">
        <v>0</v>
      </c>
      <c r="W287">
        <v>1.8311200000000001</v>
      </c>
      <c r="X287">
        <v>0</v>
      </c>
      <c r="Y287">
        <v>4</v>
      </c>
      <c r="Z287">
        <v>0</v>
      </c>
      <c r="AA287">
        <v>99.2744</v>
      </c>
      <c r="AB287">
        <v>7.0658899999999996</v>
      </c>
    </row>
    <row r="288" spans="1:28" x14ac:dyDescent="0.25">
      <c r="A288">
        <v>287</v>
      </c>
      <c r="B288">
        <v>857755328</v>
      </c>
      <c r="C288" s="7" t="s">
        <v>27</v>
      </c>
      <c r="D288">
        <v>-0.17297100000000001</v>
      </c>
      <c r="E288">
        <v>1.91351</v>
      </c>
      <c r="F288">
        <v>-0.17297100000000001</v>
      </c>
      <c r="G288" s="3">
        <f>firm_data[[#This Row],[production]]-firm_data[[#This Row],[sales]]</f>
        <v>0</v>
      </c>
      <c r="H288">
        <v>0</v>
      </c>
      <c r="I288">
        <v>-0.69452899999999995</v>
      </c>
      <c r="J288">
        <v>2</v>
      </c>
      <c r="K288">
        <v>2</v>
      </c>
      <c r="L288">
        <v>0</v>
      </c>
      <c r="M288">
        <v>5</v>
      </c>
      <c r="N288">
        <v>0</v>
      </c>
      <c r="O288">
        <v>0</v>
      </c>
      <c r="P288">
        <v>0.99990000000000001</v>
      </c>
      <c r="Q288" s="7" t="s">
        <v>28</v>
      </c>
      <c r="R288" s="7" t="s">
        <v>151</v>
      </c>
      <c r="S288">
        <v>0</v>
      </c>
      <c r="T288">
        <v>7.1860099999999996</v>
      </c>
      <c r="U288">
        <v>6.0060099999999998</v>
      </c>
      <c r="V288">
        <v>0</v>
      </c>
      <c r="W288">
        <v>1.8311200000000001</v>
      </c>
      <c r="X288">
        <v>0</v>
      </c>
      <c r="Y288">
        <v>4</v>
      </c>
      <c r="Z288">
        <v>0</v>
      </c>
      <c r="AA288">
        <v>97.624700000000004</v>
      </c>
      <c r="AB288">
        <v>7.0658899999999996</v>
      </c>
    </row>
    <row r="289" spans="1:28" x14ac:dyDescent="0.25">
      <c r="A289">
        <v>288</v>
      </c>
      <c r="B289">
        <v>130901836</v>
      </c>
      <c r="C289" s="7" t="s">
        <v>27</v>
      </c>
      <c r="D289">
        <v>-0.17297100000000001</v>
      </c>
      <c r="E289">
        <v>1.91351</v>
      </c>
      <c r="F289">
        <v>-0.17297100000000001</v>
      </c>
      <c r="G289" s="3">
        <f>firm_data[[#This Row],[production]]-firm_data[[#This Row],[sales]]</f>
        <v>0</v>
      </c>
      <c r="H289">
        <v>0</v>
      </c>
      <c r="I289">
        <v>-0.69452899999999995</v>
      </c>
      <c r="J289">
        <v>2</v>
      </c>
      <c r="K289">
        <v>2</v>
      </c>
      <c r="L289">
        <v>0</v>
      </c>
      <c r="M289">
        <v>5</v>
      </c>
      <c r="N289">
        <v>0</v>
      </c>
      <c r="O289">
        <v>0</v>
      </c>
      <c r="P289">
        <v>0.99990000000000001</v>
      </c>
      <c r="Q289" s="7" t="s">
        <v>28</v>
      </c>
      <c r="R289" s="7" t="s">
        <v>151</v>
      </c>
      <c r="S289">
        <v>0</v>
      </c>
      <c r="T289">
        <v>7.0658899999999996</v>
      </c>
      <c r="U289">
        <v>6.0060099999999998</v>
      </c>
      <c r="V289">
        <v>0</v>
      </c>
      <c r="W289">
        <v>1.8311200000000001</v>
      </c>
      <c r="X289">
        <v>0</v>
      </c>
      <c r="Y289">
        <v>4</v>
      </c>
      <c r="Z289">
        <v>0</v>
      </c>
      <c r="AA289">
        <v>97.260499999999993</v>
      </c>
      <c r="AB289">
        <v>7.0658899999999996</v>
      </c>
    </row>
    <row r="290" spans="1:28" x14ac:dyDescent="0.25">
      <c r="A290">
        <v>289</v>
      </c>
      <c r="B290">
        <v>590750107</v>
      </c>
      <c r="C290" s="7" t="s">
        <v>27</v>
      </c>
      <c r="D290">
        <v>-0.17297100000000001</v>
      </c>
      <c r="E290">
        <v>1.91351</v>
      </c>
      <c r="F290">
        <v>-0.17297100000000001</v>
      </c>
      <c r="G290" s="3">
        <f>firm_data[[#This Row],[production]]-firm_data[[#This Row],[sales]]</f>
        <v>0</v>
      </c>
      <c r="H290">
        <v>0</v>
      </c>
      <c r="I290">
        <v>-0.69452899999999995</v>
      </c>
      <c r="J290">
        <v>2</v>
      </c>
      <c r="K290">
        <v>2</v>
      </c>
      <c r="L290">
        <v>0</v>
      </c>
      <c r="M290">
        <v>5</v>
      </c>
      <c r="N290">
        <v>0</v>
      </c>
      <c r="O290">
        <v>0</v>
      </c>
      <c r="P290">
        <v>0.99990000000000001</v>
      </c>
      <c r="Q290" s="7" t="s">
        <v>28</v>
      </c>
      <c r="R290" s="7" t="s">
        <v>151</v>
      </c>
      <c r="S290">
        <v>0</v>
      </c>
      <c r="T290">
        <v>6.9457700000000004</v>
      </c>
      <c r="U290">
        <v>6.0060099999999998</v>
      </c>
      <c r="V290">
        <v>0</v>
      </c>
      <c r="W290">
        <v>1.8311200000000001</v>
      </c>
      <c r="X290">
        <v>0</v>
      </c>
      <c r="Y290">
        <v>4</v>
      </c>
      <c r="Z290">
        <v>0</v>
      </c>
      <c r="AA290">
        <v>96.979200000000006</v>
      </c>
      <c r="AB290">
        <v>7.0658899999999996</v>
      </c>
    </row>
    <row r="291" spans="1:28" x14ac:dyDescent="0.25">
      <c r="A291">
        <v>290</v>
      </c>
      <c r="B291">
        <v>58879684</v>
      </c>
      <c r="C291" s="7" t="s">
        <v>27</v>
      </c>
      <c r="D291">
        <v>-0.17297100000000001</v>
      </c>
      <c r="E291">
        <v>1.91351</v>
      </c>
      <c r="F291">
        <v>-0.17297100000000001</v>
      </c>
      <c r="G291" s="3">
        <f>firm_data[[#This Row],[production]]-firm_data[[#This Row],[sales]]</f>
        <v>0</v>
      </c>
      <c r="H291">
        <v>0</v>
      </c>
      <c r="I291">
        <v>-0.69452899999999995</v>
      </c>
      <c r="J291">
        <v>2</v>
      </c>
      <c r="K291">
        <v>2</v>
      </c>
      <c r="L291">
        <v>0</v>
      </c>
      <c r="M291">
        <v>5</v>
      </c>
      <c r="N291">
        <v>0</v>
      </c>
      <c r="O291">
        <v>0</v>
      </c>
      <c r="P291">
        <v>0.99990000000000001</v>
      </c>
      <c r="Q291" s="7" t="s">
        <v>28</v>
      </c>
      <c r="R291" s="7" t="s">
        <v>151</v>
      </c>
      <c r="S291">
        <v>0</v>
      </c>
      <c r="T291">
        <v>6.8256500000000004</v>
      </c>
      <c r="U291">
        <v>6.0060099999999998</v>
      </c>
      <c r="V291">
        <v>0</v>
      </c>
      <c r="W291">
        <v>1.8311200000000001</v>
      </c>
      <c r="X291">
        <v>0</v>
      </c>
      <c r="Y291">
        <v>4</v>
      </c>
      <c r="Z291">
        <v>0</v>
      </c>
      <c r="AA291">
        <v>96.795699999999997</v>
      </c>
      <c r="AB291">
        <v>7.0658899999999996</v>
      </c>
    </row>
    <row r="292" spans="1:28" x14ac:dyDescent="0.25">
      <c r="A292">
        <v>291</v>
      </c>
      <c r="B292">
        <v>820214217</v>
      </c>
      <c r="C292" s="7" t="s">
        <v>27</v>
      </c>
      <c r="D292">
        <v>-0.17297100000000001</v>
      </c>
      <c r="E292">
        <v>1.91351</v>
      </c>
      <c r="F292">
        <v>-0.17297100000000001</v>
      </c>
      <c r="G292" s="3">
        <f>firm_data[[#This Row],[production]]-firm_data[[#This Row],[sales]]</f>
        <v>0</v>
      </c>
      <c r="H292">
        <v>0</v>
      </c>
      <c r="I292">
        <v>-0.69452899999999995</v>
      </c>
      <c r="J292">
        <v>2</v>
      </c>
      <c r="K292">
        <v>2</v>
      </c>
      <c r="L292">
        <v>0</v>
      </c>
      <c r="M292">
        <v>5</v>
      </c>
      <c r="N292">
        <v>0</v>
      </c>
      <c r="O292">
        <v>0</v>
      </c>
      <c r="P292">
        <v>0.99990000000000001</v>
      </c>
      <c r="Q292" s="7" t="s">
        <v>28</v>
      </c>
      <c r="R292" s="7" t="s">
        <v>151</v>
      </c>
      <c r="S292">
        <v>0</v>
      </c>
      <c r="T292">
        <v>6.7055300000000004</v>
      </c>
      <c r="U292">
        <v>6.0060099999999998</v>
      </c>
      <c r="V292">
        <v>0</v>
      </c>
      <c r="W292">
        <v>1.8311200000000001</v>
      </c>
      <c r="X292">
        <v>0</v>
      </c>
      <c r="Y292">
        <v>4</v>
      </c>
      <c r="Z292">
        <v>0</v>
      </c>
      <c r="AA292">
        <v>95.639499999999998</v>
      </c>
      <c r="AB292">
        <v>7.0658899999999996</v>
      </c>
    </row>
    <row r="293" spans="1:28" x14ac:dyDescent="0.25">
      <c r="A293">
        <v>292</v>
      </c>
      <c r="B293">
        <v>496680768</v>
      </c>
      <c r="C293" s="7" t="s">
        <v>27</v>
      </c>
      <c r="D293">
        <v>-0.17297100000000001</v>
      </c>
      <c r="E293">
        <v>1.91351</v>
      </c>
      <c r="F293">
        <v>-0.17297100000000001</v>
      </c>
      <c r="G293" s="3">
        <f>firm_data[[#This Row],[production]]-firm_data[[#This Row],[sales]]</f>
        <v>0</v>
      </c>
      <c r="H293">
        <v>0</v>
      </c>
      <c r="I293">
        <v>-0.69452899999999995</v>
      </c>
      <c r="J293">
        <v>2</v>
      </c>
      <c r="K293">
        <v>2</v>
      </c>
      <c r="L293">
        <v>0</v>
      </c>
      <c r="M293">
        <v>5</v>
      </c>
      <c r="N293">
        <v>0</v>
      </c>
      <c r="O293">
        <v>0</v>
      </c>
      <c r="P293">
        <v>0.99990000000000001</v>
      </c>
      <c r="Q293" s="7" t="s">
        <v>28</v>
      </c>
      <c r="R293" s="7" t="s">
        <v>151</v>
      </c>
      <c r="S293">
        <v>0</v>
      </c>
      <c r="T293">
        <v>6.5854100000000004</v>
      </c>
      <c r="U293">
        <v>6.0060099999999998</v>
      </c>
      <c r="V293">
        <v>0</v>
      </c>
      <c r="W293">
        <v>1.8311200000000001</v>
      </c>
      <c r="X293">
        <v>0</v>
      </c>
      <c r="Y293">
        <v>4</v>
      </c>
      <c r="Z293">
        <v>0</v>
      </c>
      <c r="AA293">
        <v>94.456199999999995</v>
      </c>
      <c r="AB293">
        <v>7.0658899999999996</v>
      </c>
    </row>
    <row r="294" spans="1:28" x14ac:dyDescent="0.25">
      <c r="A294">
        <v>293</v>
      </c>
      <c r="B294">
        <v>519724447</v>
      </c>
      <c r="C294" s="7" t="s">
        <v>27</v>
      </c>
      <c r="D294">
        <v>-11.266999999999999</v>
      </c>
      <c r="E294">
        <v>1.91351</v>
      </c>
      <c r="F294">
        <v>-11.266999999999999</v>
      </c>
      <c r="G294" s="3">
        <f>firm_data[[#This Row],[production]]-firm_data[[#This Row],[sales]]</f>
        <v>0</v>
      </c>
      <c r="H294">
        <v>0</v>
      </c>
      <c r="I294">
        <v>-0.69452899999999995</v>
      </c>
      <c r="J294">
        <v>2</v>
      </c>
      <c r="K294">
        <v>2</v>
      </c>
      <c r="L294">
        <v>0</v>
      </c>
      <c r="M294">
        <v>5</v>
      </c>
      <c r="N294">
        <v>0</v>
      </c>
      <c r="O294">
        <v>0</v>
      </c>
      <c r="P294">
        <v>0.99990000000000001</v>
      </c>
      <c r="Q294" s="7" t="s">
        <v>28</v>
      </c>
      <c r="R294" s="7" t="s">
        <v>151</v>
      </c>
      <c r="S294">
        <v>0</v>
      </c>
      <c r="T294">
        <v>7.2198500000000001</v>
      </c>
      <c r="U294">
        <v>6.0060099999999998</v>
      </c>
      <c r="V294">
        <v>11.093999999999999</v>
      </c>
      <c r="W294">
        <v>1.8311200000000001</v>
      </c>
      <c r="X294">
        <v>0.96096099999999995</v>
      </c>
      <c r="Y294">
        <v>4</v>
      </c>
      <c r="Z294">
        <v>13.959899999999999</v>
      </c>
      <c r="AA294">
        <v>104.883</v>
      </c>
      <c r="AB294">
        <v>7.0658899999999996</v>
      </c>
    </row>
    <row r="295" spans="1:28" x14ac:dyDescent="0.25">
      <c r="A295">
        <v>294</v>
      </c>
      <c r="B295">
        <v>776334048</v>
      </c>
      <c r="C295" s="7" t="s">
        <v>27</v>
      </c>
      <c r="D295">
        <v>-4.9263599999999999</v>
      </c>
      <c r="E295">
        <v>1.91351</v>
      </c>
      <c r="F295">
        <v>-4.9263599999999999</v>
      </c>
      <c r="G295" s="3">
        <f>firm_data[[#This Row],[production]]-firm_data[[#This Row],[sales]]</f>
        <v>0</v>
      </c>
      <c r="H295">
        <v>0</v>
      </c>
      <c r="I295">
        <v>-0.69452899999999995</v>
      </c>
      <c r="J295">
        <v>2</v>
      </c>
      <c r="K295">
        <v>2</v>
      </c>
      <c r="L295">
        <v>0</v>
      </c>
      <c r="M295">
        <v>5</v>
      </c>
      <c r="N295">
        <v>0</v>
      </c>
      <c r="O295">
        <v>0</v>
      </c>
      <c r="P295">
        <v>0.99990000000000001</v>
      </c>
      <c r="Q295" s="7" t="s">
        <v>28</v>
      </c>
      <c r="R295" s="7" t="s">
        <v>151</v>
      </c>
      <c r="S295">
        <v>0</v>
      </c>
      <c r="T295">
        <v>7.4262499999999996</v>
      </c>
      <c r="U295">
        <v>6.0060099999999998</v>
      </c>
      <c r="V295">
        <v>4.7533899999999996</v>
      </c>
      <c r="W295">
        <v>1.8311200000000001</v>
      </c>
      <c r="X295">
        <v>0.326517</v>
      </c>
      <c r="Y295">
        <v>4</v>
      </c>
      <c r="Z295">
        <v>4.7834399999999997</v>
      </c>
      <c r="AA295">
        <v>108.794</v>
      </c>
      <c r="AB295">
        <v>7.0658899999999996</v>
      </c>
    </row>
    <row r="296" spans="1:28" x14ac:dyDescent="0.25">
      <c r="A296">
        <v>295</v>
      </c>
      <c r="B296">
        <v>27969410</v>
      </c>
      <c r="C296" s="7" t="s">
        <v>27</v>
      </c>
      <c r="D296">
        <v>-0.17297100000000001</v>
      </c>
      <c r="E296">
        <v>1.91351</v>
      </c>
      <c r="F296">
        <v>-0.17297100000000001</v>
      </c>
      <c r="G296" s="3">
        <f>firm_data[[#This Row],[production]]-firm_data[[#This Row],[sales]]</f>
        <v>0</v>
      </c>
      <c r="H296">
        <v>0</v>
      </c>
      <c r="I296">
        <v>-0.69452899999999995</v>
      </c>
      <c r="J296">
        <v>2</v>
      </c>
      <c r="K296">
        <v>2</v>
      </c>
      <c r="L296">
        <v>0</v>
      </c>
      <c r="M296">
        <v>5</v>
      </c>
      <c r="N296">
        <v>0</v>
      </c>
      <c r="O296">
        <v>0</v>
      </c>
      <c r="P296">
        <v>0.99990000000000001</v>
      </c>
      <c r="Q296" s="7" t="s">
        <v>28</v>
      </c>
      <c r="R296" s="7" t="s">
        <v>151</v>
      </c>
      <c r="S296">
        <v>0</v>
      </c>
      <c r="T296">
        <v>7.3061299999999996</v>
      </c>
      <c r="U296">
        <v>6.0060099999999998</v>
      </c>
      <c r="V296">
        <v>0</v>
      </c>
      <c r="W296">
        <v>1.8311200000000001</v>
      </c>
      <c r="X296">
        <v>0</v>
      </c>
      <c r="Y296">
        <v>4</v>
      </c>
      <c r="Z296">
        <v>0</v>
      </c>
      <c r="AA296">
        <v>108.741</v>
      </c>
      <c r="AB296">
        <v>7.0658899999999996</v>
      </c>
    </row>
    <row r="297" spans="1:28" x14ac:dyDescent="0.25">
      <c r="A297">
        <v>296</v>
      </c>
      <c r="B297">
        <v>826055033</v>
      </c>
      <c r="C297" s="7" t="s">
        <v>27</v>
      </c>
      <c r="D297">
        <v>-0.17297100000000001</v>
      </c>
      <c r="E297">
        <v>1.91351</v>
      </c>
      <c r="F297">
        <v>-0.17297100000000001</v>
      </c>
      <c r="G297" s="3">
        <f>firm_data[[#This Row],[production]]-firm_data[[#This Row],[sales]]</f>
        <v>0</v>
      </c>
      <c r="H297">
        <v>0</v>
      </c>
      <c r="I297">
        <v>-0.69452899999999995</v>
      </c>
      <c r="J297">
        <v>2</v>
      </c>
      <c r="K297">
        <v>2</v>
      </c>
      <c r="L297">
        <v>0</v>
      </c>
      <c r="M297">
        <v>5</v>
      </c>
      <c r="N297">
        <v>0</v>
      </c>
      <c r="O297">
        <v>0</v>
      </c>
      <c r="P297">
        <v>0.99990000000000001</v>
      </c>
      <c r="Q297" s="7" t="s">
        <v>28</v>
      </c>
      <c r="R297" s="7" t="s">
        <v>151</v>
      </c>
      <c r="S297">
        <v>0</v>
      </c>
      <c r="T297">
        <v>7.1860099999999996</v>
      </c>
      <c r="U297">
        <v>6.0060099999999998</v>
      </c>
      <c r="V297">
        <v>0</v>
      </c>
      <c r="W297">
        <v>1.8311200000000001</v>
      </c>
      <c r="X297">
        <v>0</v>
      </c>
      <c r="Y297">
        <v>4</v>
      </c>
      <c r="Z297">
        <v>0</v>
      </c>
      <c r="AA297">
        <v>108.10599999999999</v>
      </c>
      <c r="AB297">
        <v>7.0658899999999996</v>
      </c>
    </row>
    <row r="298" spans="1:28" x14ac:dyDescent="0.25">
      <c r="A298">
        <v>297</v>
      </c>
      <c r="B298">
        <v>575992358</v>
      </c>
      <c r="C298" s="7" t="s">
        <v>27</v>
      </c>
      <c r="D298">
        <v>-0.17297100000000001</v>
      </c>
      <c r="E298">
        <v>1.91351</v>
      </c>
      <c r="F298">
        <v>-0.17297100000000001</v>
      </c>
      <c r="G298" s="3">
        <f>firm_data[[#This Row],[production]]-firm_data[[#This Row],[sales]]</f>
        <v>0</v>
      </c>
      <c r="H298">
        <v>0</v>
      </c>
      <c r="I298">
        <v>-0.69452899999999995</v>
      </c>
      <c r="J298">
        <v>2</v>
      </c>
      <c r="K298">
        <v>2</v>
      </c>
      <c r="L298">
        <v>0</v>
      </c>
      <c r="M298">
        <v>5</v>
      </c>
      <c r="N298">
        <v>0</v>
      </c>
      <c r="O298">
        <v>0</v>
      </c>
      <c r="P298">
        <v>0.99990000000000001</v>
      </c>
      <c r="Q298" s="7" t="s">
        <v>28</v>
      </c>
      <c r="R298" s="7" t="s">
        <v>151</v>
      </c>
      <c r="S298">
        <v>0</v>
      </c>
      <c r="T298">
        <v>7.0658899999999996</v>
      </c>
      <c r="U298">
        <v>6.0060099999999998</v>
      </c>
      <c r="V298">
        <v>0</v>
      </c>
      <c r="W298">
        <v>1.8311200000000001</v>
      </c>
      <c r="X298">
        <v>0</v>
      </c>
      <c r="Y298">
        <v>4</v>
      </c>
      <c r="Z298">
        <v>0</v>
      </c>
      <c r="AA298">
        <v>107.52</v>
      </c>
      <c r="AB298">
        <v>7.0658899999999996</v>
      </c>
    </row>
    <row r="299" spans="1:28" x14ac:dyDescent="0.25">
      <c r="A299">
        <v>298</v>
      </c>
      <c r="B299">
        <v>181951422</v>
      </c>
      <c r="C299" s="7" t="s">
        <v>27</v>
      </c>
      <c r="D299">
        <v>-0.17297100000000001</v>
      </c>
      <c r="E299">
        <v>1.91351</v>
      </c>
      <c r="F299">
        <v>-0.17297100000000001</v>
      </c>
      <c r="G299" s="3">
        <f>firm_data[[#This Row],[production]]-firm_data[[#This Row],[sales]]</f>
        <v>0</v>
      </c>
      <c r="H299">
        <v>0</v>
      </c>
      <c r="I299">
        <v>-0.69452899999999995</v>
      </c>
      <c r="J299">
        <v>2</v>
      </c>
      <c r="K299">
        <v>2</v>
      </c>
      <c r="L299">
        <v>0</v>
      </c>
      <c r="M299">
        <v>5</v>
      </c>
      <c r="N299">
        <v>0</v>
      </c>
      <c r="O299">
        <v>0</v>
      </c>
      <c r="P299">
        <v>0.99990000000000001</v>
      </c>
      <c r="Q299" s="7" t="s">
        <v>28</v>
      </c>
      <c r="R299" s="7" t="s">
        <v>151</v>
      </c>
      <c r="S299">
        <v>0</v>
      </c>
      <c r="T299">
        <v>6.9457700000000004</v>
      </c>
      <c r="U299">
        <v>6.0060099999999998</v>
      </c>
      <c r="V299">
        <v>0</v>
      </c>
      <c r="W299">
        <v>1.8311200000000001</v>
      </c>
      <c r="X299">
        <v>0</v>
      </c>
      <c r="Y299">
        <v>4</v>
      </c>
      <c r="Z299">
        <v>0</v>
      </c>
      <c r="AA299">
        <v>106.568</v>
      </c>
      <c r="AB299">
        <v>7.0658899999999996</v>
      </c>
    </row>
    <row r="300" spans="1:28" x14ac:dyDescent="0.25">
      <c r="A300">
        <v>299</v>
      </c>
      <c r="B300">
        <v>287212904</v>
      </c>
      <c r="C300" s="7" t="s">
        <v>27</v>
      </c>
      <c r="D300">
        <v>-0.17297100000000001</v>
      </c>
      <c r="E300">
        <v>1.91351</v>
      </c>
      <c r="F300">
        <v>-0.17297100000000001</v>
      </c>
      <c r="G300" s="3">
        <f>firm_data[[#This Row],[production]]-firm_data[[#This Row],[sales]]</f>
        <v>0</v>
      </c>
      <c r="H300">
        <v>0</v>
      </c>
      <c r="I300">
        <v>-0.69452899999999995</v>
      </c>
      <c r="J300">
        <v>2</v>
      </c>
      <c r="K300">
        <v>2</v>
      </c>
      <c r="L300">
        <v>0</v>
      </c>
      <c r="M300">
        <v>5</v>
      </c>
      <c r="N300">
        <v>0</v>
      </c>
      <c r="O300">
        <v>0</v>
      </c>
      <c r="P300">
        <v>0.99990000000000001</v>
      </c>
      <c r="Q300" s="7" t="s">
        <v>28</v>
      </c>
      <c r="R300" s="7" t="s">
        <v>151</v>
      </c>
      <c r="S300">
        <v>0</v>
      </c>
      <c r="T300">
        <v>6.8256500000000004</v>
      </c>
      <c r="U300">
        <v>6.0060099999999998</v>
      </c>
      <c r="V300">
        <v>0</v>
      </c>
      <c r="W300">
        <v>1.8311200000000001</v>
      </c>
      <c r="X300">
        <v>0</v>
      </c>
      <c r="Y300">
        <v>4</v>
      </c>
      <c r="Z300">
        <v>0</v>
      </c>
      <c r="AA300">
        <v>105.709</v>
      </c>
      <c r="AB300">
        <v>7.0658899999999996</v>
      </c>
    </row>
    <row r="301" spans="1:28" x14ac:dyDescent="0.25">
      <c r="A301">
        <v>300</v>
      </c>
      <c r="B301">
        <v>453296175</v>
      </c>
      <c r="C301" s="7" t="s">
        <v>27</v>
      </c>
      <c r="D301">
        <v>-0.17297100000000001</v>
      </c>
      <c r="E301">
        <v>1.91351</v>
      </c>
      <c r="F301">
        <v>-0.17297100000000001</v>
      </c>
      <c r="G301" s="3">
        <f>firm_data[[#This Row],[production]]-firm_data[[#This Row],[sales]]</f>
        <v>0</v>
      </c>
      <c r="H301">
        <v>0</v>
      </c>
      <c r="I301">
        <v>-0.69452899999999995</v>
      </c>
      <c r="J301">
        <v>2</v>
      </c>
      <c r="K301">
        <v>2</v>
      </c>
      <c r="L301">
        <v>0</v>
      </c>
      <c r="M301">
        <v>5</v>
      </c>
      <c r="N301">
        <v>0</v>
      </c>
      <c r="O301">
        <v>0</v>
      </c>
      <c r="P301">
        <v>0.99990000000000001</v>
      </c>
      <c r="Q301" s="7" t="s">
        <v>28</v>
      </c>
      <c r="R301" s="7" t="s">
        <v>151</v>
      </c>
      <c r="S301">
        <v>0</v>
      </c>
      <c r="T301">
        <v>6.7055300000000004</v>
      </c>
      <c r="U301">
        <v>6.0060099999999998</v>
      </c>
      <c r="V301">
        <v>0</v>
      </c>
      <c r="W301">
        <v>1.8311200000000001</v>
      </c>
      <c r="X301">
        <v>0</v>
      </c>
      <c r="Y301">
        <v>4</v>
      </c>
      <c r="Z301">
        <v>0</v>
      </c>
      <c r="AA301">
        <v>104.533</v>
      </c>
      <c r="AB301">
        <v>7.0658899999999996</v>
      </c>
    </row>
    <row r="302" spans="1:28" x14ac:dyDescent="0.25">
      <c r="A302">
        <v>301</v>
      </c>
      <c r="B302">
        <v>631321981</v>
      </c>
      <c r="C302" s="7" t="s">
        <v>27</v>
      </c>
      <c r="D302">
        <v>-0.17297100000000001</v>
      </c>
      <c r="E302">
        <v>1.91351</v>
      </c>
      <c r="F302">
        <v>-0.17297100000000001</v>
      </c>
      <c r="G302" s="3">
        <f>firm_data[[#This Row],[production]]-firm_data[[#This Row],[sales]]</f>
        <v>0</v>
      </c>
      <c r="H302">
        <v>0</v>
      </c>
      <c r="I302">
        <v>-0.69452899999999995</v>
      </c>
      <c r="J302">
        <v>2</v>
      </c>
      <c r="K302">
        <v>2</v>
      </c>
      <c r="L302">
        <v>0</v>
      </c>
      <c r="M302">
        <v>5</v>
      </c>
      <c r="N302">
        <v>0</v>
      </c>
      <c r="O302">
        <v>0</v>
      </c>
      <c r="P302">
        <v>0.99990000000000001</v>
      </c>
      <c r="Q302" s="7" t="s">
        <v>28</v>
      </c>
      <c r="R302" s="7" t="s">
        <v>151</v>
      </c>
      <c r="S302">
        <v>0</v>
      </c>
      <c r="T302">
        <v>6.5854100000000004</v>
      </c>
      <c r="U302">
        <v>6.0060099999999998</v>
      </c>
      <c r="V302">
        <v>0</v>
      </c>
      <c r="W302">
        <v>1.8311200000000001</v>
      </c>
      <c r="X302">
        <v>0</v>
      </c>
      <c r="Y302">
        <v>4</v>
      </c>
      <c r="Z302">
        <v>0</v>
      </c>
      <c r="AA302">
        <v>103.946</v>
      </c>
      <c r="AB302">
        <v>7.0658899999999996</v>
      </c>
    </row>
    <row r="303" spans="1:28" x14ac:dyDescent="0.25">
      <c r="A303">
        <v>302</v>
      </c>
      <c r="B303">
        <v>114267695</v>
      </c>
      <c r="C303" s="7" t="s">
        <v>27</v>
      </c>
      <c r="D303">
        <v>-11.167</v>
      </c>
      <c r="E303">
        <v>1.91351</v>
      </c>
      <c r="F303">
        <v>-11.167</v>
      </c>
      <c r="G303" s="3">
        <f>firm_data[[#This Row],[production]]-firm_data[[#This Row],[sales]]</f>
        <v>0</v>
      </c>
      <c r="H303">
        <v>0</v>
      </c>
      <c r="I303">
        <v>-0.69452899999999995</v>
      </c>
      <c r="J303">
        <v>2</v>
      </c>
      <c r="K303">
        <v>2</v>
      </c>
      <c r="L303">
        <v>0</v>
      </c>
      <c r="M303">
        <v>5</v>
      </c>
      <c r="N303">
        <v>0</v>
      </c>
      <c r="O303">
        <v>0</v>
      </c>
      <c r="P303">
        <v>0.99990000000000001</v>
      </c>
      <c r="Q303" s="7" t="s">
        <v>28</v>
      </c>
      <c r="R303" s="7" t="s">
        <v>151</v>
      </c>
      <c r="S303">
        <v>0</v>
      </c>
      <c r="T303">
        <v>7.1575800000000003</v>
      </c>
      <c r="U303">
        <v>6.0060099999999998</v>
      </c>
      <c r="V303">
        <v>10.994</v>
      </c>
      <c r="W303">
        <v>1.8311200000000001</v>
      </c>
      <c r="X303">
        <v>0.96096099999999995</v>
      </c>
      <c r="Y303">
        <v>4</v>
      </c>
      <c r="Z303">
        <v>15.3246</v>
      </c>
      <c r="AA303">
        <v>114.143</v>
      </c>
      <c r="AB303">
        <v>7.0658899999999996</v>
      </c>
    </row>
    <row r="304" spans="1:28" x14ac:dyDescent="0.25">
      <c r="A304">
        <v>303</v>
      </c>
      <c r="B304">
        <v>879777812</v>
      </c>
      <c r="C304" s="7" t="s">
        <v>27</v>
      </c>
      <c r="D304">
        <v>-6.4229500000000002</v>
      </c>
      <c r="E304">
        <v>1.91351</v>
      </c>
      <c r="F304">
        <v>-6.4229500000000002</v>
      </c>
      <c r="G304" s="3">
        <f>firm_data[[#This Row],[production]]-firm_data[[#This Row],[sales]]</f>
        <v>0</v>
      </c>
      <c r="H304">
        <v>0</v>
      </c>
      <c r="I304">
        <v>-0.69452899999999995</v>
      </c>
      <c r="J304">
        <v>2</v>
      </c>
      <c r="K304">
        <v>2</v>
      </c>
      <c r="L304">
        <v>0</v>
      </c>
      <c r="M304">
        <v>5</v>
      </c>
      <c r="N304">
        <v>0</v>
      </c>
      <c r="O304">
        <v>0</v>
      </c>
      <c r="P304">
        <v>0.99990000000000001</v>
      </c>
      <c r="Q304" s="7" t="s">
        <v>28</v>
      </c>
      <c r="R304" s="7" t="s">
        <v>151</v>
      </c>
      <c r="S304">
        <v>0</v>
      </c>
      <c r="T304">
        <v>7.4262499999999996</v>
      </c>
      <c r="U304">
        <v>6.0060099999999998</v>
      </c>
      <c r="V304">
        <v>6.2499799999999999</v>
      </c>
      <c r="W304">
        <v>1.8311200000000001</v>
      </c>
      <c r="X304">
        <v>0.388793</v>
      </c>
      <c r="Y304">
        <v>4</v>
      </c>
      <c r="Z304">
        <v>6.2595599999999996</v>
      </c>
      <c r="AA304">
        <v>119.562</v>
      </c>
      <c r="AB304">
        <v>7.0658899999999996</v>
      </c>
    </row>
    <row r="305" spans="1:28" x14ac:dyDescent="0.25">
      <c r="A305">
        <v>304</v>
      </c>
      <c r="B305">
        <v>353380199</v>
      </c>
      <c r="C305" s="7" t="s">
        <v>27</v>
      </c>
      <c r="D305">
        <v>-0.17297100000000001</v>
      </c>
      <c r="E305">
        <v>1.91351</v>
      </c>
      <c r="F305">
        <v>-0.17297100000000001</v>
      </c>
      <c r="G305" s="3">
        <f>firm_data[[#This Row],[production]]-firm_data[[#This Row],[sales]]</f>
        <v>0</v>
      </c>
      <c r="H305">
        <v>0</v>
      </c>
      <c r="I305">
        <v>-0.69452899999999995</v>
      </c>
      <c r="J305">
        <v>2</v>
      </c>
      <c r="K305">
        <v>2</v>
      </c>
      <c r="L305">
        <v>0</v>
      </c>
      <c r="M305">
        <v>5</v>
      </c>
      <c r="N305">
        <v>0</v>
      </c>
      <c r="O305">
        <v>0</v>
      </c>
      <c r="P305">
        <v>0.99990000000000001</v>
      </c>
      <c r="Q305" s="7" t="s">
        <v>28</v>
      </c>
      <c r="R305" s="7" t="s">
        <v>151</v>
      </c>
      <c r="S305">
        <v>0</v>
      </c>
      <c r="T305">
        <v>7.3061299999999996</v>
      </c>
      <c r="U305">
        <v>6.0060099999999998</v>
      </c>
      <c r="V305">
        <v>0</v>
      </c>
      <c r="W305">
        <v>1.8311200000000001</v>
      </c>
      <c r="X305">
        <v>0</v>
      </c>
      <c r="Y305">
        <v>4</v>
      </c>
      <c r="Z305">
        <v>0</v>
      </c>
      <c r="AA305">
        <v>118.637</v>
      </c>
      <c r="AB305">
        <v>7.0658899999999996</v>
      </c>
    </row>
    <row r="306" spans="1:28" x14ac:dyDescent="0.25">
      <c r="A306">
        <v>305</v>
      </c>
      <c r="B306">
        <v>668603093</v>
      </c>
      <c r="C306" s="7" t="s">
        <v>27</v>
      </c>
      <c r="D306">
        <v>-0.17297100000000001</v>
      </c>
      <c r="E306">
        <v>1.91351</v>
      </c>
      <c r="F306">
        <v>-0.17297100000000001</v>
      </c>
      <c r="G306" s="3">
        <f>firm_data[[#This Row],[production]]-firm_data[[#This Row],[sales]]</f>
        <v>0</v>
      </c>
      <c r="H306">
        <v>0</v>
      </c>
      <c r="I306">
        <v>-0.69452899999999995</v>
      </c>
      <c r="J306">
        <v>2</v>
      </c>
      <c r="K306">
        <v>2</v>
      </c>
      <c r="L306">
        <v>0</v>
      </c>
      <c r="M306">
        <v>5</v>
      </c>
      <c r="N306">
        <v>0</v>
      </c>
      <c r="O306">
        <v>0</v>
      </c>
      <c r="P306">
        <v>0.99990000000000001</v>
      </c>
      <c r="Q306" s="7" t="s">
        <v>28</v>
      </c>
      <c r="R306" s="7" t="s">
        <v>151</v>
      </c>
      <c r="S306">
        <v>0</v>
      </c>
      <c r="T306">
        <v>7.1860099999999996</v>
      </c>
      <c r="U306">
        <v>6.0060099999999998</v>
      </c>
      <c r="V306">
        <v>0</v>
      </c>
      <c r="W306">
        <v>1.8311200000000001</v>
      </c>
      <c r="X306">
        <v>0</v>
      </c>
      <c r="Y306">
        <v>4</v>
      </c>
      <c r="Z306">
        <v>0</v>
      </c>
      <c r="AA306">
        <v>118.452</v>
      </c>
      <c r="AB306">
        <v>7.0658899999999996</v>
      </c>
    </row>
    <row r="307" spans="1:28" x14ac:dyDescent="0.25">
      <c r="A307">
        <v>306</v>
      </c>
      <c r="B307">
        <v>169657502</v>
      </c>
      <c r="C307" s="7" t="s">
        <v>27</v>
      </c>
      <c r="D307">
        <v>-0.17297100000000001</v>
      </c>
      <c r="E307">
        <v>1.91351</v>
      </c>
      <c r="F307">
        <v>-0.17297100000000001</v>
      </c>
      <c r="G307" s="3">
        <f>firm_data[[#This Row],[production]]-firm_data[[#This Row],[sales]]</f>
        <v>0</v>
      </c>
      <c r="H307">
        <v>0</v>
      </c>
      <c r="I307">
        <v>-0.69452899999999995</v>
      </c>
      <c r="J307">
        <v>2</v>
      </c>
      <c r="K307">
        <v>2</v>
      </c>
      <c r="L307">
        <v>0</v>
      </c>
      <c r="M307">
        <v>5</v>
      </c>
      <c r="N307">
        <v>0</v>
      </c>
      <c r="O307">
        <v>0</v>
      </c>
      <c r="P307">
        <v>0.99990000000000001</v>
      </c>
      <c r="Q307" s="7" t="s">
        <v>28</v>
      </c>
      <c r="R307" s="7" t="s">
        <v>151</v>
      </c>
      <c r="S307">
        <v>0</v>
      </c>
      <c r="T307">
        <v>7.0658899999999996</v>
      </c>
      <c r="U307">
        <v>6.0060099999999998</v>
      </c>
      <c r="V307">
        <v>0</v>
      </c>
      <c r="W307">
        <v>1.8311200000000001</v>
      </c>
      <c r="X307">
        <v>0</v>
      </c>
      <c r="Y307">
        <v>4</v>
      </c>
      <c r="Z307">
        <v>0</v>
      </c>
      <c r="AA307">
        <v>117.261</v>
      </c>
      <c r="AB307">
        <v>7.0658899999999996</v>
      </c>
    </row>
    <row r="308" spans="1:28" x14ac:dyDescent="0.25">
      <c r="A308">
        <v>307</v>
      </c>
      <c r="B308">
        <v>530007217</v>
      </c>
      <c r="C308" s="7" t="s">
        <v>27</v>
      </c>
      <c r="D308">
        <v>-0.17297100000000001</v>
      </c>
      <c r="E308">
        <v>1.91351</v>
      </c>
      <c r="F308">
        <v>-0.17297100000000001</v>
      </c>
      <c r="G308" s="3">
        <f>firm_data[[#This Row],[production]]-firm_data[[#This Row],[sales]]</f>
        <v>0</v>
      </c>
      <c r="H308">
        <v>0</v>
      </c>
      <c r="I308">
        <v>-0.69452899999999995</v>
      </c>
      <c r="J308">
        <v>2</v>
      </c>
      <c r="K308">
        <v>2</v>
      </c>
      <c r="L308">
        <v>0</v>
      </c>
      <c r="M308">
        <v>5</v>
      </c>
      <c r="N308">
        <v>0</v>
      </c>
      <c r="O308">
        <v>0</v>
      </c>
      <c r="P308">
        <v>0.99990000000000001</v>
      </c>
      <c r="Q308" s="7" t="s">
        <v>28</v>
      </c>
      <c r="R308" s="7" t="s">
        <v>151</v>
      </c>
      <c r="S308">
        <v>0</v>
      </c>
      <c r="T308">
        <v>6.9457700000000004</v>
      </c>
      <c r="U308">
        <v>6.0060099999999998</v>
      </c>
      <c r="V308">
        <v>0</v>
      </c>
      <c r="W308">
        <v>1.8311200000000001</v>
      </c>
      <c r="X308">
        <v>0</v>
      </c>
      <c r="Y308">
        <v>4</v>
      </c>
      <c r="Z308">
        <v>0</v>
      </c>
      <c r="AA308">
        <v>115.354</v>
      </c>
      <c r="AB308">
        <v>7.0658899999999996</v>
      </c>
    </row>
    <row r="309" spans="1:28" x14ac:dyDescent="0.25">
      <c r="A309">
        <v>308</v>
      </c>
      <c r="B309">
        <v>43178698</v>
      </c>
      <c r="C309" s="7" t="s">
        <v>27</v>
      </c>
      <c r="D309">
        <v>-0.17297100000000001</v>
      </c>
      <c r="E309">
        <v>1.91351</v>
      </c>
      <c r="F309">
        <v>-0.17297100000000001</v>
      </c>
      <c r="G309" s="3">
        <f>firm_data[[#This Row],[production]]-firm_data[[#This Row],[sales]]</f>
        <v>0</v>
      </c>
      <c r="H309">
        <v>0</v>
      </c>
      <c r="I309">
        <v>-0.69452899999999995</v>
      </c>
      <c r="J309">
        <v>2</v>
      </c>
      <c r="K309">
        <v>2</v>
      </c>
      <c r="L309">
        <v>0</v>
      </c>
      <c r="M309">
        <v>5</v>
      </c>
      <c r="N309">
        <v>0</v>
      </c>
      <c r="O309">
        <v>0</v>
      </c>
      <c r="P309">
        <v>0.99990000000000001</v>
      </c>
      <c r="Q309" s="7" t="s">
        <v>28</v>
      </c>
      <c r="R309" s="7" t="s">
        <v>151</v>
      </c>
      <c r="S309">
        <v>0</v>
      </c>
      <c r="T309">
        <v>6.8256500000000004</v>
      </c>
      <c r="U309">
        <v>6.0060099999999998</v>
      </c>
      <c r="V309">
        <v>0</v>
      </c>
      <c r="W309">
        <v>1.8311200000000001</v>
      </c>
      <c r="X309">
        <v>0</v>
      </c>
      <c r="Y309">
        <v>4</v>
      </c>
      <c r="Z309">
        <v>0</v>
      </c>
      <c r="AA309">
        <v>115.28700000000001</v>
      </c>
      <c r="AB309">
        <v>7.0658899999999996</v>
      </c>
    </row>
    <row r="310" spans="1:28" x14ac:dyDescent="0.25">
      <c r="A310">
        <v>309</v>
      </c>
      <c r="B310">
        <v>89221786</v>
      </c>
      <c r="C310" s="7" t="s">
        <v>27</v>
      </c>
      <c r="D310">
        <v>-0.17297100000000001</v>
      </c>
      <c r="E310">
        <v>1.91351</v>
      </c>
      <c r="F310">
        <v>-0.17297100000000001</v>
      </c>
      <c r="G310" s="3">
        <f>firm_data[[#This Row],[production]]-firm_data[[#This Row],[sales]]</f>
        <v>0</v>
      </c>
      <c r="H310">
        <v>0</v>
      </c>
      <c r="I310">
        <v>-0.69452899999999995</v>
      </c>
      <c r="J310">
        <v>2</v>
      </c>
      <c r="K310">
        <v>2</v>
      </c>
      <c r="L310">
        <v>0</v>
      </c>
      <c r="M310">
        <v>5</v>
      </c>
      <c r="N310">
        <v>0</v>
      </c>
      <c r="O310">
        <v>0</v>
      </c>
      <c r="P310">
        <v>0.99990000000000001</v>
      </c>
      <c r="Q310" s="7" t="s">
        <v>28</v>
      </c>
      <c r="R310" s="7" t="s">
        <v>151</v>
      </c>
      <c r="S310">
        <v>0</v>
      </c>
      <c r="T310">
        <v>6.7055300000000004</v>
      </c>
      <c r="U310">
        <v>6.0060099999999998</v>
      </c>
      <c r="V310">
        <v>0</v>
      </c>
      <c r="W310">
        <v>1.8311200000000001</v>
      </c>
      <c r="X310">
        <v>0</v>
      </c>
      <c r="Y310">
        <v>4</v>
      </c>
      <c r="Z310">
        <v>0</v>
      </c>
      <c r="AA310">
        <v>115.13</v>
      </c>
      <c r="AB310">
        <v>7.0658899999999996</v>
      </c>
    </row>
    <row r="311" spans="1:28" x14ac:dyDescent="0.25">
      <c r="A311">
        <v>310</v>
      </c>
      <c r="B311">
        <v>361570699</v>
      </c>
      <c r="C311" s="7" t="s">
        <v>27</v>
      </c>
      <c r="D311">
        <v>-0.17297100000000001</v>
      </c>
      <c r="E311">
        <v>1.91351</v>
      </c>
      <c r="F311">
        <v>-0.17297100000000001</v>
      </c>
      <c r="G311" s="3">
        <f>firm_data[[#This Row],[production]]-firm_data[[#This Row],[sales]]</f>
        <v>0</v>
      </c>
      <c r="H311">
        <v>0</v>
      </c>
      <c r="I311">
        <v>-0.69452899999999995</v>
      </c>
      <c r="J311">
        <v>2</v>
      </c>
      <c r="K311">
        <v>2</v>
      </c>
      <c r="L311">
        <v>0</v>
      </c>
      <c r="M311">
        <v>5</v>
      </c>
      <c r="N311">
        <v>0</v>
      </c>
      <c r="O311">
        <v>0</v>
      </c>
      <c r="P311">
        <v>0.99990000000000001</v>
      </c>
      <c r="Q311" s="7" t="s">
        <v>28</v>
      </c>
      <c r="R311" s="7" t="s">
        <v>151</v>
      </c>
      <c r="S311">
        <v>0</v>
      </c>
      <c r="T311">
        <v>6.5854100000000004</v>
      </c>
      <c r="U311">
        <v>6.0060099999999998</v>
      </c>
      <c r="V311">
        <v>0</v>
      </c>
      <c r="W311">
        <v>1.8311200000000001</v>
      </c>
      <c r="X311">
        <v>0</v>
      </c>
      <c r="Y311">
        <v>4</v>
      </c>
      <c r="Z311">
        <v>0</v>
      </c>
      <c r="AA311">
        <v>113.764</v>
      </c>
      <c r="AB311">
        <v>7.0658899999999996</v>
      </c>
    </row>
    <row r="312" spans="1:28" x14ac:dyDescent="0.25">
      <c r="A312">
        <v>311</v>
      </c>
      <c r="B312">
        <v>334193250</v>
      </c>
      <c r="C312" s="7" t="s">
        <v>27</v>
      </c>
      <c r="D312">
        <v>-0.17297100000000001</v>
      </c>
      <c r="E312">
        <v>1.91351</v>
      </c>
      <c r="F312">
        <v>-0.17297100000000001</v>
      </c>
      <c r="G312" s="3">
        <f>firm_data[[#This Row],[production]]-firm_data[[#This Row],[sales]]</f>
        <v>0</v>
      </c>
      <c r="H312">
        <v>0</v>
      </c>
      <c r="I312">
        <v>-0.69452899999999995</v>
      </c>
      <c r="J312">
        <v>2</v>
      </c>
      <c r="K312">
        <v>2</v>
      </c>
      <c r="L312">
        <v>0</v>
      </c>
      <c r="M312">
        <v>5</v>
      </c>
      <c r="N312">
        <v>0</v>
      </c>
      <c r="O312">
        <v>0</v>
      </c>
      <c r="P312">
        <v>0.99990000000000001</v>
      </c>
      <c r="Q312" s="7" t="s">
        <v>28</v>
      </c>
      <c r="R312" s="7" t="s">
        <v>151</v>
      </c>
      <c r="S312">
        <v>0</v>
      </c>
      <c r="T312">
        <v>6.4652900000000004</v>
      </c>
      <c r="U312">
        <v>6.0060099999999998</v>
      </c>
      <c r="V312">
        <v>0</v>
      </c>
      <c r="W312">
        <v>1.8311200000000001</v>
      </c>
      <c r="X312">
        <v>0</v>
      </c>
      <c r="Y312">
        <v>4</v>
      </c>
      <c r="Z312">
        <v>0</v>
      </c>
      <c r="AA312">
        <v>112.90300000000001</v>
      </c>
      <c r="AB312">
        <v>7.0658899999999996</v>
      </c>
    </row>
    <row r="313" spans="1:28" x14ac:dyDescent="0.25">
      <c r="A313">
        <v>312</v>
      </c>
      <c r="B313">
        <v>580099953</v>
      </c>
      <c r="C313" s="7" t="s">
        <v>27</v>
      </c>
      <c r="D313">
        <v>-0.17297100000000001</v>
      </c>
      <c r="E313">
        <v>1.91351</v>
      </c>
      <c r="F313">
        <v>-0.17297100000000001</v>
      </c>
      <c r="G313" s="3">
        <f>firm_data[[#This Row],[production]]-firm_data[[#This Row],[sales]]</f>
        <v>0</v>
      </c>
      <c r="H313">
        <v>0</v>
      </c>
      <c r="I313">
        <v>-0.69452899999999995</v>
      </c>
      <c r="J313">
        <v>2</v>
      </c>
      <c r="K313">
        <v>2</v>
      </c>
      <c r="L313">
        <v>0</v>
      </c>
      <c r="M313">
        <v>5</v>
      </c>
      <c r="N313">
        <v>0</v>
      </c>
      <c r="O313">
        <v>0</v>
      </c>
      <c r="P313">
        <v>0.99990000000000001</v>
      </c>
      <c r="Q313" s="7" t="s">
        <v>28</v>
      </c>
      <c r="R313" s="7" t="s">
        <v>151</v>
      </c>
      <c r="S313">
        <v>0</v>
      </c>
      <c r="T313">
        <v>6.3451700000000004</v>
      </c>
      <c r="U313">
        <v>6.0060099999999998</v>
      </c>
      <c r="V313">
        <v>0</v>
      </c>
      <c r="W313">
        <v>1.8311200000000001</v>
      </c>
      <c r="X313">
        <v>0</v>
      </c>
      <c r="Y313">
        <v>4</v>
      </c>
      <c r="Z313">
        <v>0</v>
      </c>
      <c r="AA313">
        <v>112.124</v>
      </c>
      <c r="AB313">
        <v>7.0658899999999996</v>
      </c>
    </row>
    <row r="314" spans="1:28" x14ac:dyDescent="0.25">
      <c r="A314">
        <v>313</v>
      </c>
      <c r="B314">
        <v>78991511</v>
      </c>
      <c r="C314" s="7" t="s">
        <v>27</v>
      </c>
      <c r="D314">
        <v>-0.17297100000000001</v>
      </c>
      <c r="E314">
        <v>1.91351</v>
      </c>
      <c r="F314">
        <v>-0.17297100000000001</v>
      </c>
      <c r="G314" s="3">
        <f>firm_data[[#This Row],[production]]-firm_data[[#This Row],[sales]]</f>
        <v>0</v>
      </c>
      <c r="H314">
        <v>0</v>
      </c>
      <c r="I314">
        <v>-0.69452899999999995</v>
      </c>
      <c r="J314">
        <v>2</v>
      </c>
      <c r="K314">
        <v>2</v>
      </c>
      <c r="L314">
        <v>0</v>
      </c>
      <c r="M314">
        <v>5</v>
      </c>
      <c r="N314">
        <v>0</v>
      </c>
      <c r="O314">
        <v>0</v>
      </c>
      <c r="P314">
        <v>0.99990000000000001</v>
      </c>
      <c r="Q314" s="7" t="s">
        <v>28</v>
      </c>
      <c r="R314" s="7" t="s">
        <v>151</v>
      </c>
      <c r="S314">
        <v>0</v>
      </c>
      <c r="T314">
        <v>6.2250500000000004</v>
      </c>
      <c r="U314">
        <v>6.0060099999999998</v>
      </c>
      <c r="V314">
        <v>0</v>
      </c>
      <c r="W314">
        <v>1.8311200000000001</v>
      </c>
      <c r="X314">
        <v>0</v>
      </c>
      <c r="Y314">
        <v>4</v>
      </c>
      <c r="Z314">
        <v>0</v>
      </c>
      <c r="AA314">
        <v>110.92700000000001</v>
      </c>
      <c r="AB314">
        <v>7.0658899999999996</v>
      </c>
    </row>
    <row r="315" spans="1:28" x14ac:dyDescent="0.25">
      <c r="A315">
        <v>314</v>
      </c>
      <c r="B315">
        <v>586953022</v>
      </c>
      <c r="C315" s="7" t="s">
        <v>27</v>
      </c>
      <c r="D315">
        <v>-25.002300000000002</v>
      </c>
      <c r="E315">
        <v>1.91351</v>
      </c>
      <c r="F315">
        <v>-25.002300000000002</v>
      </c>
      <c r="G315" s="3">
        <f>firm_data[[#This Row],[production]]-firm_data[[#This Row],[sales]]</f>
        <v>0</v>
      </c>
      <c r="H315">
        <v>0</v>
      </c>
      <c r="I315">
        <v>-0.69452899999999995</v>
      </c>
      <c r="J315">
        <v>2</v>
      </c>
      <c r="K315">
        <v>2</v>
      </c>
      <c r="L315">
        <v>0</v>
      </c>
      <c r="M315">
        <v>5</v>
      </c>
      <c r="N315">
        <v>0</v>
      </c>
      <c r="O315">
        <v>0</v>
      </c>
      <c r="P315">
        <v>0.99990000000000001</v>
      </c>
      <c r="Q315" s="7" t="s">
        <v>28</v>
      </c>
      <c r="R315" s="7" t="s">
        <v>151</v>
      </c>
      <c r="S315">
        <v>0</v>
      </c>
      <c r="T315">
        <v>7.4262499999999996</v>
      </c>
      <c r="U315">
        <v>6.0060099999999998</v>
      </c>
      <c r="V315">
        <v>24.8293</v>
      </c>
      <c r="W315">
        <v>1.8311200000000001</v>
      </c>
      <c r="X315">
        <v>1.3213200000000001</v>
      </c>
      <c r="Y315">
        <v>4</v>
      </c>
      <c r="Z315">
        <v>23.5837</v>
      </c>
      <c r="AA315">
        <v>132.548</v>
      </c>
      <c r="AB315">
        <v>7.0658899999999996</v>
      </c>
    </row>
    <row r="316" spans="1:28" x14ac:dyDescent="0.25">
      <c r="A316">
        <v>315</v>
      </c>
      <c r="B316">
        <v>829512702</v>
      </c>
      <c r="C316" s="7" t="s">
        <v>27</v>
      </c>
      <c r="D316">
        <v>-0.17297100000000001</v>
      </c>
      <c r="E316">
        <v>1.91351</v>
      </c>
      <c r="F316">
        <v>-0.17297100000000001</v>
      </c>
      <c r="G316" s="3">
        <f>firm_data[[#This Row],[production]]-firm_data[[#This Row],[sales]]</f>
        <v>0</v>
      </c>
      <c r="H316">
        <v>0</v>
      </c>
      <c r="I316">
        <v>-0.69452899999999995</v>
      </c>
      <c r="J316">
        <v>2</v>
      </c>
      <c r="K316">
        <v>2</v>
      </c>
      <c r="L316">
        <v>0</v>
      </c>
      <c r="M316">
        <v>5</v>
      </c>
      <c r="N316">
        <v>0</v>
      </c>
      <c r="O316">
        <v>0</v>
      </c>
      <c r="P316">
        <v>0.99990000000000001</v>
      </c>
      <c r="Q316" s="7" t="s">
        <v>28</v>
      </c>
      <c r="R316" s="7" t="s">
        <v>151</v>
      </c>
      <c r="S316">
        <v>0</v>
      </c>
      <c r="T316">
        <v>7.3061299999999996</v>
      </c>
      <c r="U316">
        <v>6.0060099999999998</v>
      </c>
      <c r="V316">
        <v>0</v>
      </c>
      <c r="W316">
        <v>1.8311200000000001</v>
      </c>
      <c r="X316">
        <v>0</v>
      </c>
      <c r="Y316">
        <v>4</v>
      </c>
      <c r="Z316">
        <v>0</v>
      </c>
      <c r="AA316">
        <v>131.489</v>
      </c>
      <c r="AB316">
        <v>7.0658899999999996</v>
      </c>
    </row>
    <row r="317" spans="1:28" x14ac:dyDescent="0.25">
      <c r="A317">
        <v>316</v>
      </c>
      <c r="B317">
        <v>613815557</v>
      </c>
      <c r="C317" s="7" t="s">
        <v>27</v>
      </c>
      <c r="D317">
        <v>-0.17297100000000001</v>
      </c>
      <c r="E317">
        <v>1.91351</v>
      </c>
      <c r="F317">
        <v>-0.17297100000000001</v>
      </c>
      <c r="G317" s="3">
        <f>firm_data[[#This Row],[production]]-firm_data[[#This Row],[sales]]</f>
        <v>0</v>
      </c>
      <c r="H317">
        <v>0</v>
      </c>
      <c r="I317">
        <v>-0.69452899999999995</v>
      </c>
      <c r="J317">
        <v>2</v>
      </c>
      <c r="K317">
        <v>2</v>
      </c>
      <c r="L317">
        <v>0</v>
      </c>
      <c r="M317">
        <v>5</v>
      </c>
      <c r="N317">
        <v>0</v>
      </c>
      <c r="O317">
        <v>0</v>
      </c>
      <c r="P317">
        <v>0.99990000000000001</v>
      </c>
      <c r="Q317" s="7" t="s">
        <v>28</v>
      </c>
      <c r="R317" s="7" t="s">
        <v>151</v>
      </c>
      <c r="S317">
        <v>0</v>
      </c>
      <c r="T317">
        <v>7.1860099999999996</v>
      </c>
      <c r="U317">
        <v>6.0060099999999998</v>
      </c>
      <c r="V317">
        <v>0</v>
      </c>
      <c r="W317">
        <v>1.8311200000000001</v>
      </c>
      <c r="X317">
        <v>0</v>
      </c>
      <c r="Y317">
        <v>4</v>
      </c>
      <c r="Z317">
        <v>0</v>
      </c>
      <c r="AA317">
        <v>129.57499999999999</v>
      </c>
      <c r="AB317">
        <v>7.0658899999999996</v>
      </c>
    </row>
    <row r="318" spans="1:28" x14ac:dyDescent="0.25">
      <c r="A318">
        <v>317</v>
      </c>
      <c r="B318">
        <v>914405504</v>
      </c>
      <c r="C318" s="7" t="s">
        <v>27</v>
      </c>
      <c r="D318">
        <v>-0.17297100000000001</v>
      </c>
      <c r="E318">
        <v>1.91351</v>
      </c>
      <c r="F318">
        <v>-0.17297100000000001</v>
      </c>
      <c r="G318" s="3">
        <f>firm_data[[#This Row],[production]]-firm_data[[#This Row],[sales]]</f>
        <v>0</v>
      </c>
      <c r="H318">
        <v>0</v>
      </c>
      <c r="I318">
        <v>-0.69452899999999995</v>
      </c>
      <c r="J318">
        <v>2</v>
      </c>
      <c r="K318">
        <v>2</v>
      </c>
      <c r="L318">
        <v>0</v>
      </c>
      <c r="M318">
        <v>5</v>
      </c>
      <c r="N318">
        <v>0</v>
      </c>
      <c r="O318">
        <v>0</v>
      </c>
      <c r="P318">
        <v>0.99990000000000001</v>
      </c>
      <c r="Q318" s="7" t="s">
        <v>28</v>
      </c>
      <c r="R318" s="7" t="s">
        <v>151</v>
      </c>
      <c r="S318">
        <v>0</v>
      </c>
      <c r="T318">
        <v>7.0658899999999996</v>
      </c>
      <c r="U318">
        <v>6.0060099999999998</v>
      </c>
      <c r="V318">
        <v>0</v>
      </c>
      <c r="W318">
        <v>1.8311200000000001</v>
      </c>
      <c r="X318">
        <v>0.36036000000000001</v>
      </c>
      <c r="Y318">
        <v>4</v>
      </c>
      <c r="Z318">
        <v>6.5495400000000004</v>
      </c>
      <c r="AA318">
        <v>128.422</v>
      </c>
      <c r="AB318">
        <v>7.0658899999999996</v>
      </c>
    </row>
    <row r="319" spans="1:28" x14ac:dyDescent="0.25">
      <c r="A319">
        <v>318</v>
      </c>
      <c r="B319">
        <v>293035967</v>
      </c>
      <c r="C319" s="7" t="s">
        <v>27</v>
      </c>
      <c r="D319">
        <v>-0.17297100000000001</v>
      </c>
      <c r="E319">
        <v>1.91351</v>
      </c>
      <c r="F319">
        <v>-0.17297100000000001</v>
      </c>
      <c r="G319" s="3">
        <f>firm_data[[#This Row],[production]]-firm_data[[#This Row],[sales]]</f>
        <v>0</v>
      </c>
      <c r="H319">
        <v>0</v>
      </c>
      <c r="I319">
        <v>-0.69452899999999995</v>
      </c>
      <c r="J319">
        <v>2</v>
      </c>
      <c r="K319">
        <v>2</v>
      </c>
      <c r="L319">
        <v>0</v>
      </c>
      <c r="M319">
        <v>5</v>
      </c>
      <c r="N319">
        <v>0</v>
      </c>
      <c r="O319">
        <v>0</v>
      </c>
      <c r="P319">
        <v>0.99990000000000001</v>
      </c>
      <c r="Q319" s="7" t="s">
        <v>28</v>
      </c>
      <c r="R319" s="7" t="s">
        <v>151</v>
      </c>
      <c r="S319">
        <v>0</v>
      </c>
      <c r="T319">
        <v>6.9457700000000004</v>
      </c>
      <c r="U319">
        <v>6.0060099999999998</v>
      </c>
      <c r="V319">
        <v>0</v>
      </c>
      <c r="W319">
        <v>1.8311200000000001</v>
      </c>
      <c r="X319">
        <v>0</v>
      </c>
      <c r="Y319">
        <v>4</v>
      </c>
      <c r="Z319">
        <v>0</v>
      </c>
      <c r="AA319">
        <v>126.724</v>
      </c>
      <c r="AB319">
        <v>7.0658899999999996</v>
      </c>
    </row>
    <row r="320" spans="1:28" x14ac:dyDescent="0.25">
      <c r="A320">
        <v>319</v>
      </c>
      <c r="B320">
        <v>947994935</v>
      </c>
      <c r="C320" s="7" t="s">
        <v>27</v>
      </c>
      <c r="D320">
        <v>-0.17297100000000001</v>
      </c>
      <c r="E320">
        <v>1.91351</v>
      </c>
      <c r="F320">
        <v>-0.17297100000000001</v>
      </c>
      <c r="G320" s="3">
        <f>firm_data[[#This Row],[production]]-firm_data[[#This Row],[sales]]</f>
        <v>0</v>
      </c>
      <c r="H320">
        <v>0</v>
      </c>
      <c r="I320">
        <v>-0.69452899999999995</v>
      </c>
      <c r="J320">
        <v>2</v>
      </c>
      <c r="K320">
        <v>2</v>
      </c>
      <c r="L320">
        <v>0</v>
      </c>
      <c r="M320">
        <v>5</v>
      </c>
      <c r="N320">
        <v>0</v>
      </c>
      <c r="O320">
        <v>0</v>
      </c>
      <c r="P320">
        <v>0.99990000000000001</v>
      </c>
      <c r="Q320" s="7" t="s">
        <v>28</v>
      </c>
      <c r="R320" s="7" t="s">
        <v>151</v>
      </c>
      <c r="S320">
        <v>0</v>
      </c>
      <c r="T320">
        <v>6.8256500000000004</v>
      </c>
      <c r="U320">
        <v>6.0060099999999998</v>
      </c>
      <c r="V320">
        <v>0</v>
      </c>
      <c r="W320">
        <v>1.8311200000000001</v>
      </c>
      <c r="X320">
        <v>0</v>
      </c>
      <c r="Y320">
        <v>4</v>
      </c>
      <c r="Z320">
        <v>0</v>
      </c>
      <c r="AA320">
        <v>125.08499999999999</v>
      </c>
      <c r="AB320">
        <v>7.0658899999999996</v>
      </c>
    </row>
    <row r="321" spans="1:28" x14ac:dyDescent="0.25">
      <c r="A321">
        <v>320</v>
      </c>
      <c r="B321">
        <v>201694033</v>
      </c>
      <c r="C321" s="7" t="s">
        <v>27</v>
      </c>
      <c r="D321">
        <v>-3.45804</v>
      </c>
      <c r="E321">
        <v>1.91351</v>
      </c>
      <c r="F321">
        <v>-3.45804</v>
      </c>
      <c r="G321" s="3">
        <f>firm_data[[#This Row],[production]]-firm_data[[#This Row],[sales]]</f>
        <v>0</v>
      </c>
      <c r="H321">
        <v>0</v>
      </c>
      <c r="I321">
        <v>-0.69452899999999995</v>
      </c>
      <c r="J321">
        <v>2</v>
      </c>
      <c r="K321">
        <v>2</v>
      </c>
      <c r="L321">
        <v>0</v>
      </c>
      <c r="M321">
        <v>5</v>
      </c>
      <c r="N321">
        <v>0</v>
      </c>
      <c r="O321">
        <v>0</v>
      </c>
      <c r="P321">
        <v>0.99990000000000001</v>
      </c>
      <c r="Q321" s="7" t="s">
        <v>28</v>
      </c>
      <c r="R321" s="7" t="s">
        <v>151</v>
      </c>
      <c r="S321">
        <v>0</v>
      </c>
      <c r="T321">
        <v>6.8934100000000003</v>
      </c>
      <c r="U321">
        <v>6.0060099999999998</v>
      </c>
      <c r="V321">
        <v>3.2850700000000002</v>
      </c>
      <c r="W321">
        <v>1.8311200000000001</v>
      </c>
      <c r="X321">
        <v>0.72072099999999995</v>
      </c>
      <c r="Y321">
        <v>4</v>
      </c>
      <c r="Z321">
        <v>13.2448</v>
      </c>
      <c r="AA321">
        <v>126.681</v>
      </c>
      <c r="AB321">
        <v>7.0658899999999996</v>
      </c>
    </row>
    <row r="322" spans="1:28" x14ac:dyDescent="0.25">
      <c r="A322">
        <v>321</v>
      </c>
      <c r="B322">
        <v>289824202</v>
      </c>
      <c r="C322" s="7" t="s">
        <v>27</v>
      </c>
      <c r="D322">
        <v>-0.17297100000000001</v>
      </c>
      <c r="E322">
        <v>1.91351</v>
      </c>
      <c r="F322">
        <v>-0.17297100000000001</v>
      </c>
      <c r="G322" s="3">
        <f>firm_data[[#This Row],[production]]-firm_data[[#This Row],[sales]]</f>
        <v>0</v>
      </c>
      <c r="H322">
        <v>0</v>
      </c>
      <c r="I322">
        <v>-0.69452899999999995</v>
      </c>
      <c r="J322">
        <v>2</v>
      </c>
      <c r="K322">
        <v>2</v>
      </c>
      <c r="L322">
        <v>0</v>
      </c>
      <c r="M322">
        <v>5</v>
      </c>
      <c r="N322">
        <v>0</v>
      </c>
      <c r="O322">
        <v>0</v>
      </c>
      <c r="P322">
        <v>0.99990000000000001</v>
      </c>
      <c r="Q322" s="7" t="s">
        <v>28</v>
      </c>
      <c r="R322" s="7" t="s">
        <v>151</v>
      </c>
      <c r="S322">
        <v>0</v>
      </c>
      <c r="T322">
        <v>6.7732900000000003</v>
      </c>
      <c r="U322">
        <v>6.0060099999999998</v>
      </c>
      <c r="V322">
        <v>0</v>
      </c>
      <c r="W322">
        <v>1.8311200000000001</v>
      </c>
      <c r="X322">
        <v>0</v>
      </c>
      <c r="Y322">
        <v>4</v>
      </c>
      <c r="Z322">
        <v>0</v>
      </c>
      <c r="AA322">
        <v>124.922</v>
      </c>
      <c r="AB322">
        <v>7.0658899999999996</v>
      </c>
    </row>
    <row r="323" spans="1:28" x14ac:dyDescent="0.25">
      <c r="A323">
        <v>322</v>
      </c>
      <c r="B323">
        <v>138552628</v>
      </c>
      <c r="C323" s="7" t="s">
        <v>27</v>
      </c>
      <c r="D323">
        <v>-9.5359999999999996</v>
      </c>
      <c r="E323">
        <v>1.91351</v>
      </c>
      <c r="F323">
        <v>-9.5359999999999996</v>
      </c>
      <c r="G323" s="3">
        <f>firm_data[[#This Row],[production]]-firm_data[[#This Row],[sales]]</f>
        <v>0</v>
      </c>
      <c r="H323">
        <v>0</v>
      </c>
      <c r="I323">
        <v>-0.69452899999999995</v>
      </c>
      <c r="J323">
        <v>2</v>
      </c>
      <c r="K323">
        <v>2</v>
      </c>
      <c r="L323">
        <v>0</v>
      </c>
      <c r="M323">
        <v>5</v>
      </c>
      <c r="N323">
        <v>0</v>
      </c>
      <c r="O323">
        <v>0</v>
      </c>
      <c r="P323">
        <v>0.99990000000000001</v>
      </c>
      <c r="Q323" s="7" t="s">
        <v>28</v>
      </c>
      <c r="R323" s="7" t="s">
        <v>151</v>
      </c>
      <c r="S323">
        <v>0</v>
      </c>
      <c r="T323">
        <v>7.1531700000000003</v>
      </c>
      <c r="U323">
        <v>6.0060099999999998</v>
      </c>
      <c r="V323">
        <v>9.3630300000000002</v>
      </c>
      <c r="W323">
        <v>1.8311200000000001</v>
      </c>
      <c r="X323">
        <v>0.77307700000000001</v>
      </c>
      <c r="Y323">
        <v>4</v>
      </c>
      <c r="Z323">
        <v>14.351000000000001</v>
      </c>
      <c r="AA323">
        <v>132.78800000000001</v>
      </c>
      <c r="AB323">
        <v>7.0658899999999996</v>
      </c>
    </row>
    <row r="324" spans="1:28" x14ac:dyDescent="0.25">
      <c r="A324">
        <v>323</v>
      </c>
      <c r="B324">
        <v>26493040</v>
      </c>
      <c r="C324" s="7" t="s">
        <v>27</v>
      </c>
      <c r="D324">
        <v>-0.17297100000000001</v>
      </c>
      <c r="E324">
        <v>1.91351</v>
      </c>
      <c r="F324">
        <v>-0.17297100000000001</v>
      </c>
      <c r="G324" s="3">
        <f>firm_data[[#This Row],[production]]-firm_data[[#This Row],[sales]]</f>
        <v>0</v>
      </c>
      <c r="H324">
        <v>0</v>
      </c>
      <c r="I324">
        <v>-0.69452899999999995</v>
      </c>
      <c r="J324">
        <v>2</v>
      </c>
      <c r="K324">
        <v>2</v>
      </c>
      <c r="L324">
        <v>0</v>
      </c>
      <c r="M324">
        <v>5</v>
      </c>
      <c r="N324">
        <v>0</v>
      </c>
      <c r="O324">
        <v>0</v>
      </c>
      <c r="P324">
        <v>0.99990000000000001</v>
      </c>
      <c r="Q324" s="7" t="s">
        <v>28</v>
      </c>
      <c r="R324" s="7" t="s">
        <v>151</v>
      </c>
      <c r="S324">
        <v>0</v>
      </c>
      <c r="T324">
        <v>7.0330500000000002</v>
      </c>
      <c r="U324">
        <v>6.0060099999999998</v>
      </c>
      <c r="V324">
        <v>0</v>
      </c>
      <c r="W324">
        <v>1.8311200000000001</v>
      </c>
      <c r="X324">
        <v>0</v>
      </c>
      <c r="Y324">
        <v>4</v>
      </c>
      <c r="Z324">
        <v>0</v>
      </c>
      <c r="AA324">
        <v>131.10900000000001</v>
      </c>
      <c r="AB324">
        <v>7.0658899999999996</v>
      </c>
    </row>
    <row r="325" spans="1:28" x14ac:dyDescent="0.25">
      <c r="A325">
        <v>324</v>
      </c>
      <c r="B325">
        <v>552523840</v>
      </c>
      <c r="C325" s="7" t="s">
        <v>27</v>
      </c>
      <c r="D325">
        <v>-9.5656700000000008</v>
      </c>
      <c r="E325">
        <v>1.91351</v>
      </c>
      <c r="F325">
        <v>-9.5656700000000008</v>
      </c>
      <c r="G325" s="3">
        <f>firm_data[[#This Row],[production]]-firm_data[[#This Row],[sales]]</f>
        <v>0</v>
      </c>
      <c r="H325">
        <v>0</v>
      </c>
      <c r="I325">
        <v>-0.69452899999999995</v>
      </c>
      <c r="J325">
        <v>2</v>
      </c>
      <c r="K325">
        <v>2</v>
      </c>
      <c r="L325">
        <v>0</v>
      </c>
      <c r="M325">
        <v>5</v>
      </c>
      <c r="N325">
        <v>0</v>
      </c>
      <c r="O325">
        <v>0</v>
      </c>
      <c r="P325">
        <v>0.99990000000000001</v>
      </c>
      <c r="Q325" s="7" t="s">
        <v>28</v>
      </c>
      <c r="R325" s="7" t="s">
        <v>151</v>
      </c>
      <c r="S325">
        <v>0</v>
      </c>
      <c r="T325">
        <v>7.4262499999999996</v>
      </c>
      <c r="U325">
        <v>6.0060099999999998</v>
      </c>
      <c r="V325">
        <v>9.3926999999999996</v>
      </c>
      <c r="W325">
        <v>1.8311200000000001</v>
      </c>
      <c r="X325">
        <v>0.51331800000000005</v>
      </c>
      <c r="Y325">
        <v>4</v>
      </c>
      <c r="Z325">
        <v>9.6328899999999997</v>
      </c>
      <c r="AA325">
        <v>139.36099999999999</v>
      </c>
      <c r="AB325">
        <v>7.0658899999999996</v>
      </c>
    </row>
    <row r="326" spans="1:28" x14ac:dyDescent="0.25">
      <c r="A326">
        <v>325</v>
      </c>
      <c r="B326">
        <v>772020571</v>
      </c>
      <c r="C326" s="7" t="s">
        <v>27</v>
      </c>
      <c r="D326">
        <v>-0.17297100000000001</v>
      </c>
      <c r="E326">
        <v>1.91351</v>
      </c>
      <c r="F326">
        <v>-0.17297100000000001</v>
      </c>
      <c r="G326" s="3">
        <f>firm_data[[#This Row],[production]]-firm_data[[#This Row],[sales]]</f>
        <v>0</v>
      </c>
      <c r="H326">
        <v>0</v>
      </c>
      <c r="I326">
        <v>-0.69452899999999995</v>
      </c>
      <c r="J326">
        <v>2</v>
      </c>
      <c r="K326">
        <v>2</v>
      </c>
      <c r="L326">
        <v>0</v>
      </c>
      <c r="M326">
        <v>5</v>
      </c>
      <c r="N326">
        <v>0</v>
      </c>
      <c r="O326">
        <v>0</v>
      </c>
      <c r="P326">
        <v>0.99990000000000001</v>
      </c>
      <c r="Q326" s="7" t="s">
        <v>28</v>
      </c>
      <c r="R326" s="7" t="s">
        <v>151</v>
      </c>
      <c r="S326">
        <v>0</v>
      </c>
      <c r="T326">
        <v>7.3061299999999996</v>
      </c>
      <c r="U326">
        <v>6.0060099999999998</v>
      </c>
      <c r="V326">
        <v>0</v>
      </c>
      <c r="W326">
        <v>1.8311200000000001</v>
      </c>
      <c r="X326">
        <v>0</v>
      </c>
      <c r="Y326">
        <v>4</v>
      </c>
      <c r="Z326">
        <v>0</v>
      </c>
      <c r="AA326">
        <v>138.453</v>
      </c>
      <c r="AB326">
        <v>7.0658899999999996</v>
      </c>
    </row>
    <row r="327" spans="1:28" x14ac:dyDescent="0.25">
      <c r="A327">
        <v>326</v>
      </c>
      <c r="B327">
        <v>323803752</v>
      </c>
      <c r="C327" s="7" t="s">
        <v>27</v>
      </c>
      <c r="D327">
        <v>-0.17297100000000001</v>
      </c>
      <c r="E327">
        <v>1.91351</v>
      </c>
      <c r="F327">
        <v>-0.17297100000000001</v>
      </c>
      <c r="G327" s="3">
        <f>firm_data[[#This Row],[production]]-firm_data[[#This Row],[sales]]</f>
        <v>0</v>
      </c>
      <c r="H327">
        <v>0</v>
      </c>
      <c r="I327">
        <v>-0.69452899999999995</v>
      </c>
      <c r="J327">
        <v>2</v>
      </c>
      <c r="K327">
        <v>2</v>
      </c>
      <c r="L327">
        <v>0</v>
      </c>
      <c r="M327">
        <v>5</v>
      </c>
      <c r="N327">
        <v>0</v>
      </c>
      <c r="O327">
        <v>0</v>
      </c>
      <c r="P327">
        <v>0.99990000000000001</v>
      </c>
      <c r="Q327" s="7" t="s">
        <v>28</v>
      </c>
      <c r="R327" s="7" t="s">
        <v>151</v>
      </c>
      <c r="S327">
        <v>0</v>
      </c>
      <c r="T327">
        <v>7.1860099999999996</v>
      </c>
      <c r="U327">
        <v>6.0060099999999998</v>
      </c>
      <c r="V327">
        <v>0</v>
      </c>
      <c r="W327">
        <v>1.8311200000000001</v>
      </c>
      <c r="X327">
        <v>0</v>
      </c>
      <c r="Y327">
        <v>4</v>
      </c>
      <c r="Z327">
        <v>0</v>
      </c>
      <c r="AA327">
        <v>136.65600000000001</v>
      </c>
      <c r="AB327">
        <v>7.0658899999999996</v>
      </c>
    </row>
    <row r="328" spans="1:28" x14ac:dyDescent="0.25">
      <c r="A328">
        <v>327</v>
      </c>
      <c r="B328">
        <v>764219511</v>
      </c>
      <c r="C328" s="7" t="s">
        <v>27</v>
      </c>
      <c r="D328">
        <v>-0.17297100000000001</v>
      </c>
      <c r="E328">
        <v>1.91351</v>
      </c>
      <c r="F328">
        <v>-0.17297100000000001</v>
      </c>
      <c r="G328" s="3">
        <f>firm_data[[#This Row],[production]]-firm_data[[#This Row],[sales]]</f>
        <v>0</v>
      </c>
      <c r="H328">
        <v>0</v>
      </c>
      <c r="I328">
        <v>-0.69452899999999995</v>
      </c>
      <c r="J328">
        <v>2</v>
      </c>
      <c r="K328">
        <v>2</v>
      </c>
      <c r="L328">
        <v>0</v>
      </c>
      <c r="M328">
        <v>5</v>
      </c>
      <c r="N328">
        <v>0</v>
      </c>
      <c r="O328">
        <v>0</v>
      </c>
      <c r="P328">
        <v>0.99990000000000001</v>
      </c>
      <c r="Q328" s="7" t="s">
        <v>28</v>
      </c>
      <c r="R328" s="7" t="s">
        <v>151</v>
      </c>
      <c r="S328">
        <v>0</v>
      </c>
      <c r="T328">
        <v>7.0658899999999996</v>
      </c>
      <c r="U328">
        <v>6.0060099999999998</v>
      </c>
      <c r="V328">
        <v>0</v>
      </c>
      <c r="W328">
        <v>1.8311200000000001</v>
      </c>
      <c r="X328">
        <v>0</v>
      </c>
      <c r="Y328">
        <v>4</v>
      </c>
      <c r="Z328">
        <v>0</v>
      </c>
      <c r="AA328">
        <v>134.542</v>
      </c>
      <c r="AB328">
        <v>7.0658899999999996</v>
      </c>
    </row>
    <row r="329" spans="1:28" x14ac:dyDescent="0.25">
      <c r="A329">
        <v>328</v>
      </c>
      <c r="B329">
        <v>544166387</v>
      </c>
      <c r="C329" s="7" t="s">
        <v>27</v>
      </c>
      <c r="D329">
        <v>-0.17297100000000001</v>
      </c>
      <c r="E329">
        <v>1.91351</v>
      </c>
      <c r="F329">
        <v>-0.17297100000000001</v>
      </c>
      <c r="G329" s="3">
        <f>firm_data[[#This Row],[production]]-firm_data[[#This Row],[sales]]</f>
        <v>0</v>
      </c>
      <c r="H329">
        <v>0</v>
      </c>
      <c r="I329">
        <v>-0.69452899999999995</v>
      </c>
      <c r="J329">
        <v>2</v>
      </c>
      <c r="K329">
        <v>2</v>
      </c>
      <c r="L329">
        <v>0</v>
      </c>
      <c r="M329">
        <v>5</v>
      </c>
      <c r="N329">
        <v>0</v>
      </c>
      <c r="O329">
        <v>0</v>
      </c>
      <c r="P329">
        <v>0.99990000000000001</v>
      </c>
      <c r="Q329" s="7" t="s">
        <v>28</v>
      </c>
      <c r="R329" s="7" t="s">
        <v>151</v>
      </c>
      <c r="S329">
        <v>0</v>
      </c>
      <c r="T329">
        <v>6.9457700000000004</v>
      </c>
      <c r="U329">
        <v>6.0060099999999998</v>
      </c>
      <c r="V329">
        <v>0</v>
      </c>
      <c r="W329">
        <v>1.8311200000000001</v>
      </c>
      <c r="X329">
        <v>0</v>
      </c>
      <c r="Y329">
        <v>4</v>
      </c>
      <c r="Z329">
        <v>0</v>
      </c>
      <c r="AA329">
        <v>133.52099999999999</v>
      </c>
      <c r="AB329">
        <v>7.0658899999999996</v>
      </c>
    </row>
    <row r="330" spans="1:28" x14ac:dyDescent="0.25">
      <c r="A330">
        <v>329</v>
      </c>
      <c r="B330">
        <v>848623397</v>
      </c>
      <c r="C330" s="7" t="s">
        <v>27</v>
      </c>
      <c r="D330">
        <v>-0.17297100000000001</v>
      </c>
      <c r="E330">
        <v>1.91351</v>
      </c>
      <c r="F330">
        <v>-0.17297100000000001</v>
      </c>
      <c r="G330" s="3">
        <f>firm_data[[#This Row],[production]]-firm_data[[#This Row],[sales]]</f>
        <v>0</v>
      </c>
      <c r="H330">
        <v>0</v>
      </c>
      <c r="I330">
        <v>-0.69452899999999995</v>
      </c>
      <c r="J330">
        <v>2</v>
      </c>
      <c r="K330">
        <v>2</v>
      </c>
      <c r="L330">
        <v>0</v>
      </c>
      <c r="M330">
        <v>5</v>
      </c>
      <c r="N330">
        <v>0</v>
      </c>
      <c r="O330">
        <v>0</v>
      </c>
      <c r="P330">
        <v>0.99990000000000001</v>
      </c>
      <c r="Q330" s="7" t="s">
        <v>28</v>
      </c>
      <c r="R330" s="7" t="s">
        <v>151</v>
      </c>
      <c r="S330">
        <v>0</v>
      </c>
      <c r="T330">
        <v>6.8256500000000004</v>
      </c>
      <c r="U330">
        <v>6.0060099999999998</v>
      </c>
      <c r="V330">
        <v>0</v>
      </c>
      <c r="W330">
        <v>1.8311200000000001</v>
      </c>
      <c r="X330">
        <v>0</v>
      </c>
      <c r="Y330">
        <v>4</v>
      </c>
      <c r="Z330">
        <v>0</v>
      </c>
      <c r="AA330">
        <v>132.99</v>
      </c>
      <c r="AB330">
        <v>7.0658899999999996</v>
      </c>
    </row>
    <row r="331" spans="1:28" x14ac:dyDescent="0.25">
      <c r="A331">
        <v>330</v>
      </c>
      <c r="B331">
        <v>17130638</v>
      </c>
      <c r="C331" s="7" t="s">
        <v>27</v>
      </c>
      <c r="D331">
        <v>-0.17297100000000001</v>
      </c>
      <c r="E331">
        <v>1.91351</v>
      </c>
      <c r="F331">
        <v>-0.17297100000000001</v>
      </c>
      <c r="G331" s="3">
        <f>firm_data[[#This Row],[production]]-firm_data[[#This Row],[sales]]</f>
        <v>0</v>
      </c>
      <c r="H331">
        <v>0</v>
      </c>
      <c r="I331">
        <v>-0.69452899999999995</v>
      </c>
      <c r="J331">
        <v>2</v>
      </c>
      <c r="K331">
        <v>2</v>
      </c>
      <c r="L331">
        <v>0</v>
      </c>
      <c r="M331">
        <v>5</v>
      </c>
      <c r="N331">
        <v>0</v>
      </c>
      <c r="O331">
        <v>0</v>
      </c>
      <c r="P331">
        <v>0.99990000000000001</v>
      </c>
      <c r="Q331" s="7" t="s">
        <v>28</v>
      </c>
      <c r="R331" s="7" t="s">
        <v>151</v>
      </c>
      <c r="S331">
        <v>0</v>
      </c>
      <c r="T331">
        <v>6.7055300000000004</v>
      </c>
      <c r="U331">
        <v>6.0060099999999998</v>
      </c>
      <c r="V331">
        <v>0</v>
      </c>
      <c r="W331">
        <v>1.8311200000000001</v>
      </c>
      <c r="X331">
        <v>0</v>
      </c>
      <c r="Y331">
        <v>4</v>
      </c>
      <c r="Z331">
        <v>0</v>
      </c>
      <c r="AA331">
        <v>132.49199999999999</v>
      </c>
      <c r="AB331">
        <v>7.0658899999999996</v>
      </c>
    </row>
    <row r="332" spans="1:28" x14ac:dyDescent="0.25">
      <c r="A332">
        <v>331</v>
      </c>
      <c r="B332">
        <v>134623092</v>
      </c>
      <c r="C332" s="7" t="s">
        <v>27</v>
      </c>
      <c r="D332">
        <v>-0.17297100000000001</v>
      </c>
      <c r="E332">
        <v>1.91351</v>
      </c>
      <c r="F332">
        <v>-0.17297100000000001</v>
      </c>
      <c r="G332" s="3">
        <f>firm_data[[#This Row],[production]]-firm_data[[#This Row],[sales]]</f>
        <v>0</v>
      </c>
      <c r="H332">
        <v>0</v>
      </c>
      <c r="I332">
        <v>-0.69452899999999995</v>
      </c>
      <c r="J332">
        <v>2</v>
      </c>
      <c r="K332">
        <v>2</v>
      </c>
      <c r="L332">
        <v>0</v>
      </c>
      <c r="M332">
        <v>5</v>
      </c>
      <c r="N332">
        <v>0</v>
      </c>
      <c r="O332">
        <v>0</v>
      </c>
      <c r="P332">
        <v>0.99990000000000001</v>
      </c>
      <c r="Q332" s="7" t="s">
        <v>28</v>
      </c>
      <c r="R332" s="7" t="s">
        <v>151</v>
      </c>
      <c r="S332">
        <v>0</v>
      </c>
      <c r="T332">
        <v>6.5854100000000004</v>
      </c>
      <c r="U332">
        <v>6.0060099999999998</v>
      </c>
      <c r="V332">
        <v>0</v>
      </c>
      <c r="W332">
        <v>1.8311200000000001</v>
      </c>
      <c r="X332">
        <v>0</v>
      </c>
      <c r="Y332">
        <v>4</v>
      </c>
      <c r="Z332">
        <v>0</v>
      </c>
      <c r="AA332">
        <v>131.374</v>
      </c>
      <c r="AB332">
        <v>7.0658899999999996</v>
      </c>
    </row>
    <row r="333" spans="1:28" x14ac:dyDescent="0.25">
      <c r="A333">
        <v>332</v>
      </c>
      <c r="B333">
        <v>314548343</v>
      </c>
      <c r="C333" s="7" t="s">
        <v>27</v>
      </c>
      <c r="D333">
        <v>-0.17297100000000001</v>
      </c>
      <c r="E333">
        <v>1.91351</v>
      </c>
      <c r="F333">
        <v>-0.17297100000000001</v>
      </c>
      <c r="G333" s="3">
        <f>firm_data[[#This Row],[production]]-firm_data[[#This Row],[sales]]</f>
        <v>0</v>
      </c>
      <c r="H333">
        <v>0</v>
      </c>
      <c r="I333">
        <v>-0.69452899999999995</v>
      </c>
      <c r="J333">
        <v>2</v>
      </c>
      <c r="K333">
        <v>2</v>
      </c>
      <c r="L333">
        <v>0</v>
      </c>
      <c r="M333">
        <v>5</v>
      </c>
      <c r="N333">
        <v>0</v>
      </c>
      <c r="O333">
        <v>0</v>
      </c>
      <c r="P333">
        <v>0.99990000000000001</v>
      </c>
      <c r="Q333" s="7" t="s">
        <v>28</v>
      </c>
      <c r="R333" s="7" t="s">
        <v>151</v>
      </c>
      <c r="S333">
        <v>0</v>
      </c>
      <c r="T333">
        <v>6.4652900000000004</v>
      </c>
      <c r="U333">
        <v>6.0060099999999998</v>
      </c>
      <c r="V333">
        <v>0</v>
      </c>
      <c r="W333">
        <v>1.8311200000000001</v>
      </c>
      <c r="X333">
        <v>0</v>
      </c>
      <c r="Y333">
        <v>4</v>
      </c>
      <c r="Z333">
        <v>0</v>
      </c>
      <c r="AA333">
        <v>128.81800000000001</v>
      </c>
      <c r="AB333">
        <v>7.0658899999999996</v>
      </c>
    </row>
    <row r="334" spans="1:28" x14ac:dyDescent="0.25">
      <c r="A334">
        <v>333</v>
      </c>
      <c r="B334">
        <v>153685163</v>
      </c>
      <c r="C334" s="7" t="s">
        <v>27</v>
      </c>
      <c r="D334">
        <v>-0.17297100000000001</v>
      </c>
      <c r="E334">
        <v>1.91351</v>
      </c>
      <c r="F334">
        <v>-0.17297100000000001</v>
      </c>
      <c r="G334" s="3">
        <f>firm_data[[#This Row],[production]]-firm_data[[#This Row],[sales]]</f>
        <v>0</v>
      </c>
      <c r="H334">
        <v>0</v>
      </c>
      <c r="I334">
        <v>-0.69452899999999995</v>
      </c>
      <c r="J334">
        <v>2</v>
      </c>
      <c r="K334">
        <v>2</v>
      </c>
      <c r="L334">
        <v>0</v>
      </c>
      <c r="M334">
        <v>5</v>
      </c>
      <c r="N334">
        <v>0</v>
      </c>
      <c r="O334">
        <v>0</v>
      </c>
      <c r="P334">
        <v>0.99990000000000001</v>
      </c>
      <c r="Q334" s="7" t="s">
        <v>28</v>
      </c>
      <c r="R334" s="7" t="s">
        <v>151</v>
      </c>
      <c r="S334">
        <v>0</v>
      </c>
      <c r="T334">
        <v>6.3451700000000004</v>
      </c>
      <c r="U334">
        <v>6.0060099999999998</v>
      </c>
      <c r="V334">
        <v>0</v>
      </c>
      <c r="W334">
        <v>1.8311200000000001</v>
      </c>
      <c r="X334">
        <v>0</v>
      </c>
      <c r="Y334">
        <v>4</v>
      </c>
      <c r="Z334">
        <v>0</v>
      </c>
      <c r="AA334">
        <v>127.432</v>
      </c>
      <c r="AB334">
        <v>7.0658899999999996</v>
      </c>
    </row>
    <row r="335" spans="1:28" x14ac:dyDescent="0.25">
      <c r="A335">
        <v>334</v>
      </c>
      <c r="B335">
        <v>688105255</v>
      </c>
      <c r="C335" s="7" t="s">
        <v>27</v>
      </c>
      <c r="D335">
        <v>-0.17297100000000001</v>
      </c>
      <c r="E335">
        <v>1.91351</v>
      </c>
      <c r="F335">
        <v>-0.17297100000000001</v>
      </c>
      <c r="G335" s="3">
        <f>firm_data[[#This Row],[production]]-firm_data[[#This Row],[sales]]</f>
        <v>0</v>
      </c>
      <c r="H335">
        <v>0</v>
      </c>
      <c r="I335">
        <v>-0.69452899999999995</v>
      </c>
      <c r="J335">
        <v>2</v>
      </c>
      <c r="K335">
        <v>2</v>
      </c>
      <c r="L335">
        <v>0</v>
      </c>
      <c r="M335">
        <v>5</v>
      </c>
      <c r="N335">
        <v>0</v>
      </c>
      <c r="O335">
        <v>0</v>
      </c>
      <c r="P335">
        <v>0.99990000000000001</v>
      </c>
      <c r="Q335" s="7" t="s">
        <v>28</v>
      </c>
      <c r="R335" s="7" t="s">
        <v>151</v>
      </c>
      <c r="S335">
        <v>0</v>
      </c>
      <c r="T335">
        <v>6.2250500000000004</v>
      </c>
      <c r="U335">
        <v>6.0060099999999998</v>
      </c>
      <c r="V335">
        <v>0</v>
      </c>
      <c r="W335">
        <v>1.8311200000000001</v>
      </c>
      <c r="X335">
        <v>0</v>
      </c>
      <c r="Y335">
        <v>4</v>
      </c>
      <c r="Z335">
        <v>0</v>
      </c>
      <c r="AA335">
        <v>126.833</v>
      </c>
      <c r="AB335">
        <v>7.0658899999999996</v>
      </c>
    </row>
    <row r="336" spans="1:28" x14ac:dyDescent="0.25">
      <c r="A336">
        <v>335</v>
      </c>
      <c r="B336">
        <v>785501945</v>
      </c>
      <c r="C336" s="7" t="s">
        <v>27</v>
      </c>
      <c r="D336">
        <v>-0.17297100000000001</v>
      </c>
      <c r="E336">
        <v>1.91351</v>
      </c>
      <c r="F336">
        <v>-0.17297100000000001</v>
      </c>
      <c r="G336" s="3">
        <f>firm_data[[#This Row],[production]]-firm_data[[#This Row],[sales]]</f>
        <v>0</v>
      </c>
      <c r="H336">
        <v>0</v>
      </c>
      <c r="I336">
        <v>-0.69452899999999995</v>
      </c>
      <c r="J336">
        <v>2</v>
      </c>
      <c r="K336">
        <v>2</v>
      </c>
      <c r="L336">
        <v>0</v>
      </c>
      <c r="M336">
        <v>5</v>
      </c>
      <c r="N336">
        <v>0</v>
      </c>
      <c r="O336">
        <v>0</v>
      </c>
      <c r="P336">
        <v>0.99990000000000001</v>
      </c>
      <c r="Q336" s="7" t="s">
        <v>28</v>
      </c>
      <c r="R336" s="7" t="s">
        <v>151</v>
      </c>
      <c r="S336">
        <v>0</v>
      </c>
      <c r="T336">
        <v>6.1049300000000004</v>
      </c>
      <c r="U336">
        <v>6.0060099999999998</v>
      </c>
      <c r="V336">
        <v>0</v>
      </c>
      <c r="W336">
        <v>1.8311200000000001</v>
      </c>
      <c r="X336">
        <v>0</v>
      </c>
      <c r="Y336">
        <v>4</v>
      </c>
      <c r="Z336">
        <v>0</v>
      </c>
      <c r="AA336">
        <v>125.964</v>
      </c>
      <c r="AB336">
        <v>7.0658899999999996</v>
      </c>
    </row>
    <row r="337" spans="1:28" x14ac:dyDescent="0.25">
      <c r="A337">
        <v>336</v>
      </c>
      <c r="B337">
        <v>821573238</v>
      </c>
      <c r="C337" s="7" t="s">
        <v>27</v>
      </c>
      <c r="D337">
        <v>-0.17297100000000001</v>
      </c>
      <c r="E337">
        <v>1.91351</v>
      </c>
      <c r="F337">
        <v>-0.17297100000000001</v>
      </c>
      <c r="G337" s="3">
        <f>firm_data[[#This Row],[production]]-firm_data[[#This Row],[sales]]</f>
        <v>0</v>
      </c>
      <c r="H337">
        <v>0</v>
      </c>
      <c r="I337">
        <v>-0.69452899999999995</v>
      </c>
      <c r="J337">
        <v>2</v>
      </c>
      <c r="K337">
        <v>2</v>
      </c>
      <c r="L337">
        <v>0</v>
      </c>
      <c r="M337">
        <v>5</v>
      </c>
      <c r="N337">
        <v>0</v>
      </c>
      <c r="O337">
        <v>0</v>
      </c>
      <c r="P337">
        <v>0.99990000000000001</v>
      </c>
      <c r="Q337" s="7" t="s">
        <v>28</v>
      </c>
      <c r="R337" s="7" t="s">
        <v>151</v>
      </c>
      <c r="S337">
        <v>0</v>
      </c>
      <c r="T337">
        <v>5.9848100000000004</v>
      </c>
      <c r="U337">
        <v>6.0060099999999998</v>
      </c>
      <c r="V337">
        <v>0</v>
      </c>
      <c r="W337">
        <v>1.8311200000000001</v>
      </c>
      <c r="X337">
        <v>0</v>
      </c>
      <c r="Y337">
        <v>4</v>
      </c>
      <c r="Z337">
        <v>0</v>
      </c>
      <c r="AA337">
        <v>124.33199999999999</v>
      </c>
      <c r="AB337">
        <v>7.0658899999999996</v>
      </c>
    </row>
    <row r="338" spans="1:28" x14ac:dyDescent="0.25">
      <c r="A338">
        <v>337</v>
      </c>
      <c r="B338">
        <v>954212337</v>
      </c>
      <c r="C338" s="7" t="s">
        <v>27</v>
      </c>
      <c r="D338">
        <v>-30.616299999999999</v>
      </c>
      <c r="E338">
        <v>1.91351</v>
      </c>
      <c r="F338">
        <v>-30.616299999999999</v>
      </c>
      <c r="G338" s="3">
        <f>firm_data[[#This Row],[production]]-firm_data[[#This Row],[sales]]</f>
        <v>0</v>
      </c>
      <c r="H338">
        <v>0</v>
      </c>
      <c r="I338">
        <v>-0.69452899999999995</v>
      </c>
      <c r="J338">
        <v>1.9929399999999999</v>
      </c>
      <c r="K338">
        <v>1.9929399999999999</v>
      </c>
      <c r="L338">
        <v>0</v>
      </c>
      <c r="M338">
        <v>5</v>
      </c>
      <c r="N338">
        <v>0</v>
      </c>
      <c r="O338">
        <v>0</v>
      </c>
      <c r="P338">
        <v>0.99990000000000001</v>
      </c>
      <c r="Q338" s="7" t="s">
        <v>28</v>
      </c>
      <c r="R338" s="7" t="s">
        <v>151</v>
      </c>
      <c r="S338">
        <v>0</v>
      </c>
      <c r="T338">
        <v>7.3444500000000001</v>
      </c>
      <c r="U338">
        <v>6.0060099999999998</v>
      </c>
      <c r="V338">
        <v>30.4299</v>
      </c>
      <c r="W338">
        <v>1.8311200000000001</v>
      </c>
      <c r="X338">
        <v>1.5615600000000001</v>
      </c>
      <c r="Y338">
        <v>4</v>
      </c>
      <c r="Z338">
        <v>32.416600000000003</v>
      </c>
      <c r="AA338">
        <v>152.464</v>
      </c>
      <c r="AB338">
        <v>7.0658899999999996</v>
      </c>
    </row>
    <row r="339" spans="1:28" x14ac:dyDescent="0.25">
      <c r="A339">
        <v>338</v>
      </c>
      <c r="B339">
        <v>586670474</v>
      </c>
      <c r="C339" s="7" t="s">
        <v>27</v>
      </c>
      <c r="D339">
        <v>-0.17297100000000001</v>
      </c>
      <c r="E339">
        <v>1.91351</v>
      </c>
      <c r="F339">
        <v>-0.17297100000000001</v>
      </c>
      <c r="G339" s="3">
        <f>firm_data[[#This Row],[production]]-firm_data[[#This Row],[sales]]</f>
        <v>0</v>
      </c>
      <c r="H339">
        <v>0</v>
      </c>
      <c r="I339">
        <v>-0.69452899999999995</v>
      </c>
      <c r="J339">
        <v>2</v>
      </c>
      <c r="K339">
        <v>2</v>
      </c>
      <c r="L339">
        <v>0</v>
      </c>
      <c r="M339">
        <v>5</v>
      </c>
      <c r="N339">
        <v>0</v>
      </c>
      <c r="O339">
        <v>0</v>
      </c>
      <c r="P339">
        <v>0.99990000000000001</v>
      </c>
      <c r="Q339" s="7" t="s">
        <v>28</v>
      </c>
      <c r="R339" s="7" t="s">
        <v>151</v>
      </c>
      <c r="S339">
        <v>0</v>
      </c>
      <c r="T339">
        <v>7.2243300000000001</v>
      </c>
      <c r="U339">
        <v>5.9954099999999997</v>
      </c>
      <c r="V339">
        <v>0</v>
      </c>
      <c r="W339">
        <v>1.8311200000000001</v>
      </c>
      <c r="X339">
        <v>0</v>
      </c>
      <c r="Y339">
        <v>4</v>
      </c>
      <c r="Z339">
        <v>0</v>
      </c>
      <c r="AA339">
        <v>150.65799999999999</v>
      </c>
      <c r="AB339">
        <v>7.0658899999999996</v>
      </c>
    </row>
    <row r="340" spans="1:28" x14ac:dyDescent="0.25">
      <c r="A340">
        <v>339</v>
      </c>
      <c r="B340">
        <v>89298551</v>
      </c>
      <c r="C340" s="7" t="s">
        <v>27</v>
      </c>
      <c r="D340">
        <v>-6.6579800000000002</v>
      </c>
      <c r="E340">
        <v>1.91351</v>
      </c>
      <c r="F340">
        <v>-6.6579800000000002</v>
      </c>
      <c r="G340" s="3">
        <f>firm_data[[#This Row],[production]]-firm_data[[#This Row],[sales]]</f>
        <v>0</v>
      </c>
      <c r="H340">
        <v>0</v>
      </c>
      <c r="I340">
        <v>-0.69452899999999995</v>
      </c>
      <c r="J340">
        <v>2</v>
      </c>
      <c r="K340">
        <v>2</v>
      </c>
      <c r="L340">
        <v>0</v>
      </c>
      <c r="M340">
        <v>5</v>
      </c>
      <c r="N340">
        <v>0</v>
      </c>
      <c r="O340">
        <v>0</v>
      </c>
      <c r="P340">
        <v>0.99990000000000001</v>
      </c>
      <c r="Q340" s="7" t="s">
        <v>28</v>
      </c>
      <c r="R340" s="7" t="s">
        <v>151</v>
      </c>
      <c r="S340">
        <v>0</v>
      </c>
      <c r="T340">
        <v>7.4195900000000004</v>
      </c>
      <c r="U340">
        <v>6.0007099999999998</v>
      </c>
      <c r="V340">
        <v>6.4850099999999999</v>
      </c>
      <c r="W340">
        <v>1.8311200000000001</v>
      </c>
      <c r="X340">
        <v>0.31537700000000002</v>
      </c>
      <c r="Y340">
        <v>4</v>
      </c>
      <c r="Z340">
        <v>6.6292900000000001</v>
      </c>
      <c r="AA340">
        <v>155.96100000000001</v>
      </c>
      <c r="AB340">
        <v>7.0596500000000004</v>
      </c>
    </row>
    <row r="341" spans="1:28" x14ac:dyDescent="0.25">
      <c r="A341">
        <v>340</v>
      </c>
      <c r="B341">
        <v>534840130</v>
      </c>
      <c r="C341" s="7" t="s">
        <v>27</v>
      </c>
      <c r="D341">
        <v>-2.8635999999999999</v>
      </c>
      <c r="E341">
        <v>1.91351</v>
      </c>
      <c r="F341">
        <v>-2.8635999999999999</v>
      </c>
      <c r="G341" s="3">
        <f>firm_data[[#This Row],[production]]-firm_data[[#This Row],[sales]]</f>
        <v>0</v>
      </c>
      <c r="H341">
        <v>0</v>
      </c>
      <c r="I341">
        <v>-0.69452899999999995</v>
      </c>
      <c r="J341">
        <v>2</v>
      </c>
      <c r="K341">
        <v>2</v>
      </c>
      <c r="L341">
        <v>0</v>
      </c>
      <c r="M341">
        <v>5</v>
      </c>
      <c r="N341">
        <v>0</v>
      </c>
      <c r="O341">
        <v>0</v>
      </c>
      <c r="P341">
        <v>0.99990000000000001</v>
      </c>
      <c r="Q341" s="7" t="s">
        <v>28</v>
      </c>
      <c r="R341" s="7" t="s">
        <v>151</v>
      </c>
      <c r="S341">
        <v>0</v>
      </c>
      <c r="T341">
        <v>7.4229200000000004</v>
      </c>
      <c r="U341">
        <v>6.0033599999999998</v>
      </c>
      <c r="V341">
        <v>2.6906300000000001</v>
      </c>
      <c r="W341">
        <v>1.8311200000000001</v>
      </c>
      <c r="X341">
        <v>0.123449</v>
      </c>
      <c r="Y341">
        <v>4</v>
      </c>
      <c r="Z341">
        <v>2.6049199999999999</v>
      </c>
      <c r="AA341">
        <v>156.63200000000001</v>
      </c>
      <c r="AB341">
        <v>7.0627700000000004</v>
      </c>
    </row>
    <row r="342" spans="1:28" x14ac:dyDescent="0.25">
      <c r="A342">
        <v>341</v>
      </c>
      <c r="B342">
        <v>241377480</v>
      </c>
      <c r="C342" s="7" t="s">
        <v>27</v>
      </c>
      <c r="D342">
        <v>-0.17297100000000001</v>
      </c>
      <c r="E342">
        <v>1.91351</v>
      </c>
      <c r="F342">
        <v>-0.17297100000000001</v>
      </c>
      <c r="G342" s="3">
        <f>firm_data[[#This Row],[production]]-firm_data[[#This Row],[sales]]</f>
        <v>0</v>
      </c>
      <c r="H342">
        <v>0</v>
      </c>
      <c r="I342">
        <v>-0.69452899999999995</v>
      </c>
      <c r="J342">
        <v>2</v>
      </c>
      <c r="K342">
        <v>2</v>
      </c>
      <c r="L342">
        <v>0</v>
      </c>
      <c r="M342">
        <v>5</v>
      </c>
      <c r="N342">
        <v>0</v>
      </c>
      <c r="O342">
        <v>0</v>
      </c>
      <c r="P342">
        <v>0.99990000000000001</v>
      </c>
      <c r="Q342" s="7" t="s">
        <v>28</v>
      </c>
      <c r="R342" s="7" t="s">
        <v>151</v>
      </c>
      <c r="S342">
        <v>0</v>
      </c>
      <c r="T342">
        <v>7.3028000000000004</v>
      </c>
      <c r="U342">
        <v>6.0046799999999996</v>
      </c>
      <c r="V342">
        <v>0</v>
      </c>
      <c r="W342">
        <v>1.8311200000000001</v>
      </c>
      <c r="X342">
        <v>0</v>
      </c>
      <c r="Y342">
        <v>4</v>
      </c>
      <c r="Z342">
        <v>0</v>
      </c>
      <c r="AA342">
        <v>154.703</v>
      </c>
      <c r="AB342">
        <v>7.0627700000000004</v>
      </c>
    </row>
    <row r="343" spans="1:28" x14ac:dyDescent="0.25">
      <c r="A343">
        <v>342</v>
      </c>
      <c r="B343">
        <v>167270613</v>
      </c>
      <c r="C343" s="7" t="s">
        <v>27</v>
      </c>
      <c r="D343">
        <v>-5.8106799999999996</v>
      </c>
      <c r="E343">
        <v>1.91351</v>
      </c>
      <c r="F343">
        <v>-5.8106799999999996</v>
      </c>
      <c r="G343" s="3">
        <f>firm_data[[#This Row],[production]]-firm_data[[#This Row],[sales]]</f>
        <v>0</v>
      </c>
      <c r="H343">
        <v>0</v>
      </c>
      <c r="I343">
        <v>-0.69452899999999995</v>
      </c>
      <c r="J343">
        <v>2</v>
      </c>
      <c r="K343">
        <v>2</v>
      </c>
      <c r="L343">
        <v>0</v>
      </c>
      <c r="M343">
        <v>5</v>
      </c>
      <c r="N343">
        <v>0</v>
      </c>
      <c r="O343">
        <v>0</v>
      </c>
      <c r="P343">
        <v>0.99990000000000001</v>
      </c>
      <c r="Q343" s="7" t="s">
        <v>28</v>
      </c>
      <c r="R343" s="7" t="s">
        <v>151</v>
      </c>
      <c r="S343">
        <v>0</v>
      </c>
      <c r="T343">
        <v>7.4254199999999999</v>
      </c>
      <c r="U343">
        <v>6.0053400000000003</v>
      </c>
      <c r="V343">
        <v>5.6377100000000002</v>
      </c>
      <c r="W343">
        <v>1.8311200000000001</v>
      </c>
      <c r="X343">
        <v>0.24273700000000001</v>
      </c>
      <c r="Y343">
        <v>4</v>
      </c>
      <c r="Z343">
        <v>5.15923</v>
      </c>
      <c r="AA343">
        <v>157.82300000000001</v>
      </c>
      <c r="AB343">
        <v>7.0651099999999998</v>
      </c>
    </row>
    <row r="344" spans="1:28" x14ac:dyDescent="0.25">
      <c r="A344">
        <v>343</v>
      </c>
      <c r="B344">
        <v>573489589</v>
      </c>
      <c r="C344" s="7" t="s">
        <v>27</v>
      </c>
      <c r="D344">
        <v>-2.72235</v>
      </c>
      <c r="E344">
        <v>1.91351</v>
      </c>
      <c r="F344">
        <v>-2.72235</v>
      </c>
      <c r="G344" s="3">
        <f>firm_data[[#This Row],[production]]-firm_data[[#This Row],[sales]]</f>
        <v>0</v>
      </c>
      <c r="H344">
        <v>0</v>
      </c>
      <c r="I344">
        <v>-0.69452899999999995</v>
      </c>
      <c r="J344">
        <v>2</v>
      </c>
      <c r="K344">
        <v>2</v>
      </c>
      <c r="L344">
        <v>0</v>
      </c>
      <c r="M344">
        <v>5</v>
      </c>
      <c r="N344">
        <v>0</v>
      </c>
      <c r="O344">
        <v>0</v>
      </c>
      <c r="P344">
        <v>0.99990000000000001</v>
      </c>
      <c r="Q344" s="7" t="s">
        <v>28</v>
      </c>
      <c r="R344" s="7" t="s">
        <v>151</v>
      </c>
      <c r="S344">
        <v>0</v>
      </c>
      <c r="T344">
        <v>7.4258300000000004</v>
      </c>
      <c r="U344">
        <v>6.0056700000000003</v>
      </c>
      <c r="V344">
        <v>2.5493700000000001</v>
      </c>
      <c r="W344">
        <v>1.8311200000000001</v>
      </c>
      <c r="X344">
        <v>0.120536</v>
      </c>
      <c r="Y344">
        <v>4</v>
      </c>
      <c r="Z344">
        <v>2.5806900000000002</v>
      </c>
      <c r="AA344">
        <v>158.98699999999999</v>
      </c>
      <c r="AB344">
        <v>7.0655000000000001</v>
      </c>
    </row>
    <row r="345" spans="1:28" x14ac:dyDescent="0.25">
      <c r="A345">
        <v>344</v>
      </c>
      <c r="B345">
        <v>145372314</v>
      </c>
      <c r="C345" s="7" t="s">
        <v>27</v>
      </c>
      <c r="D345">
        <v>-0.17297100000000001</v>
      </c>
      <c r="E345">
        <v>1.91351</v>
      </c>
      <c r="F345">
        <v>-0.17297100000000001</v>
      </c>
      <c r="G345" s="3">
        <f>firm_data[[#This Row],[production]]-firm_data[[#This Row],[sales]]</f>
        <v>0</v>
      </c>
      <c r="H345">
        <v>0</v>
      </c>
      <c r="I345">
        <v>-0.69452899999999995</v>
      </c>
      <c r="J345">
        <v>2</v>
      </c>
      <c r="K345">
        <v>2</v>
      </c>
      <c r="L345">
        <v>0</v>
      </c>
      <c r="M345">
        <v>5</v>
      </c>
      <c r="N345">
        <v>0</v>
      </c>
      <c r="O345">
        <v>0</v>
      </c>
      <c r="P345">
        <v>0.99990000000000001</v>
      </c>
      <c r="Q345" s="7" t="s">
        <v>28</v>
      </c>
      <c r="R345" s="7" t="s">
        <v>151</v>
      </c>
      <c r="S345">
        <v>0</v>
      </c>
      <c r="T345">
        <v>7.3057100000000004</v>
      </c>
      <c r="U345">
        <v>6.0058400000000001</v>
      </c>
      <c r="V345">
        <v>0</v>
      </c>
      <c r="W345">
        <v>1.8311200000000001</v>
      </c>
      <c r="X345">
        <v>0</v>
      </c>
      <c r="Y345">
        <v>4</v>
      </c>
      <c r="Z345">
        <v>0</v>
      </c>
      <c r="AA345">
        <v>158.96100000000001</v>
      </c>
      <c r="AB345">
        <v>7.0655000000000001</v>
      </c>
    </row>
    <row r="346" spans="1:28" x14ac:dyDescent="0.25">
      <c r="A346">
        <v>345</v>
      </c>
      <c r="B346">
        <v>148494787</v>
      </c>
      <c r="C346" s="7" t="s">
        <v>27</v>
      </c>
      <c r="D346">
        <v>-0.17297100000000001</v>
      </c>
      <c r="E346">
        <v>1.91351</v>
      </c>
      <c r="F346">
        <v>-0.17297100000000001</v>
      </c>
      <c r="G346" s="3">
        <f>firm_data[[#This Row],[production]]-firm_data[[#This Row],[sales]]</f>
        <v>0</v>
      </c>
      <c r="H346">
        <v>0</v>
      </c>
      <c r="I346">
        <v>-0.69452899999999995</v>
      </c>
      <c r="J346">
        <v>2</v>
      </c>
      <c r="K346">
        <v>2</v>
      </c>
      <c r="L346">
        <v>0</v>
      </c>
      <c r="M346">
        <v>5</v>
      </c>
      <c r="N346">
        <v>0</v>
      </c>
      <c r="O346">
        <v>0</v>
      </c>
      <c r="P346">
        <v>0.99990000000000001</v>
      </c>
      <c r="Q346" s="7" t="s">
        <v>28</v>
      </c>
      <c r="R346" s="7" t="s">
        <v>151</v>
      </c>
      <c r="S346">
        <v>0</v>
      </c>
      <c r="T346">
        <v>7.1855900000000004</v>
      </c>
      <c r="U346">
        <v>6.0059199999999997</v>
      </c>
      <c r="V346">
        <v>0</v>
      </c>
      <c r="W346">
        <v>1.8311200000000001</v>
      </c>
      <c r="X346">
        <v>0</v>
      </c>
      <c r="Y346">
        <v>4</v>
      </c>
      <c r="Z346">
        <v>0</v>
      </c>
      <c r="AA346">
        <v>159.57400000000001</v>
      </c>
      <c r="AB346">
        <v>7.0655000000000001</v>
      </c>
    </row>
    <row r="347" spans="1:28" x14ac:dyDescent="0.25">
      <c r="A347">
        <v>346</v>
      </c>
      <c r="B347">
        <v>242648219</v>
      </c>
      <c r="C347" s="7" t="s">
        <v>27</v>
      </c>
      <c r="D347">
        <v>-8.2484199999999994</v>
      </c>
      <c r="E347">
        <v>1.91351</v>
      </c>
      <c r="F347">
        <v>-8.2484199999999994</v>
      </c>
      <c r="G347" s="3">
        <f>firm_data[[#This Row],[production]]-firm_data[[#This Row],[sales]]</f>
        <v>0</v>
      </c>
      <c r="H347">
        <v>0</v>
      </c>
      <c r="I347">
        <v>-0.69452899999999995</v>
      </c>
      <c r="J347">
        <v>2</v>
      </c>
      <c r="K347">
        <v>2</v>
      </c>
      <c r="L347">
        <v>0</v>
      </c>
      <c r="M347">
        <v>5</v>
      </c>
      <c r="N347">
        <v>0</v>
      </c>
      <c r="O347">
        <v>0</v>
      </c>
      <c r="P347">
        <v>0.99990000000000001</v>
      </c>
      <c r="Q347" s="7" t="s">
        <v>28</v>
      </c>
      <c r="R347" s="7" t="s">
        <v>151</v>
      </c>
      <c r="S347">
        <v>0</v>
      </c>
      <c r="T347">
        <v>7.4261999999999997</v>
      </c>
      <c r="U347">
        <v>6.00596</v>
      </c>
      <c r="V347">
        <v>8.07545</v>
      </c>
      <c r="W347">
        <v>1.8311200000000001</v>
      </c>
      <c r="X347">
        <v>0.36072500000000002</v>
      </c>
      <c r="Y347">
        <v>4</v>
      </c>
      <c r="Z347">
        <v>8.1324299999999994</v>
      </c>
      <c r="AA347">
        <v>167.422</v>
      </c>
      <c r="AB347">
        <v>7.0658399999999997</v>
      </c>
    </row>
    <row r="348" spans="1:28" x14ac:dyDescent="0.25">
      <c r="A348">
        <v>347</v>
      </c>
      <c r="B348">
        <v>787420277</v>
      </c>
      <c r="C348" s="7" t="s">
        <v>27</v>
      </c>
      <c r="D348">
        <v>-0.17297100000000001</v>
      </c>
      <c r="E348">
        <v>1.91351</v>
      </c>
      <c r="F348">
        <v>-0.17297100000000001</v>
      </c>
      <c r="G348" s="3">
        <f>firm_data[[#This Row],[production]]-firm_data[[#This Row],[sales]]</f>
        <v>0</v>
      </c>
      <c r="H348">
        <v>0</v>
      </c>
      <c r="I348">
        <v>-0.69452899999999995</v>
      </c>
      <c r="J348">
        <v>2</v>
      </c>
      <c r="K348">
        <v>2</v>
      </c>
      <c r="L348">
        <v>0</v>
      </c>
      <c r="M348">
        <v>5</v>
      </c>
      <c r="N348">
        <v>0</v>
      </c>
      <c r="O348">
        <v>0</v>
      </c>
      <c r="P348">
        <v>0.99990000000000001</v>
      </c>
      <c r="Q348" s="7" t="s">
        <v>28</v>
      </c>
      <c r="R348" s="7" t="s">
        <v>151</v>
      </c>
      <c r="S348">
        <v>0</v>
      </c>
      <c r="T348">
        <v>7.3060799999999997</v>
      </c>
      <c r="U348">
        <v>6.0059899999999997</v>
      </c>
      <c r="V348">
        <v>0</v>
      </c>
      <c r="W348">
        <v>1.8311200000000001</v>
      </c>
      <c r="X348">
        <v>0</v>
      </c>
      <c r="Y348">
        <v>4</v>
      </c>
      <c r="Z348">
        <v>0</v>
      </c>
      <c r="AA348">
        <v>163.45400000000001</v>
      </c>
      <c r="AB348">
        <v>7.0658399999999997</v>
      </c>
    </row>
    <row r="349" spans="1:28" x14ac:dyDescent="0.25">
      <c r="A349">
        <v>348</v>
      </c>
      <c r="B349">
        <v>931893696</v>
      </c>
      <c r="C349" s="7" t="s">
        <v>27</v>
      </c>
      <c r="D349">
        <v>-0.17297100000000001</v>
      </c>
      <c r="E349">
        <v>1.91351</v>
      </c>
      <c r="F349">
        <v>-0.17297100000000001</v>
      </c>
      <c r="G349" s="3">
        <f>firm_data[[#This Row],[production]]-firm_data[[#This Row],[sales]]</f>
        <v>0</v>
      </c>
      <c r="H349">
        <v>0</v>
      </c>
      <c r="I349">
        <v>-0.69452899999999995</v>
      </c>
      <c r="J349">
        <v>2</v>
      </c>
      <c r="K349">
        <v>2</v>
      </c>
      <c r="L349">
        <v>0</v>
      </c>
      <c r="M349">
        <v>5</v>
      </c>
      <c r="N349">
        <v>0</v>
      </c>
      <c r="O349">
        <v>0</v>
      </c>
      <c r="P349">
        <v>0.99990000000000001</v>
      </c>
      <c r="Q349" s="7" t="s">
        <v>28</v>
      </c>
      <c r="R349" s="7" t="s">
        <v>151</v>
      </c>
      <c r="S349">
        <v>0</v>
      </c>
      <c r="T349">
        <v>7.1859599999999997</v>
      </c>
      <c r="U349">
        <v>6.0060000000000002</v>
      </c>
      <c r="V349">
        <v>0</v>
      </c>
      <c r="W349">
        <v>1.8311200000000001</v>
      </c>
      <c r="X349">
        <v>0</v>
      </c>
      <c r="Y349">
        <v>4</v>
      </c>
      <c r="Z349">
        <v>0</v>
      </c>
      <c r="AA349">
        <v>162.48699999999999</v>
      </c>
      <c r="AB349">
        <v>7.0658399999999997</v>
      </c>
    </row>
    <row r="350" spans="1:28" x14ac:dyDescent="0.25">
      <c r="A350">
        <v>349</v>
      </c>
      <c r="B350">
        <v>374164145</v>
      </c>
      <c r="C350" s="7" t="s">
        <v>27</v>
      </c>
      <c r="D350">
        <v>-0.17297100000000001</v>
      </c>
      <c r="E350">
        <v>1.91351</v>
      </c>
      <c r="F350">
        <v>-0.17297100000000001</v>
      </c>
      <c r="G350" s="3">
        <f>firm_data[[#This Row],[production]]-firm_data[[#This Row],[sales]]</f>
        <v>0</v>
      </c>
      <c r="H350">
        <v>0</v>
      </c>
      <c r="I350">
        <v>-0.69452899999999995</v>
      </c>
      <c r="J350">
        <v>2</v>
      </c>
      <c r="K350">
        <v>2</v>
      </c>
      <c r="L350">
        <v>0</v>
      </c>
      <c r="M350">
        <v>5</v>
      </c>
      <c r="N350">
        <v>0</v>
      </c>
      <c r="O350">
        <v>0</v>
      </c>
      <c r="P350">
        <v>0.99990000000000001</v>
      </c>
      <c r="Q350" s="7" t="s">
        <v>28</v>
      </c>
      <c r="R350" s="7" t="s">
        <v>151</v>
      </c>
      <c r="S350">
        <v>0</v>
      </c>
      <c r="T350">
        <v>7.0658399999999997</v>
      </c>
      <c r="U350">
        <v>6.0060000000000002</v>
      </c>
      <c r="V350">
        <v>0</v>
      </c>
      <c r="W350">
        <v>1.8311200000000001</v>
      </c>
      <c r="X350">
        <v>0</v>
      </c>
      <c r="Y350">
        <v>4</v>
      </c>
      <c r="Z350">
        <v>0</v>
      </c>
      <c r="AA350">
        <v>161.125</v>
      </c>
      <c r="AB350">
        <v>7.0658399999999997</v>
      </c>
    </row>
    <row r="351" spans="1:28" x14ac:dyDescent="0.25">
      <c r="A351">
        <v>350</v>
      </c>
      <c r="B351">
        <v>928000801</v>
      </c>
      <c r="C351" s="7" t="s">
        <v>27</v>
      </c>
      <c r="D351">
        <v>-0.17297100000000001</v>
      </c>
      <c r="E351">
        <v>1.91351</v>
      </c>
      <c r="F351">
        <v>-0.17297100000000001</v>
      </c>
      <c r="G351" s="3">
        <f>firm_data[[#This Row],[production]]-firm_data[[#This Row],[sales]]</f>
        <v>0</v>
      </c>
      <c r="H351">
        <v>0</v>
      </c>
      <c r="I351">
        <v>-0.69452899999999995</v>
      </c>
      <c r="J351">
        <v>2</v>
      </c>
      <c r="K351">
        <v>2</v>
      </c>
      <c r="L351">
        <v>0</v>
      </c>
      <c r="M351">
        <v>5</v>
      </c>
      <c r="N351">
        <v>0</v>
      </c>
      <c r="O351">
        <v>0</v>
      </c>
      <c r="P351">
        <v>0.99990000000000001</v>
      </c>
      <c r="Q351" s="7" t="s">
        <v>28</v>
      </c>
      <c r="R351" s="7" t="s">
        <v>151</v>
      </c>
      <c r="S351">
        <v>0</v>
      </c>
      <c r="T351">
        <v>6.9457199999999997</v>
      </c>
      <c r="U351">
        <v>6.0060000000000002</v>
      </c>
      <c r="V351">
        <v>0</v>
      </c>
      <c r="W351">
        <v>1.8311200000000001</v>
      </c>
      <c r="X351">
        <v>0</v>
      </c>
      <c r="Y351">
        <v>4</v>
      </c>
      <c r="Z351">
        <v>0</v>
      </c>
      <c r="AA351">
        <v>160.732</v>
      </c>
      <c r="AB351">
        <v>7.0658399999999997</v>
      </c>
    </row>
    <row r="352" spans="1:28" x14ac:dyDescent="0.25">
      <c r="A352">
        <v>351</v>
      </c>
      <c r="B352">
        <v>264926215</v>
      </c>
      <c r="C352" s="7" t="s">
        <v>27</v>
      </c>
      <c r="D352">
        <v>-0.17297100000000001</v>
      </c>
      <c r="E352">
        <v>1.91351</v>
      </c>
      <c r="F352">
        <v>-0.17297100000000001</v>
      </c>
      <c r="G352" s="3">
        <f>firm_data[[#This Row],[production]]-firm_data[[#This Row],[sales]]</f>
        <v>0</v>
      </c>
      <c r="H352">
        <v>0</v>
      </c>
      <c r="I352">
        <v>-0.69452899999999995</v>
      </c>
      <c r="J352">
        <v>2</v>
      </c>
      <c r="K352">
        <v>2</v>
      </c>
      <c r="L352">
        <v>0</v>
      </c>
      <c r="M352">
        <v>5</v>
      </c>
      <c r="N352">
        <v>0</v>
      </c>
      <c r="O352">
        <v>0</v>
      </c>
      <c r="P352">
        <v>0.99990000000000001</v>
      </c>
      <c r="Q352" s="7" t="s">
        <v>28</v>
      </c>
      <c r="R352" s="7" t="s">
        <v>151</v>
      </c>
      <c r="S352">
        <v>0</v>
      </c>
      <c r="T352">
        <v>6.8255999999999997</v>
      </c>
      <c r="U352">
        <v>6.0060000000000002</v>
      </c>
      <c r="V352">
        <v>0</v>
      </c>
      <c r="W352">
        <v>1.8311200000000001</v>
      </c>
      <c r="X352">
        <v>0</v>
      </c>
      <c r="Y352">
        <v>4</v>
      </c>
      <c r="Z352">
        <v>0</v>
      </c>
      <c r="AA352">
        <v>160.185</v>
      </c>
      <c r="AB352">
        <v>7.0658399999999997</v>
      </c>
    </row>
    <row r="353" spans="1:28" x14ac:dyDescent="0.25">
      <c r="A353">
        <v>352</v>
      </c>
      <c r="B353">
        <v>219710849</v>
      </c>
      <c r="C353" s="7" t="s">
        <v>27</v>
      </c>
      <c r="D353">
        <v>-0.17297100000000001</v>
      </c>
      <c r="E353">
        <v>1.91351</v>
      </c>
      <c r="F353">
        <v>-0.17297100000000001</v>
      </c>
      <c r="G353" s="3">
        <f>firm_data[[#This Row],[production]]-firm_data[[#This Row],[sales]]</f>
        <v>0</v>
      </c>
      <c r="H353">
        <v>0</v>
      </c>
      <c r="I353">
        <v>-0.69452899999999995</v>
      </c>
      <c r="J353">
        <v>2</v>
      </c>
      <c r="K353">
        <v>2</v>
      </c>
      <c r="L353">
        <v>0</v>
      </c>
      <c r="M353">
        <v>5</v>
      </c>
      <c r="N353">
        <v>0</v>
      </c>
      <c r="O353">
        <v>0</v>
      </c>
      <c r="P353">
        <v>0.99990000000000001</v>
      </c>
      <c r="Q353" s="7" t="s">
        <v>28</v>
      </c>
      <c r="R353" s="7" t="s">
        <v>151</v>
      </c>
      <c r="S353">
        <v>0</v>
      </c>
      <c r="T353">
        <v>6.7054799999999997</v>
      </c>
      <c r="U353">
        <v>6.0060099999999998</v>
      </c>
      <c r="V353">
        <v>0</v>
      </c>
      <c r="W353">
        <v>1.8311200000000001</v>
      </c>
      <c r="X353">
        <v>0</v>
      </c>
      <c r="Y353">
        <v>4</v>
      </c>
      <c r="Z353">
        <v>0</v>
      </c>
      <c r="AA353">
        <v>158.227</v>
      </c>
      <c r="AB353">
        <v>7.0658399999999997</v>
      </c>
    </row>
    <row r="354" spans="1:28" x14ac:dyDescent="0.25">
      <c r="A354">
        <v>353</v>
      </c>
      <c r="B354">
        <v>64860405</v>
      </c>
      <c r="C354" s="7" t="s">
        <v>27</v>
      </c>
      <c r="D354">
        <v>-20.354399999999998</v>
      </c>
      <c r="E354">
        <v>1.91351</v>
      </c>
      <c r="F354">
        <v>-20.354399999999998</v>
      </c>
      <c r="G354" s="3">
        <f>firm_data[[#This Row],[production]]-firm_data[[#This Row],[sales]]</f>
        <v>0</v>
      </c>
      <c r="H354">
        <v>0</v>
      </c>
      <c r="I354">
        <v>-0.69452899999999995</v>
      </c>
      <c r="J354">
        <v>2</v>
      </c>
      <c r="K354">
        <v>2</v>
      </c>
      <c r="L354">
        <v>0</v>
      </c>
      <c r="M354">
        <v>5</v>
      </c>
      <c r="N354">
        <v>0</v>
      </c>
      <c r="O354">
        <v>0</v>
      </c>
      <c r="P354">
        <v>0.99990000000000001</v>
      </c>
      <c r="Q354" s="7" t="s">
        <v>28</v>
      </c>
      <c r="R354" s="7" t="s">
        <v>151</v>
      </c>
      <c r="S354">
        <v>0</v>
      </c>
      <c r="T354">
        <v>7.4262499999999996</v>
      </c>
      <c r="U354">
        <v>6.0060099999999998</v>
      </c>
      <c r="V354">
        <v>20.1814</v>
      </c>
      <c r="W354">
        <v>1.8311200000000001</v>
      </c>
      <c r="X354">
        <v>0.84089199999999997</v>
      </c>
      <c r="Y354">
        <v>4</v>
      </c>
      <c r="Z354">
        <v>19.833200000000001</v>
      </c>
      <c r="AA354">
        <v>175.155</v>
      </c>
      <c r="AB354">
        <v>7.0658899999999996</v>
      </c>
    </row>
    <row r="355" spans="1:28" x14ac:dyDescent="0.25">
      <c r="A355">
        <v>354</v>
      </c>
      <c r="B355">
        <v>913204943</v>
      </c>
      <c r="C355" s="7" t="s">
        <v>27</v>
      </c>
      <c r="D355">
        <v>-3.0161500000000001</v>
      </c>
      <c r="E355">
        <v>1.91351</v>
      </c>
      <c r="F355">
        <v>-3.0161500000000001</v>
      </c>
      <c r="G355" s="3">
        <f>firm_data[[#This Row],[production]]-firm_data[[#This Row],[sales]]</f>
        <v>0</v>
      </c>
      <c r="H355">
        <v>0</v>
      </c>
      <c r="I355">
        <v>-0.69452899999999995</v>
      </c>
      <c r="J355">
        <v>2</v>
      </c>
      <c r="K355">
        <v>2</v>
      </c>
      <c r="L355">
        <v>0</v>
      </c>
      <c r="M355">
        <v>5</v>
      </c>
      <c r="N355">
        <v>0</v>
      </c>
      <c r="O355">
        <v>0</v>
      </c>
      <c r="P355">
        <v>0.99990000000000001</v>
      </c>
      <c r="Q355" s="7" t="s">
        <v>28</v>
      </c>
      <c r="R355" s="7" t="s">
        <v>151</v>
      </c>
      <c r="S355">
        <v>0</v>
      </c>
      <c r="T355">
        <v>7.4262499999999996</v>
      </c>
      <c r="U355">
        <v>6.0060099999999998</v>
      </c>
      <c r="V355">
        <v>2.8431799999999998</v>
      </c>
      <c r="W355">
        <v>1.8311200000000001</v>
      </c>
      <c r="X355">
        <v>0.12012</v>
      </c>
      <c r="Y355">
        <v>4</v>
      </c>
      <c r="Z355">
        <v>2.8486099999999999</v>
      </c>
      <c r="AA355">
        <v>176.11099999999999</v>
      </c>
      <c r="AB355">
        <v>7.0658899999999996</v>
      </c>
    </row>
    <row r="356" spans="1:28" x14ac:dyDescent="0.25">
      <c r="A356">
        <v>355</v>
      </c>
      <c r="B356">
        <v>918431205</v>
      </c>
      <c r="C356" s="7" t="s">
        <v>27</v>
      </c>
      <c r="D356">
        <v>-0.17297100000000001</v>
      </c>
      <c r="E356">
        <v>1.91351</v>
      </c>
      <c r="F356">
        <v>-0.17297100000000001</v>
      </c>
      <c r="G356" s="3">
        <f>firm_data[[#This Row],[production]]-firm_data[[#This Row],[sales]]</f>
        <v>0</v>
      </c>
      <c r="H356">
        <v>0</v>
      </c>
      <c r="I356">
        <v>-0.69452899999999995</v>
      </c>
      <c r="J356">
        <v>2</v>
      </c>
      <c r="K356">
        <v>2</v>
      </c>
      <c r="L356">
        <v>0</v>
      </c>
      <c r="M356">
        <v>5</v>
      </c>
      <c r="N356">
        <v>0</v>
      </c>
      <c r="O356">
        <v>0</v>
      </c>
      <c r="P356">
        <v>0.99990000000000001</v>
      </c>
      <c r="Q356" s="7" t="s">
        <v>28</v>
      </c>
      <c r="R356" s="7" t="s">
        <v>151</v>
      </c>
      <c r="S356">
        <v>0</v>
      </c>
      <c r="T356">
        <v>7.3061299999999996</v>
      </c>
      <c r="U356">
        <v>6.0060099999999998</v>
      </c>
      <c r="V356">
        <v>0</v>
      </c>
      <c r="W356">
        <v>1.8311200000000001</v>
      </c>
      <c r="X356">
        <v>0</v>
      </c>
      <c r="Y356">
        <v>4</v>
      </c>
      <c r="Z356">
        <v>0</v>
      </c>
      <c r="AA356">
        <v>174.36199999999999</v>
      </c>
      <c r="AB356">
        <v>7.0658899999999996</v>
      </c>
    </row>
    <row r="357" spans="1:28" x14ac:dyDescent="0.25">
      <c r="A357">
        <v>356</v>
      </c>
      <c r="B357">
        <v>382940412</v>
      </c>
      <c r="C357" s="7" t="s">
        <v>27</v>
      </c>
      <c r="D357">
        <v>-0.17297100000000001</v>
      </c>
      <c r="E357">
        <v>1.91351</v>
      </c>
      <c r="F357">
        <v>-0.17297100000000001</v>
      </c>
      <c r="G357" s="3">
        <f>firm_data[[#This Row],[production]]-firm_data[[#This Row],[sales]]</f>
        <v>0</v>
      </c>
      <c r="H357">
        <v>0</v>
      </c>
      <c r="I357">
        <v>-0.69452899999999995</v>
      </c>
      <c r="J357">
        <v>2</v>
      </c>
      <c r="K357">
        <v>2</v>
      </c>
      <c r="L357">
        <v>0</v>
      </c>
      <c r="M357">
        <v>5</v>
      </c>
      <c r="N357">
        <v>0</v>
      </c>
      <c r="O357">
        <v>0</v>
      </c>
      <c r="P357">
        <v>0.99990000000000001</v>
      </c>
      <c r="Q357" s="7" t="s">
        <v>28</v>
      </c>
      <c r="R357" s="7" t="s">
        <v>151</v>
      </c>
      <c r="S357">
        <v>0</v>
      </c>
      <c r="T357">
        <v>7.1860099999999996</v>
      </c>
      <c r="U357">
        <v>6.0060099999999998</v>
      </c>
      <c r="V357">
        <v>0</v>
      </c>
      <c r="W357">
        <v>1.8311200000000001</v>
      </c>
      <c r="X357">
        <v>0</v>
      </c>
      <c r="Y357">
        <v>4</v>
      </c>
      <c r="Z357">
        <v>0</v>
      </c>
      <c r="AA357">
        <v>171.46199999999999</v>
      </c>
      <c r="AB357">
        <v>7.0658899999999996</v>
      </c>
    </row>
    <row r="358" spans="1:28" x14ac:dyDescent="0.25">
      <c r="A358">
        <v>357</v>
      </c>
      <c r="B358">
        <v>496851344</v>
      </c>
      <c r="C358" s="7" t="s">
        <v>27</v>
      </c>
      <c r="D358">
        <v>-8.3042899999999999</v>
      </c>
      <c r="E358">
        <v>1.91351</v>
      </c>
      <c r="F358">
        <v>-8.3042899999999999</v>
      </c>
      <c r="G358" s="3">
        <f>firm_data[[#This Row],[production]]-firm_data[[#This Row],[sales]]</f>
        <v>0</v>
      </c>
      <c r="H358">
        <v>0</v>
      </c>
      <c r="I358">
        <v>-0.69452899999999995</v>
      </c>
      <c r="J358">
        <v>2</v>
      </c>
      <c r="K358">
        <v>2</v>
      </c>
      <c r="L358">
        <v>0</v>
      </c>
      <c r="M358">
        <v>5</v>
      </c>
      <c r="N358">
        <v>0</v>
      </c>
      <c r="O358">
        <v>0</v>
      </c>
      <c r="P358">
        <v>0.99990000000000001</v>
      </c>
      <c r="Q358" s="7" t="s">
        <v>28</v>
      </c>
      <c r="R358" s="7" t="s">
        <v>151</v>
      </c>
      <c r="S358">
        <v>0</v>
      </c>
      <c r="T358">
        <v>7.4262499999999996</v>
      </c>
      <c r="U358">
        <v>6.0060099999999998</v>
      </c>
      <c r="V358">
        <v>8.1313200000000005</v>
      </c>
      <c r="W358">
        <v>1.8311200000000001</v>
      </c>
      <c r="X358">
        <v>0.36036099999999999</v>
      </c>
      <c r="Y358">
        <v>4</v>
      </c>
      <c r="Z358">
        <v>8.6716200000000008</v>
      </c>
      <c r="AA358">
        <v>178.703</v>
      </c>
      <c r="AB358">
        <v>7.0658899999999996</v>
      </c>
    </row>
    <row r="359" spans="1:28" x14ac:dyDescent="0.25">
      <c r="A359">
        <v>358</v>
      </c>
      <c r="B359">
        <v>189440161</v>
      </c>
      <c r="C359" s="7" t="s">
        <v>27</v>
      </c>
      <c r="D359">
        <v>-3.11286</v>
      </c>
      <c r="E359">
        <v>1.91351</v>
      </c>
      <c r="F359">
        <v>-3.11286</v>
      </c>
      <c r="G359" s="3">
        <f>firm_data[[#This Row],[production]]-firm_data[[#This Row],[sales]]</f>
        <v>0</v>
      </c>
      <c r="H359">
        <v>0</v>
      </c>
      <c r="I359">
        <v>-0.69452899999999995</v>
      </c>
      <c r="J359">
        <v>2</v>
      </c>
      <c r="K359">
        <v>2</v>
      </c>
      <c r="L359">
        <v>0</v>
      </c>
      <c r="M359">
        <v>5</v>
      </c>
      <c r="N359">
        <v>0</v>
      </c>
      <c r="O359">
        <v>0</v>
      </c>
      <c r="P359">
        <v>0.99990000000000001</v>
      </c>
      <c r="Q359" s="7" t="s">
        <v>28</v>
      </c>
      <c r="R359" s="7" t="s">
        <v>151</v>
      </c>
      <c r="S359">
        <v>0</v>
      </c>
      <c r="T359">
        <v>7.4262499999999996</v>
      </c>
      <c r="U359">
        <v>6.0060099999999998</v>
      </c>
      <c r="V359">
        <v>2.93988</v>
      </c>
      <c r="W359">
        <v>1.8311200000000001</v>
      </c>
      <c r="X359">
        <v>0.12012</v>
      </c>
      <c r="Y359">
        <v>4</v>
      </c>
      <c r="Z359">
        <v>2.91974</v>
      </c>
      <c r="AA359">
        <v>180.50899999999999</v>
      </c>
      <c r="AB359">
        <v>7.0658899999999996</v>
      </c>
    </row>
    <row r="360" spans="1:28" x14ac:dyDescent="0.25">
      <c r="A360">
        <v>359</v>
      </c>
      <c r="B360">
        <v>817008087</v>
      </c>
      <c r="C360" s="7" t="s">
        <v>27</v>
      </c>
      <c r="D360">
        <v>-0.17297100000000001</v>
      </c>
      <c r="E360">
        <v>1.91351</v>
      </c>
      <c r="F360">
        <v>-0.17297100000000001</v>
      </c>
      <c r="G360" s="3">
        <f>firm_data[[#This Row],[production]]-firm_data[[#This Row],[sales]]</f>
        <v>0</v>
      </c>
      <c r="H360">
        <v>0</v>
      </c>
      <c r="I360">
        <v>-0.69452899999999995</v>
      </c>
      <c r="J360">
        <v>2</v>
      </c>
      <c r="K360">
        <v>2</v>
      </c>
      <c r="L360">
        <v>0</v>
      </c>
      <c r="M360">
        <v>5</v>
      </c>
      <c r="N360">
        <v>0</v>
      </c>
      <c r="O360">
        <v>0</v>
      </c>
      <c r="P360">
        <v>0.99990000000000001</v>
      </c>
      <c r="Q360" s="7" t="s">
        <v>28</v>
      </c>
      <c r="R360" s="7" t="s">
        <v>151</v>
      </c>
      <c r="S360">
        <v>0</v>
      </c>
      <c r="T360">
        <v>7.3061299999999996</v>
      </c>
      <c r="U360">
        <v>6.0060099999999998</v>
      </c>
      <c r="V360">
        <v>0</v>
      </c>
      <c r="W360">
        <v>1.8311200000000001</v>
      </c>
      <c r="X360">
        <v>0</v>
      </c>
      <c r="Y360">
        <v>4</v>
      </c>
      <c r="Z360">
        <v>0</v>
      </c>
      <c r="AA360">
        <v>178.26</v>
      </c>
      <c r="AB360">
        <v>7.0658899999999996</v>
      </c>
    </row>
    <row r="361" spans="1:28" x14ac:dyDescent="0.25">
      <c r="A361">
        <v>360</v>
      </c>
      <c r="B361">
        <v>709883471</v>
      </c>
      <c r="C361" s="7" t="s">
        <v>27</v>
      </c>
      <c r="D361">
        <v>-6.0788399999999996</v>
      </c>
      <c r="E361">
        <v>1.91351</v>
      </c>
      <c r="F361">
        <v>-6.0788399999999996</v>
      </c>
      <c r="G361" s="3">
        <f>firm_data[[#This Row],[production]]-firm_data[[#This Row],[sales]]</f>
        <v>0</v>
      </c>
      <c r="H361">
        <v>0</v>
      </c>
      <c r="I361">
        <v>-0.69452899999999995</v>
      </c>
      <c r="J361">
        <v>2</v>
      </c>
      <c r="K361">
        <v>2</v>
      </c>
      <c r="L361">
        <v>0</v>
      </c>
      <c r="M361">
        <v>5</v>
      </c>
      <c r="N361">
        <v>0</v>
      </c>
      <c r="O361">
        <v>0</v>
      </c>
      <c r="P361">
        <v>0.99990000000000001</v>
      </c>
      <c r="Q361" s="7" t="s">
        <v>28</v>
      </c>
      <c r="R361" s="7" t="s">
        <v>151</v>
      </c>
      <c r="S361">
        <v>0</v>
      </c>
      <c r="T361">
        <v>7.4262499999999996</v>
      </c>
      <c r="U361">
        <v>6.0060099999999998</v>
      </c>
      <c r="V361">
        <v>5.9058599999999997</v>
      </c>
      <c r="W361">
        <v>1.8311200000000001</v>
      </c>
      <c r="X361">
        <v>0.24024000000000001</v>
      </c>
      <c r="Y361">
        <v>4</v>
      </c>
      <c r="Z361">
        <v>5.8570599999999997</v>
      </c>
      <c r="AA361">
        <v>181.05199999999999</v>
      </c>
      <c r="AB361">
        <v>7.0658899999999996</v>
      </c>
    </row>
    <row r="362" spans="1:28" x14ac:dyDescent="0.25">
      <c r="A362">
        <v>361</v>
      </c>
      <c r="B362">
        <v>921828041</v>
      </c>
      <c r="C362" s="7" t="s">
        <v>27</v>
      </c>
      <c r="D362">
        <v>-3.1857700000000002</v>
      </c>
      <c r="E362">
        <v>1.91351</v>
      </c>
      <c r="F362">
        <v>-3.1857700000000002</v>
      </c>
      <c r="G362" s="3">
        <f>firm_data[[#This Row],[production]]-firm_data[[#This Row],[sales]]</f>
        <v>0</v>
      </c>
      <c r="H362">
        <v>0</v>
      </c>
      <c r="I362">
        <v>-0.69452899999999995</v>
      </c>
      <c r="J362">
        <v>2</v>
      </c>
      <c r="K362">
        <v>2</v>
      </c>
      <c r="L362">
        <v>0</v>
      </c>
      <c r="M362">
        <v>5</v>
      </c>
      <c r="N362">
        <v>0</v>
      </c>
      <c r="O362">
        <v>0</v>
      </c>
      <c r="P362">
        <v>0.99990000000000001</v>
      </c>
      <c r="Q362" s="7" t="s">
        <v>28</v>
      </c>
      <c r="R362" s="7" t="s">
        <v>151</v>
      </c>
      <c r="S362">
        <v>0</v>
      </c>
      <c r="T362">
        <v>7.4262499999999996</v>
      </c>
      <c r="U362">
        <v>6.0060099999999998</v>
      </c>
      <c r="V362">
        <v>3.0127999999999999</v>
      </c>
      <c r="W362">
        <v>1.8311200000000001</v>
      </c>
      <c r="X362">
        <v>0.12012</v>
      </c>
      <c r="Y362">
        <v>4</v>
      </c>
      <c r="Z362">
        <v>2.95465</v>
      </c>
      <c r="AA362">
        <v>182.667</v>
      </c>
      <c r="AB362">
        <v>7.0658899999999996</v>
      </c>
    </row>
    <row r="363" spans="1:28" x14ac:dyDescent="0.25">
      <c r="A363">
        <v>362</v>
      </c>
      <c r="B363">
        <v>582853247</v>
      </c>
      <c r="C363" s="7" t="s">
        <v>27</v>
      </c>
      <c r="D363">
        <v>-0.17297100000000001</v>
      </c>
      <c r="E363">
        <v>1.91351</v>
      </c>
      <c r="F363">
        <v>-0.17297100000000001</v>
      </c>
      <c r="G363" s="3">
        <f>firm_data[[#This Row],[production]]-firm_data[[#This Row],[sales]]</f>
        <v>0</v>
      </c>
      <c r="H363">
        <v>0</v>
      </c>
      <c r="I363">
        <v>-0.69452899999999995</v>
      </c>
      <c r="J363">
        <v>2</v>
      </c>
      <c r="K363">
        <v>2</v>
      </c>
      <c r="L363">
        <v>0</v>
      </c>
      <c r="M363">
        <v>5</v>
      </c>
      <c r="N363">
        <v>0</v>
      </c>
      <c r="O363">
        <v>0</v>
      </c>
      <c r="P363">
        <v>0.99990000000000001</v>
      </c>
      <c r="Q363" s="7" t="s">
        <v>28</v>
      </c>
      <c r="R363" s="7" t="s">
        <v>151</v>
      </c>
      <c r="S363">
        <v>0</v>
      </c>
      <c r="T363">
        <v>7.3061299999999996</v>
      </c>
      <c r="U363">
        <v>6.0060099999999998</v>
      </c>
      <c r="V363">
        <v>0</v>
      </c>
      <c r="W363">
        <v>1.8311200000000001</v>
      </c>
      <c r="X363">
        <v>0</v>
      </c>
      <c r="Y363">
        <v>4</v>
      </c>
      <c r="Z363">
        <v>0</v>
      </c>
      <c r="AA363">
        <v>182.04900000000001</v>
      </c>
      <c r="AB363">
        <v>7.0658899999999996</v>
      </c>
    </row>
    <row r="364" spans="1:28" x14ac:dyDescent="0.25">
      <c r="A364">
        <v>363</v>
      </c>
      <c r="B364">
        <v>195169261</v>
      </c>
      <c r="C364" s="7" t="s">
        <v>27</v>
      </c>
      <c r="D364">
        <v>-6.0049299999999999</v>
      </c>
      <c r="E364">
        <v>1.91351</v>
      </c>
      <c r="F364">
        <v>-6.0049299999999999</v>
      </c>
      <c r="G364" s="3">
        <f>firm_data[[#This Row],[production]]-firm_data[[#This Row],[sales]]</f>
        <v>0</v>
      </c>
      <c r="H364">
        <v>0</v>
      </c>
      <c r="I364">
        <v>-0.69452899999999995</v>
      </c>
      <c r="J364">
        <v>2</v>
      </c>
      <c r="K364">
        <v>2</v>
      </c>
      <c r="L364">
        <v>0</v>
      </c>
      <c r="M364">
        <v>5</v>
      </c>
      <c r="N364">
        <v>0</v>
      </c>
      <c r="O364">
        <v>0</v>
      </c>
      <c r="P364">
        <v>0.99990000000000001</v>
      </c>
      <c r="Q364" s="7" t="s">
        <v>28</v>
      </c>
      <c r="R364" s="7" t="s">
        <v>151</v>
      </c>
      <c r="S364">
        <v>0</v>
      </c>
      <c r="T364">
        <v>7.4262499999999996</v>
      </c>
      <c r="U364">
        <v>6.0060099999999998</v>
      </c>
      <c r="V364">
        <v>5.8319599999999996</v>
      </c>
      <c r="W364">
        <v>1.8311200000000001</v>
      </c>
      <c r="X364">
        <v>0.24024000000000001</v>
      </c>
      <c r="Y364">
        <v>4</v>
      </c>
      <c r="Z364">
        <v>6.0289200000000003</v>
      </c>
      <c r="AA364">
        <v>186.36500000000001</v>
      </c>
      <c r="AB364">
        <v>7.0658899999999996</v>
      </c>
    </row>
    <row r="365" spans="1:28" x14ac:dyDescent="0.25">
      <c r="A365">
        <v>364</v>
      </c>
      <c r="B365">
        <v>863256402</v>
      </c>
      <c r="C365" s="7" t="s">
        <v>27</v>
      </c>
      <c r="D365">
        <v>-0.17297100000000001</v>
      </c>
      <c r="E365">
        <v>1.91351</v>
      </c>
      <c r="F365">
        <v>-0.17297100000000001</v>
      </c>
      <c r="G365" s="3">
        <f>firm_data[[#This Row],[production]]-firm_data[[#This Row],[sales]]</f>
        <v>0</v>
      </c>
      <c r="H365">
        <v>0</v>
      </c>
      <c r="I365">
        <v>-0.69452899999999995</v>
      </c>
      <c r="J365">
        <v>2</v>
      </c>
      <c r="K365">
        <v>2</v>
      </c>
      <c r="L365">
        <v>0</v>
      </c>
      <c r="M365">
        <v>5</v>
      </c>
      <c r="N365">
        <v>0</v>
      </c>
      <c r="O365">
        <v>0</v>
      </c>
      <c r="P365">
        <v>0.99990000000000001</v>
      </c>
      <c r="Q365" s="7" t="s">
        <v>28</v>
      </c>
      <c r="R365" s="7" t="s">
        <v>151</v>
      </c>
      <c r="S365">
        <v>0</v>
      </c>
      <c r="T365">
        <v>7.3061299999999996</v>
      </c>
      <c r="U365">
        <v>6.0060099999999998</v>
      </c>
      <c r="V365">
        <v>0</v>
      </c>
      <c r="W365">
        <v>1.8311200000000001</v>
      </c>
      <c r="X365">
        <v>0</v>
      </c>
      <c r="Y365">
        <v>4</v>
      </c>
      <c r="Z365">
        <v>0</v>
      </c>
      <c r="AA365">
        <v>184.65700000000001</v>
      </c>
      <c r="AB365">
        <v>7.0658899999999996</v>
      </c>
    </row>
    <row r="366" spans="1:28" x14ac:dyDescent="0.25">
      <c r="A366">
        <v>365</v>
      </c>
      <c r="B366">
        <v>963113104</v>
      </c>
      <c r="C366" s="7" t="s">
        <v>27</v>
      </c>
      <c r="D366">
        <v>-0.17297100000000001</v>
      </c>
      <c r="E366">
        <v>1.91351</v>
      </c>
      <c r="F366">
        <v>-0.17297100000000001</v>
      </c>
      <c r="G366" s="3">
        <f>firm_data[[#This Row],[production]]-firm_data[[#This Row],[sales]]</f>
        <v>0</v>
      </c>
      <c r="H366">
        <v>0</v>
      </c>
      <c r="I366">
        <v>-0.69452899999999995</v>
      </c>
      <c r="J366">
        <v>2</v>
      </c>
      <c r="K366">
        <v>2</v>
      </c>
      <c r="L366">
        <v>0</v>
      </c>
      <c r="M366">
        <v>5</v>
      </c>
      <c r="N366">
        <v>0</v>
      </c>
      <c r="O366">
        <v>0</v>
      </c>
      <c r="P366">
        <v>0.99990000000000001</v>
      </c>
      <c r="Q366" s="7" t="s">
        <v>28</v>
      </c>
      <c r="R366" s="7" t="s">
        <v>151</v>
      </c>
      <c r="S366">
        <v>0</v>
      </c>
      <c r="T366">
        <v>7.1860099999999996</v>
      </c>
      <c r="U366">
        <v>6.0060099999999998</v>
      </c>
      <c r="V366">
        <v>0</v>
      </c>
      <c r="W366">
        <v>1.8311200000000001</v>
      </c>
      <c r="X366">
        <v>0</v>
      </c>
      <c r="Y366">
        <v>4</v>
      </c>
      <c r="Z366">
        <v>0</v>
      </c>
      <c r="AA366">
        <v>184.26599999999999</v>
      </c>
      <c r="AB366">
        <v>7.0658899999999996</v>
      </c>
    </row>
    <row r="367" spans="1:28" x14ac:dyDescent="0.25">
      <c r="A367">
        <v>366</v>
      </c>
      <c r="B367">
        <v>431757026</v>
      </c>
      <c r="C367" s="7" t="s">
        <v>27</v>
      </c>
      <c r="D367">
        <v>-8.79983</v>
      </c>
      <c r="E367">
        <v>1.91351</v>
      </c>
      <c r="F367">
        <v>-8.79983</v>
      </c>
      <c r="G367" s="3">
        <f>firm_data[[#This Row],[production]]-firm_data[[#This Row],[sales]]</f>
        <v>0</v>
      </c>
      <c r="H367">
        <v>0</v>
      </c>
      <c r="I367">
        <v>-0.69452899999999995</v>
      </c>
      <c r="J367">
        <v>2</v>
      </c>
      <c r="K367">
        <v>2</v>
      </c>
      <c r="L367">
        <v>0</v>
      </c>
      <c r="M367">
        <v>5</v>
      </c>
      <c r="N367">
        <v>0</v>
      </c>
      <c r="O367">
        <v>0</v>
      </c>
      <c r="P367">
        <v>0.99990000000000001</v>
      </c>
      <c r="Q367" s="7" t="s">
        <v>28</v>
      </c>
      <c r="R367" s="7" t="s">
        <v>151</v>
      </c>
      <c r="S367">
        <v>0</v>
      </c>
      <c r="T367">
        <v>7.4262499999999996</v>
      </c>
      <c r="U367">
        <v>6.0060099999999998</v>
      </c>
      <c r="V367">
        <v>8.6268600000000006</v>
      </c>
      <c r="W367">
        <v>1.8311200000000001</v>
      </c>
      <c r="X367">
        <v>0.36036000000000001</v>
      </c>
      <c r="Y367">
        <v>4</v>
      </c>
      <c r="Z367">
        <v>9.3063400000000005</v>
      </c>
      <c r="AA367">
        <v>191.78399999999999</v>
      </c>
      <c r="AB367">
        <v>7.0658899999999996</v>
      </c>
    </row>
    <row r="368" spans="1:28" x14ac:dyDescent="0.25">
      <c r="A368">
        <v>367</v>
      </c>
      <c r="B368">
        <v>296575919</v>
      </c>
      <c r="C368" s="7" t="s">
        <v>27</v>
      </c>
      <c r="D368">
        <v>-0.17297100000000001</v>
      </c>
      <c r="E368">
        <v>1.91351</v>
      </c>
      <c r="F368">
        <v>-0.17297100000000001</v>
      </c>
      <c r="G368" s="3">
        <f>firm_data[[#This Row],[production]]-firm_data[[#This Row],[sales]]</f>
        <v>0</v>
      </c>
      <c r="H368">
        <v>0</v>
      </c>
      <c r="I368">
        <v>-0.69452899999999995</v>
      </c>
      <c r="J368">
        <v>2</v>
      </c>
      <c r="K368">
        <v>2</v>
      </c>
      <c r="L368">
        <v>0</v>
      </c>
      <c r="M368">
        <v>5</v>
      </c>
      <c r="N368">
        <v>0</v>
      </c>
      <c r="O368">
        <v>0</v>
      </c>
      <c r="P368">
        <v>0.99990000000000001</v>
      </c>
      <c r="Q368" s="7" t="s">
        <v>28</v>
      </c>
      <c r="R368" s="7" t="s">
        <v>151</v>
      </c>
      <c r="S368">
        <v>0</v>
      </c>
      <c r="T368">
        <v>7.3061299999999996</v>
      </c>
      <c r="U368">
        <v>6.0060099999999998</v>
      </c>
      <c r="V368">
        <v>0</v>
      </c>
      <c r="W368">
        <v>1.8311200000000001</v>
      </c>
      <c r="X368">
        <v>0</v>
      </c>
      <c r="Y368">
        <v>4</v>
      </c>
      <c r="Z368">
        <v>0</v>
      </c>
      <c r="AA368">
        <v>188.75</v>
      </c>
      <c r="AB368">
        <v>7.0658899999999996</v>
      </c>
    </row>
    <row r="369" spans="1:28" x14ac:dyDescent="0.25">
      <c r="A369">
        <v>368</v>
      </c>
      <c r="B369">
        <v>346155792</v>
      </c>
      <c r="C369" s="7" t="s">
        <v>27</v>
      </c>
      <c r="D369">
        <v>-0.17297100000000001</v>
      </c>
      <c r="E369">
        <v>1.91351</v>
      </c>
      <c r="F369">
        <v>-0.17297100000000001</v>
      </c>
      <c r="G369" s="3">
        <f>firm_data[[#This Row],[production]]-firm_data[[#This Row],[sales]]</f>
        <v>0</v>
      </c>
      <c r="H369">
        <v>0</v>
      </c>
      <c r="I369">
        <v>-0.69452899999999995</v>
      </c>
      <c r="J369">
        <v>2</v>
      </c>
      <c r="K369">
        <v>2</v>
      </c>
      <c r="L369">
        <v>0</v>
      </c>
      <c r="M369">
        <v>5</v>
      </c>
      <c r="N369">
        <v>0</v>
      </c>
      <c r="O369">
        <v>0</v>
      </c>
      <c r="P369">
        <v>0.99990000000000001</v>
      </c>
      <c r="Q369" s="7" t="s">
        <v>28</v>
      </c>
      <c r="R369" s="7" t="s">
        <v>151</v>
      </c>
      <c r="S369">
        <v>0</v>
      </c>
      <c r="T369">
        <v>7.1860099999999996</v>
      </c>
      <c r="U369">
        <v>6.0060099999999998</v>
      </c>
      <c r="V369">
        <v>0</v>
      </c>
      <c r="W369">
        <v>1.8311200000000001</v>
      </c>
      <c r="X369">
        <v>0</v>
      </c>
      <c r="Y369">
        <v>4</v>
      </c>
      <c r="Z369">
        <v>0</v>
      </c>
      <c r="AA369">
        <v>186.995</v>
      </c>
      <c r="AB369">
        <v>7.0658899999999996</v>
      </c>
    </row>
    <row r="370" spans="1:28" x14ac:dyDescent="0.25">
      <c r="A370">
        <v>369</v>
      </c>
      <c r="B370">
        <v>105543828</v>
      </c>
      <c r="C370" s="7" t="s">
        <v>27</v>
      </c>
      <c r="D370">
        <v>-9.1708700000000007</v>
      </c>
      <c r="E370">
        <v>1.91351</v>
      </c>
      <c r="F370">
        <v>-9.1708700000000007</v>
      </c>
      <c r="G370" s="3">
        <f>firm_data[[#This Row],[production]]-firm_data[[#This Row],[sales]]</f>
        <v>0</v>
      </c>
      <c r="H370">
        <v>0</v>
      </c>
      <c r="I370">
        <v>-0.69452899999999995</v>
      </c>
      <c r="J370">
        <v>2</v>
      </c>
      <c r="K370">
        <v>2</v>
      </c>
      <c r="L370">
        <v>0</v>
      </c>
      <c r="M370">
        <v>5</v>
      </c>
      <c r="N370">
        <v>0</v>
      </c>
      <c r="O370">
        <v>0</v>
      </c>
      <c r="P370">
        <v>0.99990000000000001</v>
      </c>
      <c r="Q370" s="7" t="s">
        <v>28</v>
      </c>
      <c r="R370" s="7" t="s">
        <v>151</v>
      </c>
      <c r="S370">
        <v>0</v>
      </c>
      <c r="T370">
        <v>7.4262499999999996</v>
      </c>
      <c r="U370">
        <v>6.0060099999999998</v>
      </c>
      <c r="V370">
        <v>8.9978999999999996</v>
      </c>
      <c r="W370">
        <v>1.8311200000000001</v>
      </c>
      <c r="X370">
        <v>0.36036000000000001</v>
      </c>
      <c r="Y370">
        <v>4</v>
      </c>
      <c r="Z370">
        <v>9.40123</v>
      </c>
      <c r="AA370">
        <v>193.739</v>
      </c>
      <c r="AB370">
        <v>7.0658899999999996</v>
      </c>
    </row>
    <row r="371" spans="1:28" x14ac:dyDescent="0.25">
      <c r="A371">
        <v>370</v>
      </c>
      <c r="B371">
        <v>205450790</v>
      </c>
      <c r="C371" s="7" t="s">
        <v>27</v>
      </c>
      <c r="D371">
        <v>-0.17297100000000001</v>
      </c>
      <c r="E371">
        <v>1.91351</v>
      </c>
      <c r="F371">
        <v>-0.17297100000000001</v>
      </c>
      <c r="G371" s="3">
        <f>firm_data[[#This Row],[production]]-firm_data[[#This Row],[sales]]</f>
        <v>0</v>
      </c>
      <c r="H371">
        <v>0</v>
      </c>
      <c r="I371">
        <v>-0.69452899999999995</v>
      </c>
      <c r="J371">
        <v>2</v>
      </c>
      <c r="K371">
        <v>2</v>
      </c>
      <c r="L371">
        <v>0</v>
      </c>
      <c r="M371">
        <v>5</v>
      </c>
      <c r="N371">
        <v>0</v>
      </c>
      <c r="O371">
        <v>0</v>
      </c>
      <c r="P371">
        <v>0.99990000000000001</v>
      </c>
      <c r="Q371" s="7" t="s">
        <v>28</v>
      </c>
      <c r="R371" s="7" t="s">
        <v>151</v>
      </c>
      <c r="S371">
        <v>0</v>
      </c>
      <c r="T371">
        <v>7.3061299999999996</v>
      </c>
      <c r="U371">
        <v>6.0060099999999998</v>
      </c>
      <c r="V371">
        <v>0</v>
      </c>
      <c r="W371">
        <v>1.8311200000000001</v>
      </c>
      <c r="X371">
        <v>0</v>
      </c>
      <c r="Y371">
        <v>4</v>
      </c>
      <c r="Z371">
        <v>0</v>
      </c>
      <c r="AA371">
        <v>192.16900000000001</v>
      </c>
      <c r="AB371">
        <v>7.0658899999999996</v>
      </c>
    </row>
    <row r="372" spans="1:28" x14ac:dyDescent="0.25">
      <c r="A372">
        <v>371</v>
      </c>
      <c r="B372">
        <v>429783974</v>
      </c>
      <c r="C372" s="7" t="s">
        <v>27</v>
      </c>
      <c r="D372">
        <v>-0.17297100000000001</v>
      </c>
      <c r="E372">
        <v>1.91351</v>
      </c>
      <c r="F372">
        <v>-0.17297100000000001</v>
      </c>
      <c r="G372" s="3">
        <f>firm_data[[#This Row],[production]]-firm_data[[#This Row],[sales]]</f>
        <v>0</v>
      </c>
      <c r="H372">
        <v>0</v>
      </c>
      <c r="I372">
        <v>-0.69452899999999995</v>
      </c>
      <c r="J372">
        <v>2</v>
      </c>
      <c r="K372">
        <v>2</v>
      </c>
      <c r="L372">
        <v>0</v>
      </c>
      <c r="M372">
        <v>5</v>
      </c>
      <c r="N372">
        <v>0</v>
      </c>
      <c r="O372">
        <v>0</v>
      </c>
      <c r="P372">
        <v>0.99990000000000001</v>
      </c>
      <c r="Q372" s="7" t="s">
        <v>28</v>
      </c>
      <c r="R372" s="7" t="s">
        <v>151</v>
      </c>
      <c r="S372">
        <v>0</v>
      </c>
      <c r="T372">
        <v>7.1860099999999996</v>
      </c>
      <c r="U372">
        <v>6.0060099999999998</v>
      </c>
      <c r="V372">
        <v>0</v>
      </c>
      <c r="W372">
        <v>1.8311200000000001</v>
      </c>
      <c r="X372">
        <v>0</v>
      </c>
      <c r="Y372">
        <v>4</v>
      </c>
      <c r="Z372">
        <v>0</v>
      </c>
      <c r="AA372">
        <v>191.46</v>
      </c>
      <c r="AB372">
        <v>7.0658899999999996</v>
      </c>
    </row>
    <row r="373" spans="1:28" x14ac:dyDescent="0.25">
      <c r="A373">
        <v>372</v>
      </c>
      <c r="B373">
        <v>120832171</v>
      </c>
      <c r="C373" s="7" t="s">
        <v>27</v>
      </c>
      <c r="D373">
        <v>-0.17297100000000001</v>
      </c>
      <c r="E373">
        <v>1.91351</v>
      </c>
      <c r="F373">
        <v>-0.17297100000000001</v>
      </c>
      <c r="G373" s="3">
        <f>firm_data[[#This Row],[production]]-firm_data[[#This Row],[sales]]</f>
        <v>0</v>
      </c>
      <c r="H373">
        <v>0</v>
      </c>
      <c r="I373">
        <v>-0.69452899999999995</v>
      </c>
      <c r="J373">
        <v>2</v>
      </c>
      <c r="K373">
        <v>2</v>
      </c>
      <c r="L373">
        <v>0</v>
      </c>
      <c r="M373">
        <v>5</v>
      </c>
      <c r="N373">
        <v>0</v>
      </c>
      <c r="O373">
        <v>0</v>
      </c>
      <c r="P373">
        <v>0.99990000000000001</v>
      </c>
      <c r="Q373" s="7" t="s">
        <v>28</v>
      </c>
      <c r="R373" s="7" t="s">
        <v>151</v>
      </c>
      <c r="S373">
        <v>0</v>
      </c>
      <c r="T373">
        <v>7.0658899999999996</v>
      </c>
      <c r="U373">
        <v>6.0060099999999998</v>
      </c>
      <c r="V373">
        <v>0</v>
      </c>
      <c r="W373">
        <v>1.8311200000000001</v>
      </c>
      <c r="X373">
        <v>0</v>
      </c>
      <c r="Y373">
        <v>4</v>
      </c>
      <c r="Z373">
        <v>0</v>
      </c>
      <c r="AA373">
        <v>189.3</v>
      </c>
      <c r="AB373">
        <v>7.0658899999999996</v>
      </c>
    </row>
    <row r="374" spans="1:28" x14ac:dyDescent="0.25">
      <c r="A374">
        <v>373</v>
      </c>
      <c r="B374">
        <v>712127419</v>
      </c>
      <c r="C374" s="7" t="s">
        <v>27</v>
      </c>
      <c r="D374">
        <v>-0.17297100000000001</v>
      </c>
      <c r="E374">
        <v>1.91351</v>
      </c>
      <c r="F374">
        <v>-0.17297100000000001</v>
      </c>
      <c r="G374" s="3">
        <f>firm_data[[#This Row],[production]]-firm_data[[#This Row],[sales]]</f>
        <v>0</v>
      </c>
      <c r="H374">
        <v>0</v>
      </c>
      <c r="I374">
        <v>-0.69452899999999995</v>
      </c>
      <c r="J374">
        <v>2</v>
      </c>
      <c r="K374">
        <v>2</v>
      </c>
      <c r="L374">
        <v>0</v>
      </c>
      <c r="M374">
        <v>5</v>
      </c>
      <c r="N374">
        <v>0</v>
      </c>
      <c r="O374">
        <v>0</v>
      </c>
      <c r="P374">
        <v>0.99990000000000001</v>
      </c>
      <c r="Q374" s="7" t="s">
        <v>28</v>
      </c>
      <c r="R374" s="7" t="s">
        <v>151</v>
      </c>
      <c r="S374">
        <v>0</v>
      </c>
      <c r="T374">
        <v>6.9457700000000004</v>
      </c>
      <c r="U374">
        <v>6.0060099999999998</v>
      </c>
      <c r="V374">
        <v>0</v>
      </c>
      <c r="W374">
        <v>1.8311200000000001</v>
      </c>
      <c r="X374">
        <v>0</v>
      </c>
      <c r="Y374">
        <v>4</v>
      </c>
      <c r="Z374">
        <v>0</v>
      </c>
      <c r="AA374">
        <v>188.566</v>
      </c>
      <c r="AB374">
        <v>7.0658899999999996</v>
      </c>
    </row>
    <row r="375" spans="1:28" x14ac:dyDescent="0.25">
      <c r="A375">
        <v>374</v>
      </c>
      <c r="B375">
        <v>347477913</v>
      </c>
      <c r="C375" s="7" t="s">
        <v>27</v>
      </c>
      <c r="D375">
        <v>-0.17297100000000001</v>
      </c>
      <c r="E375">
        <v>1.91351</v>
      </c>
      <c r="F375">
        <v>-0.17297100000000001</v>
      </c>
      <c r="G375" s="3">
        <f>firm_data[[#This Row],[production]]-firm_data[[#This Row],[sales]]</f>
        <v>0</v>
      </c>
      <c r="H375">
        <v>0</v>
      </c>
      <c r="I375">
        <v>-0.69452899999999995</v>
      </c>
      <c r="J375">
        <v>2</v>
      </c>
      <c r="K375">
        <v>2</v>
      </c>
      <c r="L375">
        <v>0</v>
      </c>
      <c r="M375">
        <v>5</v>
      </c>
      <c r="N375">
        <v>0</v>
      </c>
      <c r="O375">
        <v>0</v>
      </c>
      <c r="P375">
        <v>0.99990000000000001</v>
      </c>
      <c r="Q375" s="7" t="s">
        <v>28</v>
      </c>
      <c r="R375" s="7" t="s">
        <v>151</v>
      </c>
      <c r="S375">
        <v>0</v>
      </c>
      <c r="T375">
        <v>6.8256500000000004</v>
      </c>
      <c r="U375">
        <v>6.0060099999999998</v>
      </c>
      <c r="V375">
        <v>0</v>
      </c>
      <c r="W375">
        <v>1.8311200000000001</v>
      </c>
      <c r="X375">
        <v>0</v>
      </c>
      <c r="Y375">
        <v>4</v>
      </c>
      <c r="Z375">
        <v>0</v>
      </c>
      <c r="AA375">
        <v>187.61500000000001</v>
      </c>
      <c r="AB375">
        <v>7.0658899999999996</v>
      </c>
    </row>
    <row r="376" spans="1:28" x14ac:dyDescent="0.25">
      <c r="A376">
        <v>375</v>
      </c>
      <c r="B376">
        <v>246648460</v>
      </c>
      <c r="C376" s="7" t="s">
        <v>27</v>
      </c>
      <c r="D376">
        <v>-0.17297100000000001</v>
      </c>
      <c r="E376">
        <v>1.91351</v>
      </c>
      <c r="F376">
        <v>-0.17297100000000001</v>
      </c>
      <c r="G376" s="3">
        <f>firm_data[[#This Row],[production]]-firm_data[[#This Row],[sales]]</f>
        <v>0</v>
      </c>
      <c r="H376">
        <v>0</v>
      </c>
      <c r="I376">
        <v>-0.69452899999999995</v>
      </c>
      <c r="J376">
        <v>2</v>
      </c>
      <c r="K376">
        <v>2</v>
      </c>
      <c r="L376">
        <v>0</v>
      </c>
      <c r="M376">
        <v>5</v>
      </c>
      <c r="N376">
        <v>0</v>
      </c>
      <c r="O376">
        <v>0</v>
      </c>
      <c r="P376">
        <v>0.99990000000000001</v>
      </c>
      <c r="Q376" s="7" t="s">
        <v>28</v>
      </c>
      <c r="R376" s="7" t="s">
        <v>151</v>
      </c>
      <c r="S376">
        <v>0</v>
      </c>
      <c r="T376">
        <v>6.7055300000000004</v>
      </c>
      <c r="U376">
        <v>6.0060099999999998</v>
      </c>
      <c r="V376">
        <v>0</v>
      </c>
      <c r="W376">
        <v>1.8311200000000001</v>
      </c>
      <c r="X376">
        <v>0</v>
      </c>
      <c r="Y376">
        <v>4</v>
      </c>
      <c r="Z376">
        <v>0</v>
      </c>
      <c r="AA376">
        <v>187.90600000000001</v>
      </c>
      <c r="AB376">
        <v>7.0658899999999996</v>
      </c>
    </row>
    <row r="377" spans="1:28" x14ac:dyDescent="0.25">
      <c r="A377">
        <v>376</v>
      </c>
      <c r="B377">
        <v>517059965</v>
      </c>
      <c r="C377" s="7" t="s">
        <v>27</v>
      </c>
      <c r="D377">
        <v>-0.17297100000000001</v>
      </c>
      <c r="E377">
        <v>1.91351</v>
      </c>
      <c r="F377">
        <v>-0.17297100000000001</v>
      </c>
      <c r="G377" s="3">
        <f>firm_data[[#This Row],[production]]-firm_data[[#This Row],[sales]]</f>
        <v>0</v>
      </c>
      <c r="H377">
        <v>0</v>
      </c>
      <c r="I377">
        <v>-0.69452899999999995</v>
      </c>
      <c r="J377">
        <v>2</v>
      </c>
      <c r="K377">
        <v>2</v>
      </c>
      <c r="L377">
        <v>0</v>
      </c>
      <c r="M377">
        <v>5</v>
      </c>
      <c r="N377">
        <v>0</v>
      </c>
      <c r="O377">
        <v>0</v>
      </c>
      <c r="P377">
        <v>0.99990000000000001</v>
      </c>
      <c r="Q377" s="7" t="s">
        <v>28</v>
      </c>
      <c r="R377" s="7" t="s">
        <v>151</v>
      </c>
      <c r="S377">
        <v>0</v>
      </c>
      <c r="T377">
        <v>6.5854100000000004</v>
      </c>
      <c r="U377">
        <v>6.0060099999999998</v>
      </c>
      <c r="V377">
        <v>0</v>
      </c>
      <c r="W377">
        <v>1.8311200000000001</v>
      </c>
      <c r="X377">
        <v>0</v>
      </c>
      <c r="Y377">
        <v>4</v>
      </c>
      <c r="Z377">
        <v>0</v>
      </c>
      <c r="AA377">
        <v>186.452</v>
      </c>
      <c r="AB377">
        <v>7.0658899999999996</v>
      </c>
    </row>
    <row r="378" spans="1:28" x14ac:dyDescent="0.25">
      <c r="A378">
        <v>377</v>
      </c>
      <c r="B378">
        <v>997470530</v>
      </c>
      <c r="C378" s="7" t="s">
        <v>27</v>
      </c>
      <c r="D378">
        <v>-0.17297100000000001</v>
      </c>
      <c r="E378">
        <v>1.91351</v>
      </c>
      <c r="F378">
        <v>-0.17297100000000001</v>
      </c>
      <c r="G378" s="3">
        <f>firm_data[[#This Row],[production]]-firm_data[[#This Row],[sales]]</f>
        <v>0</v>
      </c>
      <c r="H378">
        <v>0</v>
      </c>
      <c r="I378">
        <v>-0.69452899999999995</v>
      </c>
      <c r="J378">
        <v>2</v>
      </c>
      <c r="K378">
        <v>2</v>
      </c>
      <c r="L378">
        <v>0</v>
      </c>
      <c r="M378">
        <v>5</v>
      </c>
      <c r="N378">
        <v>0</v>
      </c>
      <c r="O378">
        <v>0</v>
      </c>
      <c r="P378">
        <v>0.99990000000000001</v>
      </c>
      <c r="Q378" s="7" t="s">
        <v>28</v>
      </c>
      <c r="R378" s="7" t="s">
        <v>151</v>
      </c>
      <c r="S378">
        <v>0</v>
      </c>
      <c r="T378">
        <v>6.4652900000000004</v>
      </c>
      <c r="U378">
        <v>6.0060099999999998</v>
      </c>
      <c r="V378">
        <v>0</v>
      </c>
      <c r="W378">
        <v>1.8311200000000001</v>
      </c>
      <c r="X378">
        <v>0</v>
      </c>
      <c r="Y378">
        <v>4</v>
      </c>
      <c r="Z378">
        <v>0</v>
      </c>
      <c r="AA378">
        <v>186.20400000000001</v>
      </c>
      <c r="AB378">
        <v>7.0658899999999996</v>
      </c>
    </row>
    <row r="379" spans="1:28" x14ac:dyDescent="0.25">
      <c r="A379">
        <v>378</v>
      </c>
      <c r="B379">
        <v>707032715</v>
      </c>
      <c r="C379" s="7" t="s">
        <v>27</v>
      </c>
      <c r="D379">
        <v>-15.3462</v>
      </c>
      <c r="E379">
        <v>1.91351</v>
      </c>
      <c r="F379">
        <v>-15.3462</v>
      </c>
      <c r="G379" s="3">
        <f>firm_data[[#This Row],[production]]-firm_data[[#This Row],[sales]]</f>
        <v>0</v>
      </c>
      <c r="H379">
        <v>0</v>
      </c>
      <c r="I379">
        <v>-0.69452899999999995</v>
      </c>
      <c r="J379">
        <v>2</v>
      </c>
      <c r="K379">
        <v>2</v>
      </c>
      <c r="L379">
        <v>0</v>
      </c>
      <c r="M379">
        <v>5</v>
      </c>
      <c r="N379">
        <v>0</v>
      </c>
      <c r="O379">
        <v>0</v>
      </c>
      <c r="P379">
        <v>0.99990000000000001</v>
      </c>
      <c r="Q379" s="7" t="s">
        <v>28</v>
      </c>
      <c r="R379" s="7" t="s">
        <v>151</v>
      </c>
      <c r="S379">
        <v>0</v>
      </c>
      <c r="T379">
        <v>6.8451700000000004</v>
      </c>
      <c r="U379">
        <v>6.0060099999999998</v>
      </c>
      <c r="V379">
        <v>15.1732</v>
      </c>
      <c r="W379">
        <v>1.8311200000000001</v>
      </c>
      <c r="X379">
        <v>1.08108</v>
      </c>
      <c r="Y379">
        <v>4</v>
      </c>
      <c r="Z379">
        <v>31.297999999999998</v>
      </c>
      <c r="AA379">
        <v>198.172</v>
      </c>
      <c r="AB379">
        <v>7.0658899999999996</v>
      </c>
    </row>
    <row r="380" spans="1:28" x14ac:dyDescent="0.25">
      <c r="A380">
        <v>379</v>
      </c>
      <c r="B380">
        <v>286192731</v>
      </c>
      <c r="C380" s="7" t="s">
        <v>27</v>
      </c>
      <c r="D380">
        <v>-0.17297100000000001</v>
      </c>
      <c r="E380">
        <v>1.91351</v>
      </c>
      <c r="F380">
        <v>-0.17297100000000001</v>
      </c>
      <c r="G380" s="3">
        <f>firm_data[[#This Row],[production]]-firm_data[[#This Row],[sales]]</f>
        <v>0</v>
      </c>
      <c r="H380">
        <v>0</v>
      </c>
      <c r="I380">
        <v>-0.69452899999999995</v>
      </c>
      <c r="J380">
        <v>2</v>
      </c>
      <c r="K380">
        <v>2</v>
      </c>
      <c r="L380">
        <v>0</v>
      </c>
      <c r="M380">
        <v>5</v>
      </c>
      <c r="N380">
        <v>0</v>
      </c>
      <c r="O380">
        <v>0</v>
      </c>
      <c r="P380">
        <v>0.99990000000000001</v>
      </c>
      <c r="Q380" s="7" t="s">
        <v>28</v>
      </c>
      <c r="R380" s="7" t="s">
        <v>151</v>
      </c>
      <c r="S380">
        <v>0</v>
      </c>
      <c r="T380">
        <v>6.7250500000000004</v>
      </c>
      <c r="U380">
        <v>6.0060099999999998</v>
      </c>
      <c r="V380">
        <v>0</v>
      </c>
      <c r="W380">
        <v>1.8311200000000001</v>
      </c>
      <c r="X380">
        <v>0</v>
      </c>
      <c r="Y380">
        <v>4</v>
      </c>
      <c r="Z380">
        <v>0</v>
      </c>
      <c r="AA380">
        <v>196.87700000000001</v>
      </c>
      <c r="AB380">
        <v>7.0658899999999996</v>
      </c>
    </row>
    <row r="381" spans="1:28" x14ac:dyDescent="0.25">
      <c r="A381">
        <v>380</v>
      </c>
      <c r="B381">
        <v>642642507</v>
      </c>
      <c r="C381" s="7" t="s">
        <v>27</v>
      </c>
      <c r="D381">
        <v>-0.17297100000000001</v>
      </c>
      <c r="E381">
        <v>1.91351</v>
      </c>
      <c r="F381">
        <v>-0.17297100000000001</v>
      </c>
      <c r="G381" s="3">
        <f>firm_data[[#This Row],[production]]-firm_data[[#This Row],[sales]]</f>
        <v>0</v>
      </c>
      <c r="H381">
        <v>0</v>
      </c>
      <c r="I381">
        <v>-0.69452899999999995</v>
      </c>
      <c r="J381">
        <v>2</v>
      </c>
      <c r="K381">
        <v>2</v>
      </c>
      <c r="L381">
        <v>0</v>
      </c>
      <c r="M381">
        <v>5</v>
      </c>
      <c r="N381">
        <v>0</v>
      </c>
      <c r="O381">
        <v>0</v>
      </c>
      <c r="P381">
        <v>0.99990000000000001</v>
      </c>
      <c r="Q381" s="7" t="s">
        <v>28</v>
      </c>
      <c r="R381" s="7" t="s">
        <v>151</v>
      </c>
      <c r="S381">
        <v>0</v>
      </c>
      <c r="T381">
        <v>6.6049300000000004</v>
      </c>
      <c r="U381">
        <v>6.0060099999999998</v>
      </c>
      <c r="V381">
        <v>0</v>
      </c>
      <c r="W381">
        <v>1.8311200000000001</v>
      </c>
      <c r="X381">
        <v>0</v>
      </c>
      <c r="Y381">
        <v>4</v>
      </c>
      <c r="Z381">
        <v>0</v>
      </c>
      <c r="AA381">
        <v>195.565</v>
      </c>
      <c r="AB381">
        <v>7.0658899999999996</v>
      </c>
    </row>
    <row r="382" spans="1:28" x14ac:dyDescent="0.25">
      <c r="A382">
        <v>381</v>
      </c>
      <c r="B382">
        <v>252541533</v>
      </c>
      <c r="C382" s="7" t="s">
        <v>27</v>
      </c>
      <c r="D382">
        <v>-21.323499999999999</v>
      </c>
      <c r="E382">
        <v>1.91351</v>
      </c>
      <c r="F382">
        <v>-21.323499999999999</v>
      </c>
      <c r="G382" s="3">
        <f>firm_data[[#This Row],[production]]-firm_data[[#This Row],[sales]]</f>
        <v>0</v>
      </c>
      <c r="H382">
        <v>0</v>
      </c>
      <c r="I382">
        <v>-0.69452899999999995</v>
      </c>
      <c r="J382">
        <v>2</v>
      </c>
      <c r="K382">
        <v>2</v>
      </c>
      <c r="L382">
        <v>0</v>
      </c>
      <c r="M382">
        <v>5</v>
      </c>
      <c r="N382">
        <v>0</v>
      </c>
      <c r="O382">
        <v>0</v>
      </c>
      <c r="P382">
        <v>0.99990000000000001</v>
      </c>
      <c r="Q382" s="7" t="s">
        <v>28</v>
      </c>
      <c r="R382" s="7" t="s">
        <v>151</v>
      </c>
      <c r="S382">
        <v>0</v>
      </c>
      <c r="T382">
        <v>7.2094800000000001</v>
      </c>
      <c r="U382">
        <v>6.0060099999999998</v>
      </c>
      <c r="V382">
        <v>21.150500000000001</v>
      </c>
      <c r="W382">
        <v>1.8311200000000001</v>
      </c>
      <c r="X382">
        <v>0.94144099999999997</v>
      </c>
      <c r="Y382">
        <v>4</v>
      </c>
      <c r="Z382">
        <v>28.170200000000001</v>
      </c>
      <c r="AA382">
        <v>215.72499999999999</v>
      </c>
      <c r="AB382">
        <v>7.0658899999999996</v>
      </c>
    </row>
    <row r="383" spans="1:28" x14ac:dyDescent="0.25">
      <c r="A383">
        <v>382</v>
      </c>
      <c r="B383">
        <v>339574670</v>
      </c>
      <c r="C383" s="7" t="s">
        <v>27</v>
      </c>
      <c r="D383">
        <v>-0.17297100000000001</v>
      </c>
      <c r="E383">
        <v>1.91351</v>
      </c>
      <c r="F383">
        <v>-0.17297100000000001</v>
      </c>
      <c r="G383" s="3">
        <f>firm_data[[#This Row],[production]]-firm_data[[#This Row],[sales]]</f>
        <v>0</v>
      </c>
      <c r="H383">
        <v>0</v>
      </c>
      <c r="I383">
        <v>-0.69452899999999995</v>
      </c>
      <c r="J383">
        <v>2</v>
      </c>
      <c r="K383">
        <v>2</v>
      </c>
      <c r="L383">
        <v>0</v>
      </c>
      <c r="M383">
        <v>5</v>
      </c>
      <c r="N383">
        <v>0</v>
      </c>
      <c r="O383">
        <v>0</v>
      </c>
      <c r="P383">
        <v>0.99990000000000001</v>
      </c>
      <c r="Q383" s="7" t="s">
        <v>28</v>
      </c>
      <c r="R383" s="7" t="s">
        <v>151</v>
      </c>
      <c r="S383">
        <v>0</v>
      </c>
      <c r="T383">
        <v>7.0893600000000001</v>
      </c>
      <c r="U383">
        <v>6.0060099999999998</v>
      </c>
      <c r="V383">
        <v>0</v>
      </c>
      <c r="W383">
        <v>1.8311200000000001</v>
      </c>
      <c r="X383">
        <v>0</v>
      </c>
      <c r="Y383">
        <v>4</v>
      </c>
      <c r="Z383">
        <v>0</v>
      </c>
      <c r="AA383">
        <v>212.63399999999999</v>
      </c>
      <c r="AB383">
        <v>7.0658899999999996</v>
      </c>
    </row>
    <row r="384" spans="1:28" x14ac:dyDescent="0.25">
      <c r="A384">
        <v>383</v>
      </c>
      <c r="B384">
        <v>109210196</v>
      </c>
      <c r="C384" s="7" t="s">
        <v>27</v>
      </c>
      <c r="D384">
        <v>-0.17297100000000001</v>
      </c>
      <c r="E384">
        <v>1.91351</v>
      </c>
      <c r="F384">
        <v>-0.17297100000000001</v>
      </c>
      <c r="G384" s="3">
        <f>firm_data[[#This Row],[production]]-firm_data[[#This Row],[sales]]</f>
        <v>0</v>
      </c>
      <c r="H384">
        <v>0</v>
      </c>
      <c r="I384">
        <v>-0.69452899999999995</v>
      </c>
      <c r="J384">
        <v>2</v>
      </c>
      <c r="K384">
        <v>2</v>
      </c>
      <c r="L384">
        <v>0</v>
      </c>
      <c r="M384">
        <v>5</v>
      </c>
      <c r="N384">
        <v>0</v>
      </c>
      <c r="O384">
        <v>0</v>
      </c>
      <c r="P384">
        <v>0.99990000000000001</v>
      </c>
      <c r="Q384" s="7" t="s">
        <v>28</v>
      </c>
      <c r="R384" s="7" t="s">
        <v>151</v>
      </c>
      <c r="S384">
        <v>0</v>
      </c>
      <c r="T384">
        <v>6.9692400000000001</v>
      </c>
      <c r="U384">
        <v>6.0060099999999998</v>
      </c>
      <c r="V384">
        <v>0</v>
      </c>
      <c r="W384">
        <v>1.8311200000000001</v>
      </c>
      <c r="X384">
        <v>0</v>
      </c>
      <c r="Y384">
        <v>4</v>
      </c>
      <c r="Z384">
        <v>0</v>
      </c>
      <c r="AA384">
        <v>211.83600000000001</v>
      </c>
      <c r="AB384">
        <v>7.0658899999999996</v>
      </c>
    </row>
    <row r="385" spans="1:28" x14ac:dyDescent="0.25">
      <c r="A385">
        <v>384</v>
      </c>
      <c r="B385">
        <v>778115495</v>
      </c>
      <c r="C385" s="7" t="s">
        <v>27</v>
      </c>
      <c r="D385">
        <v>-0.17297100000000001</v>
      </c>
      <c r="E385">
        <v>1.91351</v>
      </c>
      <c r="F385">
        <v>-0.17297100000000001</v>
      </c>
      <c r="G385" s="3">
        <f>firm_data[[#This Row],[production]]-firm_data[[#This Row],[sales]]</f>
        <v>0</v>
      </c>
      <c r="H385">
        <v>0</v>
      </c>
      <c r="I385">
        <v>-0.69452899999999995</v>
      </c>
      <c r="J385">
        <v>2</v>
      </c>
      <c r="K385">
        <v>2</v>
      </c>
      <c r="L385">
        <v>0</v>
      </c>
      <c r="M385">
        <v>5</v>
      </c>
      <c r="N385">
        <v>0</v>
      </c>
      <c r="O385">
        <v>0</v>
      </c>
      <c r="P385">
        <v>0.99990000000000001</v>
      </c>
      <c r="Q385" s="7" t="s">
        <v>28</v>
      </c>
      <c r="R385" s="7" t="s">
        <v>151</v>
      </c>
      <c r="S385">
        <v>0</v>
      </c>
      <c r="T385">
        <v>6.8491200000000001</v>
      </c>
      <c r="U385">
        <v>6.0060099999999998</v>
      </c>
      <c r="V385">
        <v>0</v>
      </c>
      <c r="W385">
        <v>1.8311200000000001</v>
      </c>
      <c r="X385">
        <v>0</v>
      </c>
      <c r="Y385">
        <v>4</v>
      </c>
      <c r="Z385">
        <v>0</v>
      </c>
      <c r="AA385">
        <v>209.465</v>
      </c>
      <c r="AB385">
        <v>7.0658899999999996</v>
      </c>
    </row>
    <row r="386" spans="1:28" x14ac:dyDescent="0.25">
      <c r="A386">
        <v>385</v>
      </c>
      <c r="B386">
        <v>409348478</v>
      </c>
      <c r="C386" s="7" t="s">
        <v>27</v>
      </c>
      <c r="D386">
        <v>-0.17297100000000001</v>
      </c>
      <c r="E386">
        <v>1.91351</v>
      </c>
      <c r="F386">
        <v>-0.17297100000000001</v>
      </c>
      <c r="G386" s="3">
        <f>firm_data[[#This Row],[production]]-firm_data[[#This Row],[sales]]</f>
        <v>0</v>
      </c>
      <c r="H386">
        <v>0</v>
      </c>
      <c r="I386">
        <v>-0.69452899999999995</v>
      </c>
      <c r="J386">
        <v>2</v>
      </c>
      <c r="K386">
        <v>2</v>
      </c>
      <c r="L386">
        <v>0</v>
      </c>
      <c r="M386">
        <v>5</v>
      </c>
      <c r="N386">
        <v>0</v>
      </c>
      <c r="O386">
        <v>0</v>
      </c>
      <c r="P386">
        <v>0.99990000000000001</v>
      </c>
      <c r="Q386" s="7" t="s">
        <v>28</v>
      </c>
      <c r="R386" s="7" t="s">
        <v>151</v>
      </c>
      <c r="S386">
        <v>0</v>
      </c>
      <c r="T386">
        <v>6.7290000000000001</v>
      </c>
      <c r="U386">
        <v>6.0060099999999998</v>
      </c>
      <c r="V386">
        <v>0</v>
      </c>
      <c r="W386">
        <v>1.8311200000000001</v>
      </c>
      <c r="X386">
        <v>0</v>
      </c>
      <c r="Y386">
        <v>4</v>
      </c>
      <c r="Z386">
        <v>0</v>
      </c>
      <c r="AA386">
        <v>207.63300000000001</v>
      </c>
      <c r="AB386">
        <v>7.0658899999999996</v>
      </c>
    </row>
    <row r="387" spans="1:28" x14ac:dyDescent="0.25">
      <c r="A387">
        <v>386</v>
      </c>
      <c r="B387">
        <v>409216068</v>
      </c>
      <c r="C387" s="7" t="s">
        <v>27</v>
      </c>
      <c r="D387">
        <v>-0.17297100000000001</v>
      </c>
      <c r="E387">
        <v>1.91351</v>
      </c>
      <c r="F387">
        <v>-0.17297100000000001</v>
      </c>
      <c r="G387" s="3">
        <f>firm_data[[#This Row],[production]]-firm_data[[#This Row],[sales]]</f>
        <v>0</v>
      </c>
      <c r="H387">
        <v>0</v>
      </c>
      <c r="I387">
        <v>-0.69452899999999995</v>
      </c>
      <c r="J387">
        <v>2</v>
      </c>
      <c r="K387">
        <v>2</v>
      </c>
      <c r="L387">
        <v>0</v>
      </c>
      <c r="M387">
        <v>5</v>
      </c>
      <c r="N387">
        <v>0</v>
      </c>
      <c r="O387">
        <v>0</v>
      </c>
      <c r="P387">
        <v>0.99990000000000001</v>
      </c>
      <c r="Q387" s="7" t="s">
        <v>28</v>
      </c>
      <c r="R387" s="7" t="s">
        <v>151</v>
      </c>
      <c r="S387">
        <v>0</v>
      </c>
      <c r="T387">
        <v>6.6088800000000001</v>
      </c>
      <c r="U387">
        <v>6.0060099999999998</v>
      </c>
      <c r="V387">
        <v>0</v>
      </c>
      <c r="W387">
        <v>1.8311200000000001</v>
      </c>
      <c r="X387">
        <v>0</v>
      </c>
      <c r="Y387">
        <v>4</v>
      </c>
      <c r="Z387">
        <v>0</v>
      </c>
      <c r="AA387">
        <v>205.18100000000001</v>
      </c>
      <c r="AB387">
        <v>7.0658899999999996</v>
      </c>
    </row>
    <row r="388" spans="1:28" x14ac:dyDescent="0.25">
      <c r="A388">
        <v>387</v>
      </c>
      <c r="B388">
        <v>999756168</v>
      </c>
      <c r="C388" s="7" t="s">
        <v>27</v>
      </c>
      <c r="D388">
        <v>-0.17297100000000001</v>
      </c>
      <c r="E388">
        <v>1.91351</v>
      </c>
      <c r="F388">
        <v>-0.17297100000000001</v>
      </c>
      <c r="G388" s="3">
        <f>firm_data[[#This Row],[production]]-firm_data[[#This Row],[sales]]</f>
        <v>0</v>
      </c>
      <c r="H388">
        <v>0</v>
      </c>
      <c r="I388">
        <v>-0.69452899999999995</v>
      </c>
      <c r="J388">
        <v>2</v>
      </c>
      <c r="K388">
        <v>2</v>
      </c>
      <c r="L388">
        <v>0</v>
      </c>
      <c r="M388">
        <v>5</v>
      </c>
      <c r="N388">
        <v>0</v>
      </c>
      <c r="O388">
        <v>0</v>
      </c>
      <c r="P388">
        <v>0.99990000000000001</v>
      </c>
      <c r="Q388" s="7" t="s">
        <v>28</v>
      </c>
      <c r="R388" s="7" t="s">
        <v>151</v>
      </c>
      <c r="S388">
        <v>0</v>
      </c>
      <c r="T388">
        <v>6.4887600000000001</v>
      </c>
      <c r="U388">
        <v>6.0060099999999998</v>
      </c>
      <c r="V388">
        <v>0</v>
      </c>
      <c r="W388">
        <v>1.8311200000000001</v>
      </c>
      <c r="X388">
        <v>0</v>
      </c>
      <c r="Y388">
        <v>4</v>
      </c>
      <c r="Z388">
        <v>0</v>
      </c>
      <c r="AA388">
        <v>202.029</v>
      </c>
      <c r="AB388">
        <v>7.0658899999999996</v>
      </c>
    </row>
    <row r="389" spans="1:28" x14ac:dyDescent="0.25">
      <c r="A389">
        <v>388</v>
      </c>
      <c r="B389">
        <v>552694014</v>
      </c>
      <c r="C389" s="7" t="s">
        <v>27</v>
      </c>
      <c r="D389">
        <v>-0.17297100000000001</v>
      </c>
      <c r="E389">
        <v>1.91351</v>
      </c>
      <c r="F389">
        <v>-0.17297100000000001</v>
      </c>
      <c r="G389" s="3">
        <f>firm_data[[#This Row],[production]]-firm_data[[#This Row],[sales]]</f>
        <v>0</v>
      </c>
      <c r="H389">
        <v>0</v>
      </c>
      <c r="I389">
        <v>-0.69452899999999995</v>
      </c>
      <c r="J389">
        <v>2</v>
      </c>
      <c r="K389">
        <v>2</v>
      </c>
      <c r="L389">
        <v>0</v>
      </c>
      <c r="M389">
        <v>5</v>
      </c>
      <c r="N389">
        <v>0</v>
      </c>
      <c r="O389">
        <v>0</v>
      </c>
      <c r="P389">
        <v>0.99990000000000001</v>
      </c>
      <c r="Q389" s="7" t="s">
        <v>28</v>
      </c>
      <c r="R389" s="7" t="s">
        <v>151</v>
      </c>
      <c r="S389">
        <v>0</v>
      </c>
      <c r="T389">
        <v>6.3686400000000001</v>
      </c>
      <c r="U389">
        <v>6.0060099999999998</v>
      </c>
      <c r="V389">
        <v>0</v>
      </c>
      <c r="W389">
        <v>1.8311200000000001</v>
      </c>
      <c r="X389">
        <v>0</v>
      </c>
      <c r="Y389">
        <v>4</v>
      </c>
      <c r="Z389">
        <v>0</v>
      </c>
      <c r="AA389">
        <v>200.239</v>
      </c>
      <c r="AB389">
        <v>7.0658899999999996</v>
      </c>
    </row>
    <row r="390" spans="1:28" x14ac:dyDescent="0.25">
      <c r="A390">
        <v>389</v>
      </c>
      <c r="B390">
        <v>541287964</v>
      </c>
      <c r="C390" s="7" t="s">
        <v>27</v>
      </c>
      <c r="D390">
        <v>-32.1083</v>
      </c>
      <c r="E390">
        <v>1.91351</v>
      </c>
      <c r="F390">
        <v>-32.1083</v>
      </c>
      <c r="G390" s="3">
        <f>firm_data[[#This Row],[production]]-firm_data[[#This Row],[sales]]</f>
        <v>0</v>
      </c>
      <c r="H390">
        <v>0</v>
      </c>
      <c r="I390">
        <v>-0.69452899999999995</v>
      </c>
      <c r="J390">
        <v>2</v>
      </c>
      <c r="K390">
        <v>2</v>
      </c>
      <c r="L390">
        <v>0</v>
      </c>
      <c r="M390">
        <v>5</v>
      </c>
      <c r="N390">
        <v>0</v>
      </c>
      <c r="O390">
        <v>0</v>
      </c>
      <c r="P390">
        <v>0.99990000000000001</v>
      </c>
      <c r="Q390" s="7" t="s">
        <v>28</v>
      </c>
      <c r="R390" s="7" t="s">
        <v>151</v>
      </c>
      <c r="S390">
        <v>0</v>
      </c>
      <c r="T390">
        <v>7.2485200000000001</v>
      </c>
      <c r="U390">
        <v>6.0060099999999998</v>
      </c>
      <c r="V390">
        <v>31.935300000000002</v>
      </c>
      <c r="W390">
        <v>1.8311200000000001</v>
      </c>
      <c r="X390">
        <v>1.1777299999999999</v>
      </c>
      <c r="Y390">
        <v>4</v>
      </c>
      <c r="Z390">
        <v>36.999699999999997</v>
      </c>
      <c r="AA390">
        <v>227.72</v>
      </c>
      <c r="AB390">
        <v>7.0658899999999996</v>
      </c>
    </row>
    <row r="391" spans="1:28" x14ac:dyDescent="0.25">
      <c r="A391">
        <v>390</v>
      </c>
      <c r="B391">
        <v>453364300</v>
      </c>
      <c r="C391" s="7" t="s">
        <v>27</v>
      </c>
      <c r="D391">
        <v>-0.17297100000000001</v>
      </c>
      <c r="E391">
        <v>1.91351</v>
      </c>
      <c r="F391">
        <v>-0.17297100000000001</v>
      </c>
      <c r="G391" s="3">
        <f>firm_data[[#This Row],[production]]-firm_data[[#This Row],[sales]]</f>
        <v>0</v>
      </c>
      <c r="H391">
        <v>0</v>
      </c>
      <c r="I391">
        <v>-0.69452899999999995</v>
      </c>
      <c r="J391">
        <v>2</v>
      </c>
      <c r="K391">
        <v>2</v>
      </c>
      <c r="L391">
        <v>0</v>
      </c>
      <c r="M391">
        <v>5</v>
      </c>
      <c r="N391">
        <v>0</v>
      </c>
      <c r="O391">
        <v>0</v>
      </c>
      <c r="P391">
        <v>0.99990000000000001</v>
      </c>
      <c r="Q391" s="7" t="s">
        <v>28</v>
      </c>
      <c r="R391" s="7" t="s">
        <v>151</v>
      </c>
      <c r="S391">
        <v>0</v>
      </c>
      <c r="T391">
        <v>7.1284000000000001</v>
      </c>
      <c r="U391">
        <v>6.0060099999999998</v>
      </c>
      <c r="V391">
        <v>0</v>
      </c>
      <c r="W391">
        <v>1.8311200000000001</v>
      </c>
      <c r="X391">
        <v>0</v>
      </c>
      <c r="Y391">
        <v>4</v>
      </c>
      <c r="Z391">
        <v>0</v>
      </c>
      <c r="AA391">
        <v>226.34399999999999</v>
      </c>
      <c r="AB391">
        <v>7.0658899999999996</v>
      </c>
    </row>
    <row r="392" spans="1:28" x14ac:dyDescent="0.25">
      <c r="A392">
        <v>391</v>
      </c>
      <c r="B392">
        <v>779227039</v>
      </c>
      <c r="C392" s="7" t="s">
        <v>27</v>
      </c>
      <c r="D392">
        <v>-0.17297100000000001</v>
      </c>
      <c r="E392">
        <v>1.91351</v>
      </c>
      <c r="F392">
        <v>-0.17297100000000001</v>
      </c>
      <c r="G392" s="3">
        <f>firm_data[[#This Row],[production]]-firm_data[[#This Row],[sales]]</f>
        <v>0</v>
      </c>
      <c r="H392">
        <v>0</v>
      </c>
      <c r="I392">
        <v>-0.69452899999999995</v>
      </c>
      <c r="J392">
        <v>2</v>
      </c>
      <c r="K392">
        <v>2</v>
      </c>
      <c r="L392">
        <v>0</v>
      </c>
      <c r="M392">
        <v>5</v>
      </c>
      <c r="N392">
        <v>0</v>
      </c>
      <c r="O392">
        <v>0</v>
      </c>
      <c r="P392">
        <v>0.99990000000000001</v>
      </c>
      <c r="Q392" s="7" t="s">
        <v>28</v>
      </c>
      <c r="R392" s="7" t="s">
        <v>151</v>
      </c>
      <c r="S392">
        <v>0</v>
      </c>
      <c r="T392">
        <v>7.0082800000000001</v>
      </c>
      <c r="U392">
        <v>6.0060099999999998</v>
      </c>
      <c r="V392">
        <v>0</v>
      </c>
      <c r="W392">
        <v>1.8311200000000001</v>
      </c>
      <c r="X392">
        <v>0</v>
      </c>
      <c r="Y392">
        <v>4</v>
      </c>
      <c r="Z392">
        <v>0</v>
      </c>
      <c r="AA392">
        <v>223.946</v>
      </c>
      <c r="AB392">
        <v>7.0658899999999996</v>
      </c>
    </row>
    <row r="393" spans="1:28" x14ac:dyDescent="0.25">
      <c r="A393">
        <v>392</v>
      </c>
      <c r="B393">
        <v>148017212</v>
      </c>
      <c r="C393" s="7" t="s">
        <v>27</v>
      </c>
      <c r="D393">
        <v>-17.388000000000002</v>
      </c>
      <c r="E393">
        <v>1.91351</v>
      </c>
      <c r="F393">
        <v>-17.388000000000002</v>
      </c>
      <c r="G393" s="3">
        <f>firm_data[[#This Row],[production]]-firm_data[[#This Row],[sales]]</f>
        <v>0</v>
      </c>
      <c r="H393">
        <v>0</v>
      </c>
      <c r="I393">
        <v>-0.69452899999999995</v>
      </c>
      <c r="J393">
        <v>2</v>
      </c>
      <c r="K393">
        <v>2</v>
      </c>
      <c r="L393">
        <v>0</v>
      </c>
      <c r="M393">
        <v>5</v>
      </c>
      <c r="N393">
        <v>0</v>
      </c>
      <c r="O393">
        <v>0</v>
      </c>
      <c r="P393">
        <v>0.99990000000000001</v>
      </c>
      <c r="Q393" s="7" t="s">
        <v>28</v>
      </c>
      <c r="R393" s="7" t="s">
        <v>151</v>
      </c>
      <c r="S393">
        <v>0</v>
      </c>
      <c r="T393">
        <v>7.4262499999999996</v>
      </c>
      <c r="U393">
        <v>6.0060099999999998</v>
      </c>
      <c r="V393">
        <v>17.215</v>
      </c>
      <c r="W393">
        <v>1.8311200000000001</v>
      </c>
      <c r="X393">
        <v>0.53809099999999999</v>
      </c>
      <c r="Y393">
        <v>4</v>
      </c>
      <c r="Z393">
        <v>17.234300000000001</v>
      </c>
      <c r="AA393">
        <v>237.85300000000001</v>
      </c>
      <c r="AB393">
        <v>7.0658899999999996</v>
      </c>
    </row>
    <row r="394" spans="1:28" x14ac:dyDescent="0.25">
      <c r="A394">
        <v>393</v>
      </c>
      <c r="B394">
        <v>987179134</v>
      </c>
      <c r="C394" s="7" t="s">
        <v>27</v>
      </c>
      <c r="D394">
        <v>-0.17297100000000001</v>
      </c>
      <c r="E394">
        <v>1.91351</v>
      </c>
      <c r="F394">
        <v>-0.17297100000000001</v>
      </c>
      <c r="G394" s="3">
        <f>firm_data[[#This Row],[production]]-firm_data[[#This Row],[sales]]</f>
        <v>0</v>
      </c>
      <c r="H394">
        <v>0</v>
      </c>
      <c r="I394">
        <v>-0.69452899999999995</v>
      </c>
      <c r="J394">
        <v>2</v>
      </c>
      <c r="K394">
        <v>2</v>
      </c>
      <c r="L394">
        <v>0</v>
      </c>
      <c r="M394">
        <v>5</v>
      </c>
      <c r="N394">
        <v>0</v>
      </c>
      <c r="O394">
        <v>0</v>
      </c>
      <c r="P394">
        <v>0.99990000000000001</v>
      </c>
      <c r="Q394" s="7" t="s">
        <v>28</v>
      </c>
      <c r="R394" s="7" t="s">
        <v>151</v>
      </c>
      <c r="S394">
        <v>0</v>
      </c>
      <c r="T394">
        <v>7.3061299999999996</v>
      </c>
      <c r="U394">
        <v>6.0060099999999998</v>
      </c>
      <c r="V394">
        <v>0</v>
      </c>
      <c r="W394">
        <v>1.8311200000000001</v>
      </c>
      <c r="X394">
        <v>0.12012</v>
      </c>
      <c r="Y394">
        <v>4</v>
      </c>
      <c r="Z394">
        <v>3.8755899999999999</v>
      </c>
      <c r="AA394">
        <v>235.727</v>
      </c>
      <c r="AB394">
        <v>7.0658899999999996</v>
      </c>
    </row>
    <row r="395" spans="1:28" x14ac:dyDescent="0.25">
      <c r="A395">
        <v>394</v>
      </c>
      <c r="B395">
        <v>180434972</v>
      </c>
      <c r="C395" s="7" t="s">
        <v>27</v>
      </c>
      <c r="D395">
        <v>-0.17297100000000001</v>
      </c>
      <c r="E395">
        <v>1.91351</v>
      </c>
      <c r="F395">
        <v>-0.17297100000000001</v>
      </c>
      <c r="G395" s="3">
        <f>firm_data[[#This Row],[production]]-firm_data[[#This Row],[sales]]</f>
        <v>0</v>
      </c>
      <c r="H395">
        <v>0</v>
      </c>
      <c r="I395">
        <v>-0.69452899999999995</v>
      </c>
      <c r="J395">
        <v>2</v>
      </c>
      <c r="K395">
        <v>2</v>
      </c>
      <c r="L395">
        <v>0</v>
      </c>
      <c r="M395">
        <v>5</v>
      </c>
      <c r="N395">
        <v>0</v>
      </c>
      <c r="O395">
        <v>0</v>
      </c>
      <c r="P395">
        <v>0.99990000000000001</v>
      </c>
      <c r="Q395" s="7" t="s">
        <v>28</v>
      </c>
      <c r="R395" s="7" t="s">
        <v>151</v>
      </c>
      <c r="S395">
        <v>0</v>
      </c>
      <c r="T395">
        <v>7.1860099999999996</v>
      </c>
      <c r="U395">
        <v>6.0060099999999998</v>
      </c>
      <c r="V395">
        <v>0</v>
      </c>
      <c r="W395">
        <v>1.8311200000000001</v>
      </c>
      <c r="X395">
        <v>0</v>
      </c>
      <c r="Y395">
        <v>4</v>
      </c>
      <c r="Z395">
        <v>0</v>
      </c>
      <c r="AA395">
        <v>233.49700000000001</v>
      </c>
      <c r="AB395">
        <v>7.0658899999999996</v>
      </c>
    </row>
    <row r="396" spans="1:28" x14ac:dyDescent="0.25">
      <c r="A396">
        <v>395</v>
      </c>
      <c r="B396">
        <v>74258728</v>
      </c>
      <c r="C396" s="7" t="s">
        <v>27</v>
      </c>
      <c r="D396">
        <v>-0.17297100000000001</v>
      </c>
      <c r="E396">
        <v>1.91351</v>
      </c>
      <c r="F396">
        <v>-0.17297100000000001</v>
      </c>
      <c r="G396" s="3">
        <f>firm_data[[#This Row],[production]]-firm_data[[#This Row],[sales]]</f>
        <v>0</v>
      </c>
      <c r="H396">
        <v>0</v>
      </c>
      <c r="I396">
        <v>-0.69452899999999995</v>
      </c>
      <c r="J396">
        <v>2</v>
      </c>
      <c r="K396">
        <v>2</v>
      </c>
      <c r="L396">
        <v>0</v>
      </c>
      <c r="M396">
        <v>5</v>
      </c>
      <c r="N396">
        <v>0</v>
      </c>
      <c r="O396">
        <v>0</v>
      </c>
      <c r="P396">
        <v>0.99990000000000001</v>
      </c>
      <c r="Q396" s="7" t="s">
        <v>28</v>
      </c>
      <c r="R396" s="7" t="s">
        <v>151</v>
      </c>
      <c r="S396">
        <v>0</v>
      </c>
      <c r="T396">
        <v>7.0658899999999996</v>
      </c>
      <c r="U396">
        <v>6.0060099999999998</v>
      </c>
      <c r="V396">
        <v>0</v>
      </c>
      <c r="W396">
        <v>1.8311200000000001</v>
      </c>
      <c r="X396">
        <v>0</v>
      </c>
      <c r="Y396">
        <v>4</v>
      </c>
      <c r="Z396">
        <v>0</v>
      </c>
      <c r="AA396">
        <v>230.911</v>
      </c>
      <c r="AB396">
        <v>7.0658899999999996</v>
      </c>
    </row>
    <row r="397" spans="1:28" x14ac:dyDescent="0.25">
      <c r="A397">
        <v>396</v>
      </c>
      <c r="B397">
        <v>464333262</v>
      </c>
      <c r="C397" s="7" t="s">
        <v>27</v>
      </c>
      <c r="D397">
        <v>-0.17297100000000001</v>
      </c>
      <c r="E397">
        <v>1.91351</v>
      </c>
      <c r="F397">
        <v>-0.17297100000000001</v>
      </c>
      <c r="G397" s="3">
        <f>firm_data[[#This Row],[production]]-firm_data[[#This Row],[sales]]</f>
        <v>0</v>
      </c>
      <c r="H397">
        <v>0</v>
      </c>
      <c r="I397">
        <v>-0.69452899999999995</v>
      </c>
      <c r="J397">
        <v>2</v>
      </c>
      <c r="K397">
        <v>2</v>
      </c>
      <c r="L397">
        <v>0</v>
      </c>
      <c r="M397">
        <v>5</v>
      </c>
      <c r="N397">
        <v>0</v>
      </c>
      <c r="O397">
        <v>0</v>
      </c>
      <c r="P397">
        <v>0.99990000000000001</v>
      </c>
      <c r="Q397" s="7" t="s">
        <v>28</v>
      </c>
      <c r="R397" s="7" t="s">
        <v>151</v>
      </c>
      <c r="S397">
        <v>0</v>
      </c>
      <c r="T397">
        <v>6.9457700000000004</v>
      </c>
      <c r="U397">
        <v>6.0060099999999998</v>
      </c>
      <c r="V397">
        <v>0</v>
      </c>
      <c r="W397">
        <v>1.8311200000000001</v>
      </c>
      <c r="X397">
        <v>0</v>
      </c>
      <c r="Y397">
        <v>4</v>
      </c>
      <c r="Z397">
        <v>0</v>
      </c>
      <c r="AA397">
        <v>227.25200000000001</v>
      </c>
      <c r="AB397">
        <v>7.0658899999999996</v>
      </c>
    </row>
    <row r="398" spans="1:28" x14ac:dyDescent="0.25">
      <c r="A398">
        <v>397</v>
      </c>
      <c r="B398">
        <v>101181173</v>
      </c>
      <c r="C398" s="7" t="s">
        <v>27</v>
      </c>
      <c r="D398">
        <v>-0.17297100000000001</v>
      </c>
      <c r="E398">
        <v>1.91351</v>
      </c>
      <c r="F398">
        <v>-0.17297100000000001</v>
      </c>
      <c r="G398" s="3">
        <f>firm_data[[#This Row],[production]]-firm_data[[#This Row],[sales]]</f>
        <v>0</v>
      </c>
      <c r="H398">
        <v>0</v>
      </c>
      <c r="I398">
        <v>-0.69452899999999995</v>
      </c>
      <c r="J398">
        <v>2</v>
      </c>
      <c r="K398">
        <v>2</v>
      </c>
      <c r="L398">
        <v>0</v>
      </c>
      <c r="M398">
        <v>5</v>
      </c>
      <c r="N398">
        <v>0</v>
      </c>
      <c r="O398">
        <v>0</v>
      </c>
      <c r="P398">
        <v>0.99990000000000001</v>
      </c>
      <c r="Q398" s="7" t="s">
        <v>28</v>
      </c>
      <c r="R398" s="7" t="s">
        <v>151</v>
      </c>
      <c r="S398">
        <v>0</v>
      </c>
      <c r="T398">
        <v>6.8256500000000004</v>
      </c>
      <c r="U398">
        <v>6.0060099999999998</v>
      </c>
      <c r="V398">
        <v>0</v>
      </c>
      <c r="W398">
        <v>1.8311200000000001</v>
      </c>
      <c r="X398">
        <v>0</v>
      </c>
      <c r="Y398">
        <v>4</v>
      </c>
      <c r="Z398">
        <v>0</v>
      </c>
      <c r="AA398">
        <v>222.876</v>
      </c>
      <c r="AB398">
        <v>7.0658899999999996</v>
      </c>
    </row>
    <row r="399" spans="1:28" x14ac:dyDescent="0.25">
      <c r="A399">
        <v>398</v>
      </c>
      <c r="B399">
        <v>181233041</v>
      </c>
      <c r="C399" s="7" t="s">
        <v>27</v>
      </c>
      <c r="D399">
        <v>-16.952300000000001</v>
      </c>
      <c r="E399">
        <v>1.91351</v>
      </c>
      <c r="F399">
        <v>-16.952300000000001</v>
      </c>
      <c r="G399" s="3">
        <f>firm_data[[#This Row],[production]]-firm_data[[#This Row],[sales]]</f>
        <v>0</v>
      </c>
      <c r="H399">
        <v>0</v>
      </c>
      <c r="I399">
        <v>-0.69452899999999995</v>
      </c>
      <c r="J399">
        <v>2</v>
      </c>
      <c r="K399">
        <v>2</v>
      </c>
      <c r="L399">
        <v>0</v>
      </c>
      <c r="M399">
        <v>5</v>
      </c>
      <c r="N399">
        <v>0</v>
      </c>
      <c r="O399">
        <v>0</v>
      </c>
      <c r="P399">
        <v>0.99990000000000001</v>
      </c>
      <c r="Q399" s="7" t="s">
        <v>28</v>
      </c>
      <c r="R399" s="7" t="s">
        <v>151</v>
      </c>
      <c r="S399">
        <v>0</v>
      </c>
      <c r="T399">
        <v>7.2055300000000004</v>
      </c>
      <c r="U399">
        <v>6.0060099999999998</v>
      </c>
      <c r="V399">
        <v>16.779399999999999</v>
      </c>
      <c r="W399">
        <v>1.8311200000000001</v>
      </c>
      <c r="X399">
        <v>0.72072099999999995</v>
      </c>
      <c r="Y399">
        <v>4</v>
      </c>
      <c r="Z399">
        <v>23.656400000000001</v>
      </c>
      <c r="AA399">
        <v>236.50899999999999</v>
      </c>
      <c r="AB399">
        <v>7.0658899999999996</v>
      </c>
    </row>
    <row r="400" spans="1:28" x14ac:dyDescent="0.25">
      <c r="A400">
        <v>399</v>
      </c>
      <c r="B400">
        <v>757583585</v>
      </c>
      <c r="C400" s="7" t="s">
        <v>27</v>
      </c>
      <c r="D400">
        <v>-0.17297100000000001</v>
      </c>
      <c r="E400">
        <v>1.91351</v>
      </c>
      <c r="F400">
        <v>-0.17297100000000001</v>
      </c>
      <c r="G400" s="3">
        <f>firm_data[[#This Row],[production]]-firm_data[[#This Row],[sales]]</f>
        <v>0</v>
      </c>
      <c r="H400">
        <v>0</v>
      </c>
      <c r="I400">
        <v>-0.69452899999999995</v>
      </c>
      <c r="J400">
        <v>2</v>
      </c>
      <c r="K400">
        <v>2</v>
      </c>
      <c r="L400">
        <v>0</v>
      </c>
      <c r="M400">
        <v>5</v>
      </c>
      <c r="N400">
        <v>0</v>
      </c>
      <c r="O400">
        <v>0</v>
      </c>
      <c r="P400">
        <v>0.99990000000000001</v>
      </c>
      <c r="Q400" s="7" t="s">
        <v>28</v>
      </c>
      <c r="R400" s="7" t="s">
        <v>151</v>
      </c>
      <c r="S400">
        <v>0</v>
      </c>
      <c r="T400">
        <v>7.0854100000000004</v>
      </c>
      <c r="U400">
        <v>6.0060099999999998</v>
      </c>
      <c r="V400">
        <v>0</v>
      </c>
      <c r="W400">
        <v>1.8311200000000001</v>
      </c>
      <c r="X400">
        <v>0</v>
      </c>
      <c r="Y400">
        <v>4</v>
      </c>
      <c r="Z400">
        <v>0</v>
      </c>
      <c r="AA400">
        <v>235.39599999999999</v>
      </c>
      <c r="AB400">
        <v>7.0658899999999996</v>
      </c>
    </row>
    <row r="401" spans="1:28" x14ac:dyDescent="0.25">
      <c r="A401">
        <v>400</v>
      </c>
      <c r="B401">
        <v>388104017</v>
      </c>
      <c r="C401" s="7" t="s">
        <v>27</v>
      </c>
      <c r="D401">
        <v>-15.5185</v>
      </c>
      <c r="E401">
        <v>1.91351</v>
      </c>
      <c r="F401">
        <v>-15.5185</v>
      </c>
      <c r="G401" s="3">
        <f>firm_data[[#This Row],[production]]-firm_data[[#This Row],[sales]]</f>
        <v>0</v>
      </c>
      <c r="H401">
        <v>0</v>
      </c>
      <c r="I401">
        <v>-0.69452899999999995</v>
      </c>
      <c r="J401">
        <v>2</v>
      </c>
      <c r="K401">
        <v>2</v>
      </c>
      <c r="L401">
        <v>0</v>
      </c>
      <c r="M401">
        <v>5</v>
      </c>
      <c r="N401">
        <v>0</v>
      </c>
      <c r="O401">
        <v>0</v>
      </c>
      <c r="P401">
        <v>0.99990000000000001</v>
      </c>
      <c r="Q401" s="7" t="s">
        <v>28</v>
      </c>
      <c r="R401" s="7" t="s">
        <v>151</v>
      </c>
      <c r="S401">
        <v>0</v>
      </c>
      <c r="T401">
        <v>7.4262499999999996</v>
      </c>
      <c r="U401">
        <v>6.0060099999999998</v>
      </c>
      <c r="V401">
        <v>15.345499999999999</v>
      </c>
      <c r="W401">
        <v>1.8311200000000001</v>
      </c>
      <c r="X401">
        <v>0.46096100000000001</v>
      </c>
      <c r="Y401">
        <v>4</v>
      </c>
      <c r="Z401">
        <v>15.329000000000001</v>
      </c>
      <c r="AA401">
        <v>246.95500000000001</v>
      </c>
      <c r="AB401">
        <v>7.0658899999999996</v>
      </c>
    </row>
    <row r="402" spans="1:28" x14ac:dyDescent="0.25">
      <c r="A402">
        <v>401</v>
      </c>
      <c r="B402">
        <v>615048719</v>
      </c>
      <c r="C402" s="7" t="s">
        <v>27</v>
      </c>
      <c r="D402">
        <v>-0.17297100000000001</v>
      </c>
      <c r="E402">
        <v>1.91351</v>
      </c>
      <c r="F402">
        <v>-0.17297100000000001</v>
      </c>
      <c r="G402" s="3">
        <f>firm_data[[#This Row],[production]]-firm_data[[#This Row],[sales]]</f>
        <v>0</v>
      </c>
      <c r="H402">
        <v>0</v>
      </c>
      <c r="I402">
        <v>-0.69452899999999995</v>
      </c>
      <c r="J402">
        <v>2</v>
      </c>
      <c r="K402">
        <v>2</v>
      </c>
      <c r="L402">
        <v>0</v>
      </c>
      <c r="M402">
        <v>5</v>
      </c>
      <c r="N402">
        <v>0</v>
      </c>
      <c r="O402">
        <v>0</v>
      </c>
      <c r="P402">
        <v>0.99990000000000001</v>
      </c>
      <c r="Q402" s="7" t="s">
        <v>28</v>
      </c>
      <c r="R402" s="7" t="s">
        <v>151</v>
      </c>
      <c r="S402">
        <v>0</v>
      </c>
      <c r="T402">
        <v>7.3061299999999996</v>
      </c>
      <c r="U402">
        <v>6.0060099999999998</v>
      </c>
      <c r="V402">
        <v>0</v>
      </c>
      <c r="W402">
        <v>1.8311200000000001</v>
      </c>
      <c r="X402">
        <v>0</v>
      </c>
      <c r="Y402">
        <v>4</v>
      </c>
      <c r="Z402">
        <v>0</v>
      </c>
      <c r="AA402">
        <v>245.678</v>
      </c>
      <c r="AB402">
        <v>7.0658899999999996</v>
      </c>
    </row>
    <row r="403" spans="1:28" x14ac:dyDescent="0.25">
      <c r="A403">
        <v>402</v>
      </c>
      <c r="B403">
        <v>681962565</v>
      </c>
      <c r="C403" s="7" t="s">
        <v>27</v>
      </c>
      <c r="D403">
        <v>-0.17297100000000001</v>
      </c>
      <c r="E403">
        <v>1.91351</v>
      </c>
      <c r="F403">
        <v>-0.17297100000000001</v>
      </c>
      <c r="G403" s="3">
        <f>firm_data[[#This Row],[production]]-firm_data[[#This Row],[sales]]</f>
        <v>0</v>
      </c>
      <c r="H403">
        <v>0</v>
      </c>
      <c r="I403">
        <v>-0.69452899999999995</v>
      </c>
      <c r="J403">
        <v>2</v>
      </c>
      <c r="K403">
        <v>2</v>
      </c>
      <c r="L403">
        <v>0</v>
      </c>
      <c r="M403">
        <v>5</v>
      </c>
      <c r="N403">
        <v>0</v>
      </c>
      <c r="O403">
        <v>0</v>
      </c>
      <c r="P403">
        <v>0.99990000000000001</v>
      </c>
      <c r="Q403" s="7" t="s">
        <v>28</v>
      </c>
      <c r="R403" s="7" t="s">
        <v>151</v>
      </c>
      <c r="S403">
        <v>0</v>
      </c>
      <c r="T403">
        <v>7.1860099999999996</v>
      </c>
      <c r="U403">
        <v>6.0060099999999998</v>
      </c>
      <c r="V403">
        <v>0</v>
      </c>
      <c r="W403">
        <v>1.8311200000000001</v>
      </c>
      <c r="X403">
        <v>0</v>
      </c>
      <c r="Y403">
        <v>4</v>
      </c>
      <c r="Z403">
        <v>0</v>
      </c>
      <c r="AA403">
        <v>240.97900000000001</v>
      </c>
      <c r="AB403">
        <v>7.0658899999999996</v>
      </c>
    </row>
    <row r="404" spans="1:28" x14ac:dyDescent="0.25">
      <c r="A404">
        <v>403</v>
      </c>
      <c r="B404">
        <v>533863293</v>
      </c>
      <c r="C404" s="7" t="s">
        <v>27</v>
      </c>
      <c r="D404">
        <v>-0.17297100000000001</v>
      </c>
      <c r="E404">
        <v>1.91351</v>
      </c>
      <c r="F404">
        <v>-0.17297100000000001</v>
      </c>
      <c r="G404" s="3">
        <f>firm_data[[#This Row],[production]]-firm_data[[#This Row],[sales]]</f>
        <v>0</v>
      </c>
      <c r="H404">
        <v>0</v>
      </c>
      <c r="I404">
        <v>-0.69452899999999995</v>
      </c>
      <c r="J404">
        <v>2</v>
      </c>
      <c r="K404">
        <v>2</v>
      </c>
      <c r="L404">
        <v>0</v>
      </c>
      <c r="M404">
        <v>5</v>
      </c>
      <c r="N404">
        <v>0</v>
      </c>
      <c r="O404">
        <v>0</v>
      </c>
      <c r="P404">
        <v>0.99990000000000001</v>
      </c>
      <c r="Q404" s="7" t="s">
        <v>28</v>
      </c>
      <c r="R404" s="7" t="s">
        <v>151</v>
      </c>
      <c r="S404">
        <v>0</v>
      </c>
      <c r="T404">
        <v>7.0658899999999996</v>
      </c>
      <c r="U404">
        <v>6.0060099999999998</v>
      </c>
      <c r="V404">
        <v>0</v>
      </c>
      <c r="W404">
        <v>1.8311200000000001</v>
      </c>
      <c r="X404">
        <v>0</v>
      </c>
      <c r="Y404">
        <v>4</v>
      </c>
      <c r="Z404">
        <v>0</v>
      </c>
      <c r="AA404">
        <v>237.417</v>
      </c>
      <c r="AB404">
        <v>7.0658899999999996</v>
      </c>
    </row>
    <row r="405" spans="1:28" x14ac:dyDescent="0.25">
      <c r="A405">
        <v>404</v>
      </c>
      <c r="B405">
        <v>967843412</v>
      </c>
      <c r="C405" s="7" t="s">
        <v>27</v>
      </c>
      <c r="D405">
        <v>-0.17297100000000001</v>
      </c>
      <c r="E405">
        <v>1.91351</v>
      </c>
      <c r="F405">
        <v>-0.17297100000000001</v>
      </c>
      <c r="G405" s="3">
        <f>firm_data[[#This Row],[production]]-firm_data[[#This Row],[sales]]</f>
        <v>0</v>
      </c>
      <c r="H405">
        <v>0</v>
      </c>
      <c r="I405">
        <v>-0.69452899999999995</v>
      </c>
      <c r="J405">
        <v>2</v>
      </c>
      <c r="K405">
        <v>2</v>
      </c>
      <c r="L405">
        <v>0</v>
      </c>
      <c r="M405">
        <v>5</v>
      </c>
      <c r="N405">
        <v>0</v>
      </c>
      <c r="O405">
        <v>0</v>
      </c>
      <c r="P405">
        <v>0.99990000000000001</v>
      </c>
      <c r="Q405" s="7" t="s">
        <v>28</v>
      </c>
      <c r="R405" s="7" t="s">
        <v>151</v>
      </c>
      <c r="S405">
        <v>0</v>
      </c>
      <c r="T405">
        <v>6.9457700000000004</v>
      </c>
      <c r="U405">
        <v>6.0060099999999998</v>
      </c>
      <c r="V405">
        <v>0</v>
      </c>
      <c r="W405">
        <v>1.8311200000000001</v>
      </c>
      <c r="X405">
        <v>0</v>
      </c>
      <c r="Y405">
        <v>4</v>
      </c>
      <c r="Z405">
        <v>0</v>
      </c>
      <c r="AA405">
        <v>234.76499999999999</v>
      </c>
      <c r="AB405">
        <v>7.0658899999999996</v>
      </c>
    </row>
    <row r="406" spans="1:28" x14ac:dyDescent="0.25">
      <c r="A406">
        <v>405</v>
      </c>
      <c r="B406">
        <v>341320993</v>
      </c>
      <c r="C406" s="7" t="s">
        <v>27</v>
      </c>
      <c r="D406">
        <v>-17.307099999999998</v>
      </c>
      <c r="E406">
        <v>1.91351</v>
      </c>
      <c r="F406">
        <v>-17.307099999999998</v>
      </c>
      <c r="G406" s="3">
        <f>firm_data[[#This Row],[production]]-firm_data[[#This Row],[sales]]</f>
        <v>0</v>
      </c>
      <c r="H406">
        <v>0</v>
      </c>
      <c r="I406">
        <v>-0.69452899999999995</v>
      </c>
      <c r="J406">
        <v>2</v>
      </c>
      <c r="K406">
        <v>2</v>
      </c>
      <c r="L406">
        <v>0</v>
      </c>
      <c r="M406">
        <v>5</v>
      </c>
      <c r="N406">
        <v>0</v>
      </c>
      <c r="O406">
        <v>0</v>
      </c>
      <c r="P406">
        <v>0.99990000000000001</v>
      </c>
      <c r="Q406" s="7" t="s">
        <v>28</v>
      </c>
      <c r="R406" s="7" t="s">
        <v>151</v>
      </c>
      <c r="S406">
        <v>0</v>
      </c>
      <c r="T406">
        <v>7.3256500000000004</v>
      </c>
      <c r="U406">
        <v>6.0060099999999998</v>
      </c>
      <c r="V406">
        <v>17.1341</v>
      </c>
      <c r="W406">
        <v>1.8311200000000001</v>
      </c>
      <c r="X406">
        <v>0.60060100000000005</v>
      </c>
      <c r="Y406">
        <v>4</v>
      </c>
      <c r="Z406">
        <v>20.357500000000002</v>
      </c>
      <c r="AA406">
        <v>248.304</v>
      </c>
      <c r="AB406">
        <v>7.0658899999999996</v>
      </c>
    </row>
    <row r="407" spans="1:28" x14ac:dyDescent="0.25">
      <c r="A407">
        <v>406</v>
      </c>
      <c r="B407">
        <v>803839102</v>
      </c>
      <c r="C407" s="7" t="s">
        <v>27</v>
      </c>
      <c r="D407">
        <v>-7.6171899999999999</v>
      </c>
      <c r="E407">
        <v>1.91351</v>
      </c>
      <c r="F407">
        <v>-7.6171899999999999</v>
      </c>
      <c r="G407" s="3">
        <f>firm_data[[#This Row],[production]]-firm_data[[#This Row],[sales]]</f>
        <v>0</v>
      </c>
      <c r="H407">
        <v>0</v>
      </c>
      <c r="I407">
        <v>-0.69452899999999995</v>
      </c>
      <c r="J407">
        <v>2</v>
      </c>
      <c r="K407">
        <v>2</v>
      </c>
      <c r="L407">
        <v>0</v>
      </c>
      <c r="M407">
        <v>5</v>
      </c>
      <c r="N407">
        <v>0</v>
      </c>
      <c r="O407">
        <v>0</v>
      </c>
      <c r="P407">
        <v>0.99990000000000001</v>
      </c>
      <c r="Q407" s="7" t="s">
        <v>28</v>
      </c>
      <c r="R407" s="7" t="s">
        <v>151</v>
      </c>
      <c r="S407">
        <v>0</v>
      </c>
      <c r="T407">
        <v>7.4262499999999996</v>
      </c>
      <c r="U407">
        <v>6.0060099999999998</v>
      </c>
      <c r="V407">
        <v>7.4442199999999996</v>
      </c>
      <c r="W407">
        <v>1.8311200000000001</v>
      </c>
      <c r="X407">
        <v>0.220721</v>
      </c>
      <c r="Y407">
        <v>4</v>
      </c>
      <c r="Z407">
        <v>7.6378899999999996</v>
      </c>
      <c r="AA407">
        <v>256.98</v>
      </c>
      <c r="AB407">
        <v>7.0658899999999996</v>
      </c>
    </row>
    <row r="408" spans="1:28" x14ac:dyDescent="0.25">
      <c r="A408">
        <v>407</v>
      </c>
      <c r="B408">
        <v>343360349</v>
      </c>
      <c r="C408" s="7" t="s">
        <v>27</v>
      </c>
      <c r="D408">
        <v>-0.17297100000000001</v>
      </c>
      <c r="E408">
        <v>1.91351</v>
      </c>
      <c r="F408">
        <v>-0.17297100000000001</v>
      </c>
      <c r="G408" s="3">
        <f>firm_data[[#This Row],[production]]-firm_data[[#This Row],[sales]]</f>
        <v>0</v>
      </c>
      <c r="H408">
        <v>0</v>
      </c>
      <c r="I408">
        <v>-0.69452899999999995</v>
      </c>
      <c r="J408">
        <v>2</v>
      </c>
      <c r="K408">
        <v>2</v>
      </c>
      <c r="L408">
        <v>0</v>
      </c>
      <c r="M408">
        <v>5</v>
      </c>
      <c r="N408">
        <v>0</v>
      </c>
      <c r="O408">
        <v>0</v>
      </c>
      <c r="P408">
        <v>0.99990000000000001</v>
      </c>
      <c r="Q408" s="7" t="s">
        <v>28</v>
      </c>
      <c r="R408" s="7" t="s">
        <v>151</v>
      </c>
      <c r="S408">
        <v>0</v>
      </c>
      <c r="T408">
        <v>7.3061299999999996</v>
      </c>
      <c r="U408">
        <v>6.0060099999999998</v>
      </c>
      <c r="V408">
        <v>0</v>
      </c>
      <c r="W408">
        <v>1.8311200000000001</v>
      </c>
      <c r="X408">
        <v>0</v>
      </c>
      <c r="Y408">
        <v>4</v>
      </c>
      <c r="Z408">
        <v>0</v>
      </c>
      <c r="AA408">
        <v>254.398</v>
      </c>
      <c r="AB408">
        <v>7.0658899999999996</v>
      </c>
    </row>
    <row r="409" spans="1:28" x14ac:dyDescent="0.25">
      <c r="A409">
        <v>408</v>
      </c>
      <c r="B409">
        <v>672092285</v>
      </c>
      <c r="C409" s="7" t="s">
        <v>27</v>
      </c>
      <c r="D409">
        <v>-8.2706599999999995</v>
      </c>
      <c r="E409">
        <v>1.91351</v>
      </c>
      <c r="F409">
        <v>-8.2706599999999995</v>
      </c>
      <c r="G409" s="3">
        <f>firm_data[[#This Row],[production]]-firm_data[[#This Row],[sales]]</f>
        <v>0</v>
      </c>
      <c r="H409">
        <v>0</v>
      </c>
      <c r="I409">
        <v>-0.69452899999999995</v>
      </c>
      <c r="J409">
        <v>2</v>
      </c>
      <c r="K409">
        <v>2</v>
      </c>
      <c r="L409">
        <v>0</v>
      </c>
      <c r="M409">
        <v>5</v>
      </c>
      <c r="N409">
        <v>0</v>
      </c>
      <c r="O409">
        <v>0</v>
      </c>
      <c r="P409">
        <v>0.99990000000000001</v>
      </c>
      <c r="Q409" s="7" t="s">
        <v>28</v>
      </c>
      <c r="R409" s="7" t="s">
        <v>151</v>
      </c>
      <c r="S409">
        <v>0</v>
      </c>
      <c r="T409">
        <v>7.4262499999999996</v>
      </c>
      <c r="U409">
        <v>6.0060099999999998</v>
      </c>
      <c r="V409">
        <v>8.0976900000000001</v>
      </c>
      <c r="W409">
        <v>1.8311200000000001</v>
      </c>
      <c r="X409">
        <v>0.24024000000000001</v>
      </c>
      <c r="Y409">
        <v>4</v>
      </c>
      <c r="Z409">
        <v>8.4214599999999997</v>
      </c>
      <c r="AA409">
        <v>260.322</v>
      </c>
      <c r="AB409">
        <v>7.0658899999999996</v>
      </c>
    </row>
    <row r="410" spans="1:28" x14ac:dyDescent="0.25">
      <c r="A410">
        <v>409</v>
      </c>
      <c r="B410">
        <v>505585372</v>
      </c>
      <c r="C410" s="7" t="s">
        <v>27</v>
      </c>
      <c r="D410">
        <v>-0.17297100000000001</v>
      </c>
      <c r="E410">
        <v>1.91351</v>
      </c>
      <c r="F410">
        <v>-0.17297100000000001</v>
      </c>
      <c r="G410" s="3">
        <f>firm_data[[#This Row],[production]]-firm_data[[#This Row],[sales]]</f>
        <v>0</v>
      </c>
      <c r="H410">
        <v>0</v>
      </c>
      <c r="I410">
        <v>-0.69452899999999995</v>
      </c>
      <c r="J410">
        <v>2</v>
      </c>
      <c r="K410">
        <v>2</v>
      </c>
      <c r="L410">
        <v>0</v>
      </c>
      <c r="M410">
        <v>5</v>
      </c>
      <c r="N410">
        <v>0</v>
      </c>
      <c r="O410">
        <v>0</v>
      </c>
      <c r="P410">
        <v>0.99990000000000001</v>
      </c>
      <c r="Q410" s="7" t="s">
        <v>28</v>
      </c>
      <c r="R410" s="7" t="s">
        <v>151</v>
      </c>
      <c r="S410">
        <v>0</v>
      </c>
      <c r="T410">
        <v>7.3061299999999996</v>
      </c>
      <c r="U410">
        <v>6.0060099999999998</v>
      </c>
      <c r="V410">
        <v>0</v>
      </c>
      <c r="W410">
        <v>1.8311200000000001</v>
      </c>
      <c r="X410">
        <v>0</v>
      </c>
      <c r="Y410">
        <v>4</v>
      </c>
      <c r="Z410">
        <v>0</v>
      </c>
      <c r="AA410">
        <v>257.815</v>
      </c>
      <c r="AB410">
        <v>7.0658899999999996</v>
      </c>
    </row>
    <row r="411" spans="1:28" x14ac:dyDescent="0.25">
      <c r="A411">
        <v>410</v>
      </c>
      <c r="B411">
        <v>979223678</v>
      </c>
      <c r="C411" s="7" t="s">
        <v>27</v>
      </c>
      <c r="D411">
        <v>-0.17297100000000001</v>
      </c>
      <c r="E411">
        <v>1.91351</v>
      </c>
      <c r="F411">
        <v>-0.17297100000000001</v>
      </c>
      <c r="G411" s="3">
        <f>firm_data[[#This Row],[production]]-firm_data[[#This Row],[sales]]</f>
        <v>0</v>
      </c>
      <c r="H411">
        <v>0</v>
      </c>
      <c r="I411">
        <v>-0.69452899999999995</v>
      </c>
      <c r="J411">
        <v>2</v>
      </c>
      <c r="K411">
        <v>2</v>
      </c>
      <c r="L411">
        <v>0</v>
      </c>
      <c r="M411">
        <v>5</v>
      </c>
      <c r="N411">
        <v>0</v>
      </c>
      <c r="O411">
        <v>0</v>
      </c>
      <c r="P411">
        <v>0.99990000000000001</v>
      </c>
      <c r="Q411" s="7" t="s">
        <v>28</v>
      </c>
      <c r="R411" s="7" t="s">
        <v>151</v>
      </c>
      <c r="S411">
        <v>0</v>
      </c>
      <c r="T411">
        <v>7.1860099999999996</v>
      </c>
      <c r="U411">
        <v>6.0060099999999998</v>
      </c>
      <c r="V411">
        <v>0</v>
      </c>
      <c r="W411">
        <v>1.8311200000000001</v>
      </c>
      <c r="X411">
        <v>0</v>
      </c>
      <c r="Y411">
        <v>4</v>
      </c>
      <c r="Z411">
        <v>0</v>
      </c>
      <c r="AA411">
        <v>252.749</v>
      </c>
      <c r="AB411">
        <v>7.0658899999999996</v>
      </c>
    </row>
    <row r="412" spans="1:28" x14ac:dyDescent="0.25">
      <c r="A412">
        <v>411</v>
      </c>
      <c r="B412">
        <v>960136073</v>
      </c>
      <c r="C412" s="7" t="s">
        <v>27</v>
      </c>
      <c r="D412">
        <v>-0.17297100000000001</v>
      </c>
      <c r="E412">
        <v>1.91351</v>
      </c>
      <c r="F412">
        <v>-0.17297100000000001</v>
      </c>
      <c r="G412" s="3">
        <f>firm_data[[#This Row],[production]]-firm_data[[#This Row],[sales]]</f>
        <v>0</v>
      </c>
      <c r="H412">
        <v>0</v>
      </c>
      <c r="I412">
        <v>-0.69452899999999995</v>
      </c>
      <c r="J412">
        <v>2</v>
      </c>
      <c r="K412">
        <v>2</v>
      </c>
      <c r="L412">
        <v>0</v>
      </c>
      <c r="M412">
        <v>5</v>
      </c>
      <c r="N412">
        <v>0</v>
      </c>
      <c r="O412">
        <v>0</v>
      </c>
      <c r="P412">
        <v>0.99990000000000001</v>
      </c>
      <c r="Q412" s="7" t="s">
        <v>28</v>
      </c>
      <c r="R412" s="7" t="s">
        <v>151</v>
      </c>
      <c r="S412">
        <v>0</v>
      </c>
      <c r="T412">
        <v>7.0658899999999996</v>
      </c>
      <c r="U412">
        <v>6.0060099999999998</v>
      </c>
      <c r="V412">
        <v>0</v>
      </c>
      <c r="W412">
        <v>1.8311200000000001</v>
      </c>
      <c r="X412">
        <v>0</v>
      </c>
      <c r="Y412">
        <v>4</v>
      </c>
      <c r="Z412">
        <v>0</v>
      </c>
      <c r="AA412">
        <v>249.625</v>
      </c>
      <c r="AB412">
        <v>7.0658899999999996</v>
      </c>
    </row>
    <row r="413" spans="1:28" x14ac:dyDescent="0.25">
      <c r="A413">
        <v>412</v>
      </c>
      <c r="B413">
        <v>417411667</v>
      </c>
      <c r="C413" s="7" t="s">
        <v>27</v>
      </c>
      <c r="D413">
        <v>-0.17297100000000001</v>
      </c>
      <c r="E413">
        <v>1.91351</v>
      </c>
      <c r="F413">
        <v>-0.17297100000000001</v>
      </c>
      <c r="G413" s="3">
        <f>firm_data[[#This Row],[production]]-firm_data[[#This Row],[sales]]</f>
        <v>0</v>
      </c>
      <c r="H413">
        <v>0</v>
      </c>
      <c r="I413">
        <v>-0.69452899999999995</v>
      </c>
      <c r="J413">
        <v>2</v>
      </c>
      <c r="K413">
        <v>2</v>
      </c>
      <c r="L413">
        <v>0</v>
      </c>
      <c r="M413">
        <v>5</v>
      </c>
      <c r="N413">
        <v>0</v>
      </c>
      <c r="O413">
        <v>0</v>
      </c>
      <c r="P413">
        <v>0.99990000000000001</v>
      </c>
      <c r="Q413" s="7" t="s">
        <v>28</v>
      </c>
      <c r="R413" s="7" t="s">
        <v>151</v>
      </c>
      <c r="S413">
        <v>0</v>
      </c>
      <c r="T413">
        <v>6.9457700000000004</v>
      </c>
      <c r="U413">
        <v>6.0060099999999998</v>
      </c>
      <c r="V413">
        <v>0</v>
      </c>
      <c r="W413">
        <v>1.8311200000000001</v>
      </c>
      <c r="X413">
        <v>0.48048000000000002</v>
      </c>
      <c r="Y413">
        <v>4</v>
      </c>
      <c r="Z413">
        <v>17.045000000000002</v>
      </c>
      <c r="AA413">
        <v>246.40100000000001</v>
      </c>
      <c r="AB413">
        <v>7.0658899999999996</v>
      </c>
    </row>
    <row r="414" spans="1:28" x14ac:dyDescent="0.25">
      <c r="A414">
        <v>413</v>
      </c>
      <c r="B414">
        <v>100485665</v>
      </c>
      <c r="C414" s="7" t="s">
        <v>27</v>
      </c>
      <c r="D414">
        <v>-0.17297100000000001</v>
      </c>
      <c r="E414">
        <v>1.91351</v>
      </c>
      <c r="F414">
        <v>-0.17297100000000001</v>
      </c>
      <c r="G414" s="3">
        <f>firm_data[[#This Row],[production]]-firm_data[[#This Row],[sales]]</f>
        <v>0</v>
      </c>
      <c r="H414">
        <v>0</v>
      </c>
      <c r="I414">
        <v>-0.69452899999999995</v>
      </c>
      <c r="J414">
        <v>2</v>
      </c>
      <c r="K414">
        <v>2</v>
      </c>
      <c r="L414">
        <v>0</v>
      </c>
      <c r="M414">
        <v>5</v>
      </c>
      <c r="N414">
        <v>0</v>
      </c>
      <c r="O414">
        <v>0</v>
      </c>
      <c r="P414">
        <v>0.99990000000000001</v>
      </c>
      <c r="Q414" s="7" t="s">
        <v>28</v>
      </c>
      <c r="R414" s="7" t="s">
        <v>151</v>
      </c>
      <c r="S414">
        <v>0</v>
      </c>
      <c r="T414">
        <v>6.8256500000000004</v>
      </c>
      <c r="U414">
        <v>6.0060099999999998</v>
      </c>
      <c r="V414">
        <v>0</v>
      </c>
      <c r="W414">
        <v>1.8311200000000001</v>
      </c>
      <c r="X414">
        <v>0</v>
      </c>
      <c r="Y414">
        <v>4</v>
      </c>
      <c r="Z414">
        <v>0</v>
      </c>
      <c r="AA414">
        <v>243.41300000000001</v>
      </c>
      <c r="AB414">
        <v>7.0658899999999996</v>
      </c>
    </row>
    <row r="415" spans="1:28" x14ac:dyDescent="0.25">
      <c r="A415">
        <v>414</v>
      </c>
      <c r="B415">
        <v>554506727</v>
      </c>
      <c r="C415" s="7" t="s">
        <v>27</v>
      </c>
      <c r="D415">
        <v>-0.17297100000000001</v>
      </c>
      <c r="E415">
        <v>1.91351</v>
      </c>
      <c r="F415">
        <v>-0.17297100000000001</v>
      </c>
      <c r="G415" s="3">
        <f>firm_data[[#This Row],[production]]-firm_data[[#This Row],[sales]]</f>
        <v>0</v>
      </c>
      <c r="H415">
        <v>0</v>
      </c>
      <c r="I415">
        <v>-0.69452899999999995</v>
      </c>
      <c r="J415">
        <v>2</v>
      </c>
      <c r="K415">
        <v>2</v>
      </c>
      <c r="L415">
        <v>0</v>
      </c>
      <c r="M415">
        <v>5</v>
      </c>
      <c r="N415">
        <v>0</v>
      </c>
      <c r="O415">
        <v>0</v>
      </c>
      <c r="P415">
        <v>0.99990000000000001</v>
      </c>
      <c r="Q415" s="7" t="s">
        <v>28</v>
      </c>
      <c r="R415" s="7" t="s">
        <v>151</v>
      </c>
      <c r="S415">
        <v>0</v>
      </c>
      <c r="T415">
        <v>6.7055300000000004</v>
      </c>
      <c r="U415">
        <v>6.0060099999999998</v>
      </c>
      <c r="V415">
        <v>0</v>
      </c>
      <c r="W415">
        <v>1.8311200000000001</v>
      </c>
      <c r="X415">
        <v>0</v>
      </c>
      <c r="Y415">
        <v>4</v>
      </c>
      <c r="Z415">
        <v>0</v>
      </c>
      <c r="AA415">
        <v>240.37299999999999</v>
      </c>
      <c r="AB415">
        <v>7.0658899999999996</v>
      </c>
    </row>
    <row r="416" spans="1:28" x14ac:dyDescent="0.25">
      <c r="A416">
        <v>415</v>
      </c>
      <c r="B416">
        <v>402911378</v>
      </c>
      <c r="C416" s="7" t="s">
        <v>27</v>
      </c>
      <c r="D416">
        <v>-0.17297100000000001</v>
      </c>
      <c r="E416">
        <v>1.91351</v>
      </c>
      <c r="F416">
        <v>-0.17297100000000001</v>
      </c>
      <c r="G416" s="3">
        <f>firm_data[[#This Row],[production]]-firm_data[[#This Row],[sales]]</f>
        <v>0</v>
      </c>
      <c r="H416">
        <v>0</v>
      </c>
      <c r="I416">
        <v>-0.69452899999999995</v>
      </c>
      <c r="J416">
        <v>2</v>
      </c>
      <c r="K416">
        <v>2</v>
      </c>
      <c r="L416">
        <v>0</v>
      </c>
      <c r="M416">
        <v>5</v>
      </c>
      <c r="N416">
        <v>0</v>
      </c>
      <c r="O416">
        <v>0</v>
      </c>
      <c r="P416">
        <v>0.99990000000000001</v>
      </c>
      <c r="Q416" s="7" t="s">
        <v>28</v>
      </c>
      <c r="R416" s="7" t="s">
        <v>151</v>
      </c>
      <c r="S416">
        <v>0</v>
      </c>
      <c r="T416">
        <v>6.5854100000000004</v>
      </c>
      <c r="U416">
        <v>6.0060099999999998</v>
      </c>
      <c r="V416">
        <v>0</v>
      </c>
      <c r="W416">
        <v>1.8311200000000001</v>
      </c>
      <c r="X416">
        <v>0</v>
      </c>
      <c r="Y416">
        <v>4</v>
      </c>
      <c r="Z416">
        <v>0</v>
      </c>
      <c r="AA416">
        <v>239.97499999999999</v>
      </c>
      <c r="AB416">
        <v>7.0658899999999996</v>
      </c>
    </row>
    <row r="417" spans="1:28" x14ac:dyDescent="0.25">
      <c r="A417">
        <v>416</v>
      </c>
      <c r="B417">
        <v>753950356</v>
      </c>
      <c r="C417" s="7" t="s">
        <v>27</v>
      </c>
      <c r="D417">
        <v>-0.17297100000000001</v>
      </c>
      <c r="E417">
        <v>1.91351</v>
      </c>
      <c r="F417">
        <v>-0.17297100000000001</v>
      </c>
      <c r="G417" s="3">
        <f>firm_data[[#This Row],[production]]-firm_data[[#This Row],[sales]]</f>
        <v>0</v>
      </c>
      <c r="H417">
        <v>0</v>
      </c>
      <c r="I417">
        <v>-0.69452899999999995</v>
      </c>
      <c r="J417">
        <v>2</v>
      </c>
      <c r="K417">
        <v>2</v>
      </c>
      <c r="L417">
        <v>0</v>
      </c>
      <c r="M417">
        <v>5</v>
      </c>
      <c r="N417">
        <v>0</v>
      </c>
      <c r="O417">
        <v>0</v>
      </c>
      <c r="P417">
        <v>0.99990000000000001</v>
      </c>
      <c r="Q417" s="7" t="s">
        <v>28</v>
      </c>
      <c r="R417" s="7" t="s">
        <v>151</v>
      </c>
      <c r="S417">
        <v>0</v>
      </c>
      <c r="T417">
        <v>6.4652900000000004</v>
      </c>
      <c r="U417">
        <v>6.0060099999999998</v>
      </c>
      <c r="V417">
        <v>0</v>
      </c>
      <c r="W417">
        <v>1.8311200000000001</v>
      </c>
      <c r="X417">
        <v>0</v>
      </c>
      <c r="Y417">
        <v>4</v>
      </c>
      <c r="Z417">
        <v>0</v>
      </c>
      <c r="AA417">
        <v>237.62899999999999</v>
      </c>
      <c r="AB417">
        <v>7.0658899999999996</v>
      </c>
    </row>
    <row r="418" spans="1:28" x14ac:dyDescent="0.25">
      <c r="A418">
        <v>417</v>
      </c>
      <c r="B418">
        <v>874565421</v>
      </c>
      <c r="C418" s="7" t="s">
        <v>27</v>
      </c>
      <c r="D418">
        <v>-0.17297100000000001</v>
      </c>
      <c r="E418">
        <v>1.91351</v>
      </c>
      <c r="F418">
        <v>-0.17297100000000001</v>
      </c>
      <c r="G418" s="3">
        <f>firm_data[[#This Row],[production]]-firm_data[[#This Row],[sales]]</f>
        <v>0</v>
      </c>
      <c r="H418">
        <v>0</v>
      </c>
      <c r="I418">
        <v>-0.69452899999999995</v>
      </c>
      <c r="J418">
        <v>2</v>
      </c>
      <c r="K418">
        <v>2</v>
      </c>
      <c r="L418">
        <v>0</v>
      </c>
      <c r="M418">
        <v>5</v>
      </c>
      <c r="N418">
        <v>0</v>
      </c>
      <c r="O418">
        <v>0</v>
      </c>
      <c r="P418">
        <v>0.99990000000000001</v>
      </c>
      <c r="Q418" s="7" t="s">
        <v>28</v>
      </c>
      <c r="R418" s="7" t="s">
        <v>151</v>
      </c>
      <c r="S418">
        <v>0</v>
      </c>
      <c r="T418">
        <v>6.3451700000000004</v>
      </c>
      <c r="U418">
        <v>6.0060099999999998</v>
      </c>
      <c r="V418">
        <v>0</v>
      </c>
      <c r="W418">
        <v>1.8311200000000001</v>
      </c>
      <c r="X418">
        <v>0</v>
      </c>
      <c r="Y418">
        <v>4</v>
      </c>
      <c r="Z418">
        <v>0</v>
      </c>
      <c r="AA418">
        <v>237.61199999999999</v>
      </c>
      <c r="AB418">
        <v>7.0658899999999996</v>
      </c>
    </row>
    <row r="419" spans="1:28" x14ac:dyDescent="0.25">
      <c r="A419">
        <v>418</v>
      </c>
      <c r="B419">
        <v>972524948</v>
      </c>
      <c r="C419" s="7" t="s">
        <v>27</v>
      </c>
      <c r="D419">
        <v>-0.17297100000000001</v>
      </c>
      <c r="E419">
        <v>1.91351</v>
      </c>
      <c r="F419">
        <v>-0.17297100000000001</v>
      </c>
      <c r="G419" s="3">
        <f>firm_data[[#This Row],[production]]-firm_data[[#This Row],[sales]]</f>
        <v>0</v>
      </c>
      <c r="H419">
        <v>0</v>
      </c>
      <c r="I419">
        <v>-0.69452899999999995</v>
      </c>
      <c r="J419">
        <v>2</v>
      </c>
      <c r="K419">
        <v>2</v>
      </c>
      <c r="L419">
        <v>0</v>
      </c>
      <c r="M419">
        <v>5</v>
      </c>
      <c r="N419">
        <v>0</v>
      </c>
      <c r="O419">
        <v>0</v>
      </c>
      <c r="P419">
        <v>0.99990000000000001</v>
      </c>
      <c r="Q419" s="7" t="s">
        <v>28</v>
      </c>
      <c r="R419" s="7" t="s">
        <v>151</v>
      </c>
      <c r="S419">
        <v>0</v>
      </c>
      <c r="T419">
        <v>6.2250500000000004</v>
      </c>
      <c r="U419">
        <v>6.0060099999999998</v>
      </c>
      <c r="V419">
        <v>0</v>
      </c>
      <c r="W419">
        <v>1.8311200000000001</v>
      </c>
      <c r="X419">
        <v>0</v>
      </c>
      <c r="Y419">
        <v>4</v>
      </c>
      <c r="Z419">
        <v>0</v>
      </c>
      <c r="AA419">
        <v>236.41300000000001</v>
      </c>
      <c r="AB419">
        <v>7.0658899999999996</v>
      </c>
    </row>
    <row r="420" spans="1:28" x14ac:dyDescent="0.25">
      <c r="A420">
        <v>419</v>
      </c>
      <c r="B420">
        <v>495902099</v>
      </c>
      <c r="C420" s="7" t="s">
        <v>27</v>
      </c>
      <c r="D420">
        <v>-0.17297100000000001</v>
      </c>
      <c r="E420">
        <v>1.91351</v>
      </c>
      <c r="F420">
        <v>-0.17297100000000001</v>
      </c>
      <c r="G420" s="3">
        <f>firm_data[[#This Row],[production]]-firm_data[[#This Row],[sales]]</f>
        <v>0</v>
      </c>
      <c r="H420">
        <v>0</v>
      </c>
      <c r="I420">
        <v>-0.69452899999999995</v>
      </c>
      <c r="J420">
        <v>2</v>
      </c>
      <c r="K420">
        <v>2</v>
      </c>
      <c r="L420">
        <v>0</v>
      </c>
      <c r="M420">
        <v>5</v>
      </c>
      <c r="N420">
        <v>0</v>
      </c>
      <c r="O420">
        <v>0</v>
      </c>
      <c r="P420">
        <v>0.99990000000000001</v>
      </c>
      <c r="Q420" s="7" t="s">
        <v>28</v>
      </c>
      <c r="R420" s="7" t="s">
        <v>151</v>
      </c>
      <c r="S420">
        <v>0</v>
      </c>
      <c r="T420">
        <v>6.1049300000000004</v>
      </c>
      <c r="U420">
        <v>6.0060099999999998</v>
      </c>
      <c r="V420">
        <v>0</v>
      </c>
      <c r="W420">
        <v>1.8311200000000001</v>
      </c>
      <c r="X420">
        <v>0</v>
      </c>
      <c r="Y420">
        <v>4</v>
      </c>
      <c r="Z420">
        <v>0</v>
      </c>
      <c r="AA420">
        <v>233.99799999999999</v>
      </c>
      <c r="AB420">
        <v>7.0658899999999996</v>
      </c>
    </row>
    <row r="421" spans="1:28" x14ac:dyDescent="0.25">
      <c r="A421">
        <v>420</v>
      </c>
      <c r="B421">
        <v>333131467</v>
      </c>
      <c r="C421" s="7" t="s">
        <v>27</v>
      </c>
      <c r="D421">
        <v>-0.17297100000000001</v>
      </c>
      <c r="E421">
        <v>1.91351</v>
      </c>
      <c r="F421">
        <v>-0.17297100000000001</v>
      </c>
      <c r="G421" s="3">
        <f>firm_data[[#This Row],[production]]-firm_data[[#This Row],[sales]]</f>
        <v>0</v>
      </c>
      <c r="H421">
        <v>0</v>
      </c>
      <c r="I421">
        <v>-0.69452899999999995</v>
      </c>
      <c r="J421">
        <v>2</v>
      </c>
      <c r="K421">
        <v>2</v>
      </c>
      <c r="L421">
        <v>0</v>
      </c>
      <c r="M421">
        <v>5</v>
      </c>
      <c r="N421">
        <v>0</v>
      </c>
      <c r="O421">
        <v>0</v>
      </c>
      <c r="P421">
        <v>0.99990000000000001</v>
      </c>
      <c r="Q421" s="7" t="s">
        <v>28</v>
      </c>
      <c r="R421" s="7" t="s">
        <v>151</v>
      </c>
      <c r="S421">
        <v>0</v>
      </c>
      <c r="T421">
        <v>5.9848100000000004</v>
      </c>
      <c r="U421">
        <v>6.0060099999999998</v>
      </c>
      <c r="V421">
        <v>0</v>
      </c>
      <c r="W421">
        <v>1.8311200000000001</v>
      </c>
      <c r="X421">
        <v>0</v>
      </c>
      <c r="Y421">
        <v>4</v>
      </c>
      <c r="Z421">
        <v>0</v>
      </c>
      <c r="AA421">
        <v>228.709</v>
      </c>
      <c r="AB421">
        <v>7.0658899999999996</v>
      </c>
    </row>
    <row r="422" spans="1:28" x14ac:dyDescent="0.25">
      <c r="A422">
        <v>421</v>
      </c>
      <c r="B422">
        <v>653026098</v>
      </c>
      <c r="C422" s="7" t="s">
        <v>27</v>
      </c>
      <c r="D422">
        <v>-0.186478</v>
      </c>
      <c r="E422">
        <v>1.91351</v>
      </c>
      <c r="F422">
        <v>-0.186478</v>
      </c>
      <c r="G422" s="3">
        <f>firm_data[[#This Row],[production]]-firm_data[[#This Row],[sales]]</f>
        <v>0</v>
      </c>
      <c r="H422">
        <v>0</v>
      </c>
      <c r="I422">
        <v>-0.69452899999999995</v>
      </c>
      <c r="J422">
        <v>1.9929399999999999</v>
      </c>
      <c r="K422">
        <v>1.9929399999999999</v>
      </c>
      <c r="L422">
        <v>0</v>
      </c>
      <c r="M422">
        <v>5</v>
      </c>
      <c r="N422">
        <v>0</v>
      </c>
      <c r="O422">
        <v>0</v>
      </c>
      <c r="P422">
        <v>0.99990000000000001</v>
      </c>
      <c r="Q422" s="7" t="s">
        <v>28</v>
      </c>
      <c r="R422" s="7" t="s">
        <v>151</v>
      </c>
      <c r="S422">
        <v>0</v>
      </c>
      <c r="T422">
        <v>5.8651099999999996</v>
      </c>
      <c r="U422">
        <v>6.0060099999999998</v>
      </c>
      <c r="V422">
        <v>0</v>
      </c>
      <c r="W422">
        <v>1.8311200000000001</v>
      </c>
      <c r="X422">
        <v>0</v>
      </c>
      <c r="Y422">
        <v>4</v>
      </c>
      <c r="Z422">
        <v>0</v>
      </c>
      <c r="AA422">
        <v>225.73599999999999</v>
      </c>
      <c r="AB422">
        <v>7.0658899999999996</v>
      </c>
    </row>
    <row r="423" spans="1:28" x14ac:dyDescent="0.25">
      <c r="A423">
        <v>422</v>
      </c>
      <c r="B423">
        <v>505412516</v>
      </c>
      <c r="C423" s="7" t="s">
        <v>27</v>
      </c>
      <c r="D423">
        <v>-60.809399999999997</v>
      </c>
      <c r="E423">
        <v>1.91351</v>
      </c>
      <c r="F423">
        <v>-60.809399999999997</v>
      </c>
      <c r="G423" s="3">
        <f>firm_data[[#This Row],[production]]-firm_data[[#This Row],[sales]]</f>
        <v>0</v>
      </c>
      <c r="H423">
        <v>0</v>
      </c>
      <c r="I423">
        <v>-0.69452899999999995</v>
      </c>
      <c r="J423">
        <v>1.9530799999999999</v>
      </c>
      <c r="K423">
        <v>1.9530799999999999</v>
      </c>
      <c r="L423">
        <v>0</v>
      </c>
      <c r="M423">
        <v>5</v>
      </c>
      <c r="N423">
        <v>0</v>
      </c>
      <c r="O423">
        <v>0</v>
      </c>
      <c r="P423">
        <v>0.99990000000000001</v>
      </c>
      <c r="Q423" s="7" t="s">
        <v>28</v>
      </c>
      <c r="R423" s="7" t="s">
        <v>151</v>
      </c>
      <c r="S423">
        <v>0</v>
      </c>
      <c r="T423">
        <v>7.2478100000000003</v>
      </c>
      <c r="U423">
        <v>5.9954099999999997</v>
      </c>
      <c r="V423">
        <v>60.546700000000001</v>
      </c>
      <c r="W423">
        <v>1.8311200000000001</v>
      </c>
      <c r="X423">
        <v>1.66794</v>
      </c>
      <c r="Y423">
        <v>4</v>
      </c>
      <c r="Z423">
        <v>64.565200000000004</v>
      </c>
      <c r="AA423">
        <v>280.55900000000003</v>
      </c>
      <c r="AB423">
        <v>7.05342</v>
      </c>
    </row>
    <row r="424" spans="1:28" x14ac:dyDescent="0.25">
      <c r="A424">
        <v>423</v>
      </c>
      <c r="B424">
        <v>816186026</v>
      </c>
      <c r="C424" s="7" t="s">
        <v>27</v>
      </c>
      <c r="D424">
        <v>-0.17297100000000001</v>
      </c>
      <c r="E424">
        <v>1.91351</v>
      </c>
      <c r="F424">
        <v>-0.17297100000000001</v>
      </c>
      <c r="G424" s="3">
        <f>firm_data[[#This Row],[production]]-firm_data[[#This Row],[sales]]</f>
        <v>0</v>
      </c>
      <c r="H424">
        <v>0</v>
      </c>
      <c r="I424">
        <v>-0.69452899999999995</v>
      </c>
      <c r="J424">
        <v>2</v>
      </c>
      <c r="K424">
        <v>2</v>
      </c>
      <c r="L424">
        <v>0</v>
      </c>
      <c r="M424">
        <v>5</v>
      </c>
      <c r="N424">
        <v>0</v>
      </c>
      <c r="O424">
        <v>0</v>
      </c>
      <c r="P424">
        <v>0.99990000000000001</v>
      </c>
      <c r="Q424" s="7" t="s">
        <v>28</v>
      </c>
      <c r="R424" s="7" t="s">
        <v>151</v>
      </c>
      <c r="S424">
        <v>0</v>
      </c>
      <c r="T424">
        <v>7.1276900000000003</v>
      </c>
      <c r="U424">
        <v>5.9302599999999996</v>
      </c>
      <c r="V424">
        <v>0</v>
      </c>
      <c r="W424">
        <v>1.8311200000000001</v>
      </c>
      <c r="X424">
        <v>0</v>
      </c>
      <c r="Y424">
        <v>4</v>
      </c>
      <c r="Z424">
        <v>0</v>
      </c>
      <c r="AA424">
        <v>277.70299999999997</v>
      </c>
      <c r="AB424">
        <v>7.05342</v>
      </c>
    </row>
    <row r="425" spans="1:28" x14ac:dyDescent="0.25">
      <c r="A425">
        <v>424</v>
      </c>
      <c r="B425">
        <v>371952423</v>
      </c>
      <c r="C425" s="7" t="s">
        <v>27</v>
      </c>
      <c r="D425">
        <v>-0.17297100000000001</v>
      </c>
      <c r="E425">
        <v>1.91351</v>
      </c>
      <c r="F425">
        <v>-0.17297100000000001</v>
      </c>
      <c r="G425" s="3">
        <f>firm_data[[#This Row],[production]]-firm_data[[#This Row],[sales]]</f>
        <v>0</v>
      </c>
      <c r="H425">
        <v>0</v>
      </c>
      <c r="I425">
        <v>-0.69452899999999995</v>
      </c>
      <c r="J425">
        <v>2</v>
      </c>
      <c r="K425">
        <v>2</v>
      </c>
      <c r="L425">
        <v>0</v>
      </c>
      <c r="M425">
        <v>5</v>
      </c>
      <c r="N425">
        <v>0</v>
      </c>
      <c r="O425">
        <v>0</v>
      </c>
      <c r="P425">
        <v>0.99990000000000001</v>
      </c>
      <c r="Q425" s="7" t="s">
        <v>28</v>
      </c>
      <c r="R425" s="7" t="s">
        <v>151</v>
      </c>
      <c r="S425">
        <v>0</v>
      </c>
      <c r="T425">
        <v>7.0075700000000003</v>
      </c>
      <c r="U425">
        <v>5.9681300000000004</v>
      </c>
      <c r="V425">
        <v>0</v>
      </c>
      <c r="W425">
        <v>1.8311200000000001</v>
      </c>
      <c r="X425">
        <v>0</v>
      </c>
      <c r="Y425">
        <v>4</v>
      </c>
      <c r="Z425">
        <v>0</v>
      </c>
      <c r="AA425">
        <v>277.27699999999999</v>
      </c>
      <c r="AB425">
        <v>7.05342</v>
      </c>
    </row>
    <row r="426" spans="1:28" x14ac:dyDescent="0.25">
      <c r="A426">
        <v>425</v>
      </c>
      <c r="B426">
        <v>509247036</v>
      </c>
      <c r="C426" s="7" t="s">
        <v>27</v>
      </c>
      <c r="D426">
        <v>-0.17297100000000001</v>
      </c>
      <c r="E426">
        <v>1.91351</v>
      </c>
      <c r="F426">
        <v>-0.17297100000000001</v>
      </c>
      <c r="G426" s="3">
        <f>firm_data[[#This Row],[production]]-firm_data[[#This Row],[sales]]</f>
        <v>0</v>
      </c>
      <c r="H426">
        <v>0</v>
      </c>
      <c r="I426">
        <v>-0.69452899999999995</v>
      </c>
      <c r="J426">
        <v>2</v>
      </c>
      <c r="K426">
        <v>2</v>
      </c>
      <c r="L426">
        <v>0</v>
      </c>
      <c r="M426">
        <v>5</v>
      </c>
      <c r="N426">
        <v>0</v>
      </c>
      <c r="O426">
        <v>0</v>
      </c>
      <c r="P426">
        <v>0.99990000000000001</v>
      </c>
      <c r="Q426" s="7" t="s">
        <v>28</v>
      </c>
      <c r="R426" s="7" t="s">
        <v>151</v>
      </c>
      <c r="S426">
        <v>0</v>
      </c>
      <c r="T426">
        <v>6.8874500000000003</v>
      </c>
      <c r="U426">
        <v>5.9870700000000001</v>
      </c>
      <c r="V426">
        <v>0</v>
      </c>
      <c r="W426">
        <v>1.8311200000000001</v>
      </c>
      <c r="X426">
        <v>0</v>
      </c>
      <c r="Y426">
        <v>4</v>
      </c>
      <c r="Z426">
        <v>0</v>
      </c>
      <c r="AA426">
        <v>276.721</v>
      </c>
      <c r="AB426">
        <v>7.05342</v>
      </c>
    </row>
    <row r="427" spans="1:28" x14ac:dyDescent="0.25">
      <c r="A427">
        <v>426</v>
      </c>
      <c r="B427">
        <v>684909644</v>
      </c>
      <c r="C427" s="7" t="s">
        <v>27</v>
      </c>
      <c r="D427">
        <v>-0.17297100000000001</v>
      </c>
      <c r="E427">
        <v>1.91351</v>
      </c>
      <c r="F427">
        <v>-0.17297100000000001</v>
      </c>
      <c r="G427" s="3">
        <f>firm_data[[#This Row],[production]]-firm_data[[#This Row],[sales]]</f>
        <v>0</v>
      </c>
      <c r="H427">
        <v>0</v>
      </c>
      <c r="I427">
        <v>-0.69452899999999995</v>
      </c>
      <c r="J427">
        <v>2</v>
      </c>
      <c r="K427">
        <v>2</v>
      </c>
      <c r="L427">
        <v>0</v>
      </c>
      <c r="M427">
        <v>5</v>
      </c>
      <c r="N427">
        <v>0</v>
      </c>
      <c r="O427">
        <v>0</v>
      </c>
      <c r="P427">
        <v>0.99990000000000001</v>
      </c>
      <c r="Q427" s="7" t="s">
        <v>28</v>
      </c>
      <c r="R427" s="7" t="s">
        <v>151</v>
      </c>
      <c r="S427">
        <v>0</v>
      </c>
      <c r="T427">
        <v>6.7673300000000003</v>
      </c>
      <c r="U427">
        <v>5.9965400000000004</v>
      </c>
      <c r="V427">
        <v>0</v>
      </c>
      <c r="W427">
        <v>1.8311200000000001</v>
      </c>
      <c r="X427">
        <v>0</v>
      </c>
      <c r="Y427">
        <v>4</v>
      </c>
      <c r="Z427">
        <v>0</v>
      </c>
      <c r="AA427">
        <v>275.76100000000002</v>
      </c>
      <c r="AB427">
        <v>7.05342</v>
      </c>
    </row>
    <row r="428" spans="1:28" x14ac:dyDescent="0.25">
      <c r="A428">
        <v>427</v>
      </c>
      <c r="B428">
        <v>266244777</v>
      </c>
      <c r="C428" s="7" t="s">
        <v>27</v>
      </c>
      <c r="D428">
        <v>-0.17297100000000001</v>
      </c>
      <c r="E428">
        <v>1.91351</v>
      </c>
      <c r="F428">
        <v>-0.17297100000000001</v>
      </c>
      <c r="G428" s="3">
        <f>firm_data[[#This Row],[production]]-firm_data[[#This Row],[sales]]</f>
        <v>0</v>
      </c>
      <c r="H428">
        <v>0</v>
      </c>
      <c r="I428">
        <v>-0.69452899999999995</v>
      </c>
      <c r="J428">
        <v>2</v>
      </c>
      <c r="K428">
        <v>2</v>
      </c>
      <c r="L428">
        <v>0</v>
      </c>
      <c r="M428">
        <v>5</v>
      </c>
      <c r="N428">
        <v>0</v>
      </c>
      <c r="O428">
        <v>0</v>
      </c>
      <c r="P428">
        <v>0.99990000000000001</v>
      </c>
      <c r="Q428" s="7" t="s">
        <v>28</v>
      </c>
      <c r="R428" s="7" t="s">
        <v>151</v>
      </c>
      <c r="S428">
        <v>0</v>
      </c>
      <c r="T428">
        <v>6.6472100000000003</v>
      </c>
      <c r="U428">
        <v>6.0012699999999999</v>
      </c>
      <c r="V428">
        <v>0</v>
      </c>
      <c r="W428">
        <v>1.8311200000000001</v>
      </c>
      <c r="X428">
        <v>0</v>
      </c>
      <c r="Y428">
        <v>4</v>
      </c>
      <c r="Z428">
        <v>0</v>
      </c>
      <c r="AA428">
        <v>274.06099999999998</v>
      </c>
      <c r="AB428">
        <v>7.05342</v>
      </c>
    </row>
    <row r="429" spans="1:28" x14ac:dyDescent="0.25">
      <c r="A429">
        <v>428</v>
      </c>
      <c r="B429">
        <v>472430546</v>
      </c>
      <c r="C429" s="7" t="s">
        <v>27</v>
      </c>
      <c r="D429">
        <v>-0.17297100000000001</v>
      </c>
      <c r="E429">
        <v>1.91351</v>
      </c>
      <c r="F429">
        <v>-0.17297100000000001</v>
      </c>
      <c r="G429" s="3">
        <f>firm_data[[#This Row],[production]]-firm_data[[#This Row],[sales]]</f>
        <v>0</v>
      </c>
      <c r="H429">
        <v>0</v>
      </c>
      <c r="I429">
        <v>-0.69452899999999995</v>
      </c>
      <c r="J429">
        <v>2</v>
      </c>
      <c r="K429">
        <v>2</v>
      </c>
      <c r="L429">
        <v>0</v>
      </c>
      <c r="M429">
        <v>5</v>
      </c>
      <c r="N429">
        <v>0</v>
      </c>
      <c r="O429">
        <v>0</v>
      </c>
      <c r="P429">
        <v>0.99990000000000001</v>
      </c>
      <c r="Q429" s="7" t="s">
        <v>28</v>
      </c>
      <c r="R429" s="7" t="s">
        <v>151</v>
      </c>
      <c r="S429">
        <v>0</v>
      </c>
      <c r="T429">
        <v>6.5270900000000003</v>
      </c>
      <c r="U429">
        <v>6.0036399999999999</v>
      </c>
      <c r="V429">
        <v>0</v>
      </c>
      <c r="W429">
        <v>1.8311200000000001</v>
      </c>
      <c r="X429">
        <v>0</v>
      </c>
      <c r="Y429">
        <v>4</v>
      </c>
      <c r="Z429">
        <v>0</v>
      </c>
      <c r="AA429">
        <v>271.47199999999998</v>
      </c>
      <c r="AB429">
        <v>7.05342</v>
      </c>
    </row>
    <row r="430" spans="1:28" x14ac:dyDescent="0.25">
      <c r="A430">
        <v>429</v>
      </c>
      <c r="B430">
        <v>75339336</v>
      </c>
      <c r="C430" s="7" t="s">
        <v>27</v>
      </c>
      <c r="D430">
        <v>-0.17297100000000001</v>
      </c>
      <c r="E430">
        <v>1.91351</v>
      </c>
      <c r="F430">
        <v>-0.17297100000000001</v>
      </c>
      <c r="G430" s="3">
        <f>firm_data[[#This Row],[production]]-firm_data[[#This Row],[sales]]</f>
        <v>0</v>
      </c>
      <c r="H430">
        <v>0</v>
      </c>
      <c r="I430">
        <v>-0.69452899999999995</v>
      </c>
      <c r="J430">
        <v>2</v>
      </c>
      <c r="K430">
        <v>2</v>
      </c>
      <c r="L430">
        <v>0</v>
      </c>
      <c r="M430">
        <v>5</v>
      </c>
      <c r="N430">
        <v>0</v>
      </c>
      <c r="O430">
        <v>0</v>
      </c>
      <c r="P430">
        <v>0.99990000000000001</v>
      </c>
      <c r="Q430" s="7" t="s">
        <v>28</v>
      </c>
      <c r="R430" s="7" t="s">
        <v>151</v>
      </c>
      <c r="S430">
        <v>0</v>
      </c>
      <c r="T430">
        <v>6.4069700000000003</v>
      </c>
      <c r="U430">
        <v>6.0048199999999996</v>
      </c>
      <c r="V430">
        <v>0</v>
      </c>
      <c r="W430">
        <v>1.8311200000000001</v>
      </c>
      <c r="X430">
        <v>0</v>
      </c>
      <c r="Y430">
        <v>4</v>
      </c>
      <c r="Z430">
        <v>0</v>
      </c>
      <c r="AA430">
        <v>268.22399999999999</v>
      </c>
      <c r="AB430">
        <v>7.05342</v>
      </c>
    </row>
    <row r="431" spans="1:28" x14ac:dyDescent="0.25">
      <c r="A431">
        <v>430</v>
      </c>
      <c r="B431">
        <v>606580838</v>
      </c>
      <c r="C431" s="7" t="s">
        <v>27</v>
      </c>
      <c r="D431">
        <v>-0.17297100000000001</v>
      </c>
      <c r="E431">
        <v>1.91351</v>
      </c>
      <c r="F431">
        <v>-0.17297100000000001</v>
      </c>
      <c r="G431" s="3">
        <f>firm_data[[#This Row],[production]]-firm_data[[#This Row],[sales]]</f>
        <v>0</v>
      </c>
      <c r="H431">
        <v>0</v>
      </c>
      <c r="I431">
        <v>-0.69452899999999995</v>
      </c>
      <c r="J431">
        <v>2</v>
      </c>
      <c r="K431">
        <v>2</v>
      </c>
      <c r="L431">
        <v>0</v>
      </c>
      <c r="M431">
        <v>5</v>
      </c>
      <c r="N431">
        <v>0</v>
      </c>
      <c r="O431">
        <v>0</v>
      </c>
      <c r="P431">
        <v>0.99990000000000001</v>
      </c>
      <c r="Q431" s="7" t="s">
        <v>28</v>
      </c>
      <c r="R431" s="7" t="s">
        <v>151</v>
      </c>
      <c r="S431">
        <v>0</v>
      </c>
      <c r="T431">
        <v>6.2868500000000003</v>
      </c>
      <c r="U431">
        <v>6.0054100000000004</v>
      </c>
      <c r="V431">
        <v>0</v>
      </c>
      <c r="W431">
        <v>1.8311200000000001</v>
      </c>
      <c r="X431">
        <v>0</v>
      </c>
      <c r="Y431">
        <v>4</v>
      </c>
      <c r="Z431">
        <v>0</v>
      </c>
      <c r="AA431">
        <v>265.39800000000002</v>
      </c>
      <c r="AB431">
        <v>7.05342</v>
      </c>
    </row>
    <row r="432" spans="1:28" x14ac:dyDescent="0.25">
      <c r="A432">
        <v>431</v>
      </c>
      <c r="B432">
        <v>409110375</v>
      </c>
      <c r="C432" s="7" t="s">
        <v>27</v>
      </c>
      <c r="D432">
        <v>-0.17297100000000001</v>
      </c>
      <c r="E432">
        <v>1.91351</v>
      </c>
      <c r="F432">
        <v>-0.17297100000000001</v>
      </c>
      <c r="G432" s="3">
        <f>firm_data[[#This Row],[production]]-firm_data[[#This Row],[sales]]</f>
        <v>0</v>
      </c>
      <c r="H432">
        <v>0</v>
      </c>
      <c r="I432">
        <v>-0.69452899999999995</v>
      </c>
      <c r="J432">
        <v>2</v>
      </c>
      <c r="K432">
        <v>2</v>
      </c>
      <c r="L432">
        <v>0</v>
      </c>
      <c r="M432">
        <v>5</v>
      </c>
      <c r="N432">
        <v>0</v>
      </c>
      <c r="O432">
        <v>0</v>
      </c>
      <c r="P432">
        <v>0.99990000000000001</v>
      </c>
      <c r="Q432" s="7" t="s">
        <v>28</v>
      </c>
      <c r="R432" s="7" t="s">
        <v>151</v>
      </c>
      <c r="S432">
        <v>0</v>
      </c>
      <c r="T432">
        <v>6.1667300000000003</v>
      </c>
      <c r="U432">
        <v>6.0057099999999997</v>
      </c>
      <c r="V432">
        <v>0</v>
      </c>
      <c r="W432">
        <v>1.8311200000000001</v>
      </c>
      <c r="X432">
        <v>0</v>
      </c>
      <c r="Y432">
        <v>4</v>
      </c>
      <c r="Z432">
        <v>0</v>
      </c>
      <c r="AA432">
        <v>263.26600000000002</v>
      </c>
      <c r="AB432">
        <v>7.05342</v>
      </c>
    </row>
    <row r="433" spans="1:28" x14ac:dyDescent="0.25">
      <c r="A433">
        <v>432</v>
      </c>
      <c r="B433">
        <v>755992754</v>
      </c>
      <c r="C433" s="7" t="s">
        <v>27</v>
      </c>
      <c r="D433">
        <v>-0.17297100000000001</v>
      </c>
      <c r="E433">
        <v>1.91351</v>
      </c>
      <c r="F433">
        <v>-0.17297100000000001</v>
      </c>
      <c r="G433" s="3">
        <f>firm_data[[#This Row],[production]]-firm_data[[#This Row],[sales]]</f>
        <v>0</v>
      </c>
      <c r="H433">
        <v>0</v>
      </c>
      <c r="I433">
        <v>-0.69452899999999995</v>
      </c>
      <c r="J433">
        <v>2</v>
      </c>
      <c r="K433">
        <v>2</v>
      </c>
      <c r="L433">
        <v>0</v>
      </c>
      <c r="M433">
        <v>5</v>
      </c>
      <c r="N433">
        <v>0</v>
      </c>
      <c r="O433">
        <v>0</v>
      </c>
      <c r="P433">
        <v>0.99990000000000001</v>
      </c>
      <c r="Q433" s="7" t="s">
        <v>28</v>
      </c>
      <c r="R433" s="7" t="s">
        <v>151</v>
      </c>
      <c r="S433">
        <v>0</v>
      </c>
      <c r="T433">
        <v>6.0466100000000003</v>
      </c>
      <c r="U433">
        <v>6.0058600000000002</v>
      </c>
      <c r="V433">
        <v>0</v>
      </c>
      <c r="W433">
        <v>1.8311200000000001</v>
      </c>
      <c r="X433">
        <v>0</v>
      </c>
      <c r="Y433">
        <v>4</v>
      </c>
      <c r="Z433">
        <v>0</v>
      </c>
      <c r="AA433">
        <v>262.048</v>
      </c>
      <c r="AB433">
        <v>7.05342</v>
      </c>
    </row>
    <row r="434" spans="1:28" x14ac:dyDescent="0.25">
      <c r="A434">
        <v>433</v>
      </c>
      <c r="B434">
        <v>554247322</v>
      </c>
      <c r="C434" s="7" t="s">
        <v>27</v>
      </c>
      <c r="D434">
        <v>-0.17297100000000001</v>
      </c>
      <c r="E434">
        <v>1.91351</v>
      </c>
      <c r="F434">
        <v>-0.17297100000000001</v>
      </c>
      <c r="G434" s="3">
        <f>firm_data[[#This Row],[production]]-firm_data[[#This Row],[sales]]</f>
        <v>0</v>
      </c>
      <c r="H434">
        <v>0</v>
      </c>
      <c r="I434">
        <v>-0.69452899999999995</v>
      </c>
      <c r="J434">
        <v>2</v>
      </c>
      <c r="K434">
        <v>2</v>
      </c>
      <c r="L434">
        <v>0</v>
      </c>
      <c r="M434">
        <v>5</v>
      </c>
      <c r="N434">
        <v>0</v>
      </c>
      <c r="O434">
        <v>0</v>
      </c>
      <c r="P434">
        <v>0.99990000000000001</v>
      </c>
      <c r="Q434" s="7" t="s">
        <v>28</v>
      </c>
      <c r="R434" s="7" t="s">
        <v>151</v>
      </c>
      <c r="S434">
        <v>0</v>
      </c>
      <c r="T434">
        <v>5.9264900000000003</v>
      </c>
      <c r="U434">
        <v>6.0059300000000002</v>
      </c>
      <c r="V434">
        <v>0</v>
      </c>
      <c r="W434">
        <v>1.8311200000000001</v>
      </c>
      <c r="X434">
        <v>0</v>
      </c>
      <c r="Y434">
        <v>4</v>
      </c>
      <c r="Z434">
        <v>0</v>
      </c>
      <c r="AA434">
        <v>258.76</v>
      </c>
      <c r="AB434">
        <v>7.05342</v>
      </c>
    </row>
    <row r="435" spans="1:28" x14ac:dyDescent="0.25">
      <c r="A435">
        <v>434</v>
      </c>
      <c r="B435">
        <v>754713312</v>
      </c>
      <c r="C435" s="7" t="s">
        <v>27</v>
      </c>
      <c r="D435">
        <v>-0.223639</v>
      </c>
      <c r="E435">
        <v>1.91351</v>
      </c>
      <c r="F435">
        <v>-0.223639</v>
      </c>
      <c r="G435" s="3">
        <f>firm_data[[#This Row],[production]]-firm_data[[#This Row],[sales]]</f>
        <v>0</v>
      </c>
      <c r="H435">
        <v>0</v>
      </c>
      <c r="I435">
        <v>-0.69452899999999995</v>
      </c>
      <c r="J435">
        <v>1.9735199999999999</v>
      </c>
      <c r="K435">
        <v>1.9735199999999999</v>
      </c>
      <c r="L435">
        <v>0</v>
      </c>
      <c r="M435">
        <v>5</v>
      </c>
      <c r="N435">
        <v>0</v>
      </c>
      <c r="O435">
        <v>0</v>
      </c>
      <c r="P435">
        <v>0.99990000000000001</v>
      </c>
      <c r="Q435" s="7" t="s">
        <v>28</v>
      </c>
      <c r="R435" s="7" t="s">
        <v>151</v>
      </c>
      <c r="S435">
        <v>0</v>
      </c>
      <c r="T435">
        <v>5.8079599999999996</v>
      </c>
      <c r="U435">
        <v>6.0059699999999996</v>
      </c>
      <c r="V435">
        <v>0</v>
      </c>
      <c r="W435">
        <v>1.8311200000000001</v>
      </c>
      <c r="X435">
        <v>0</v>
      </c>
      <c r="Y435">
        <v>4</v>
      </c>
      <c r="Z435">
        <v>0</v>
      </c>
      <c r="AA435">
        <v>254.83600000000001</v>
      </c>
      <c r="AB435">
        <v>7.05342</v>
      </c>
    </row>
    <row r="436" spans="1:28" x14ac:dyDescent="0.25">
      <c r="A436">
        <v>435</v>
      </c>
      <c r="B436">
        <v>763846463</v>
      </c>
      <c r="C436" s="7" t="s">
        <v>27</v>
      </c>
      <c r="D436">
        <v>-22.887</v>
      </c>
      <c r="E436">
        <v>1.91351</v>
      </c>
      <c r="F436">
        <v>-22.887</v>
      </c>
      <c r="G436" s="3">
        <f>firm_data[[#This Row],[production]]-firm_data[[#This Row],[sales]]</f>
        <v>0</v>
      </c>
      <c r="H436">
        <v>0</v>
      </c>
      <c r="I436">
        <v>-0.69452899999999995</v>
      </c>
      <c r="J436">
        <v>1.93405</v>
      </c>
      <c r="K436">
        <v>1.93405</v>
      </c>
      <c r="L436">
        <v>0</v>
      </c>
      <c r="M436">
        <v>5</v>
      </c>
      <c r="N436">
        <v>0</v>
      </c>
      <c r="O436">
        <v>0</v>
      </c>
      <c r="P436">
        <v>0.99990000000000001</v>
      </c>
      <c r="Q436" s="7" t="s">
        <v>28</v>
      </c>
      <c r="R436" s="7" t="s">
        <v>151</v>
      </c>
      <c r="S436">
        <v>0</v>
      </c>
      <c r="T436">
        <v>6.1917999999999997</v>
      </c>
      <c r="U436">
        <v>5.9662300000000004</v>
      </c>
      <c r="V436">
        <v>22.587800000000001</v>
      </c>
      <c r="W436">
        <v>1.8311200000000001</v>
      </c>
      <c r="X436">
        <v>1.6884300000000001</v>
      </c>
      <c r="Y436">
        <v>4</v>
      </c>
      <c r="Z436">
        <v>74.361199999999997</v>
      </c>
      <c r="AA436">
        <v>272.697</v>
      </c>
      <c r="AB436">
        <v>7.0190900000000003</v>
      </c>
    </row>
    <row r="437" spans="1:28" x14ac:dyDescent="0.25">
      <c r="A437">
        <v>436</v>
      </c>
      <c r="B437">
        <v>219356870</v>
      </c>
      <c r="C437" s="7" t="s">
        <v>27</v>
      </c>
      <c r="D437">
        <v>-0.17297100000000001</v>
      </c>
      <c r="E437">
        <v>1.91351</v>
      </c>
      <c r="F437">
        <v>-0.17297100000000001</v>
      </c>
      <c r="G437" s="3">
        <f>firm_data[[#This Row],[production]]-firm_data[[#This Row],[sales]]</f>
        <v>0</v>
      </c>
      <c r="H437">
        <v>0</v>
      </c>
      <c r="I437">
        <v>-0.69452899999999995</v>
      </c>
      <c r="J437">
        <v>2</v>
      </c>
      <c r="K437">
        <v>2</v>
      </c>
      <c r="L437">
        <v>0</v>
      </c>
      <c r="M437">
        <v>5</v>
      </c>
      <c r="N437">
        <v>0</v>
      </c>
      <c r="O437">
        <v>0</v>
      </c>
      <c r="P437">
        <v>0.99990000000000001</v>
      </c>
      <c r="Q437" s="7" t="s">
        <v>28</v>
      </c>
      <c r="R437" s="7" t="s">
        <v>151</v>
      </c>
      <c r="S437">
        <v>0</v>
      </c>
      <c r="T437">
        <v>6.0716799999999997</v>
      </c>
      <c r="U437">
        <v>5.8870899999999997</v>
      </c>
      <c r="V437">
        <v>0</v>
      </c>
      <c r="W437">
        <v>1.8311200000000001</v>
      </c>
      <c r="X437">
        <v>0</v>
      </c>
      <c r="Y437">
        <v>4</v>
      </c>
      <c r="Z437">
        <v>0</v>
      </c>
      <c r="AA437">
        <v>266.72899999999998</v>
      </c>
      <c r="AB437">
        <v>7.0190900000000003</v>
      </c>
    </row>
    <row r="438" spans="1:28" x14ac:dyDescent="0.25">
      <c r="A438">
        <v>437</v>
      </c>
      <c r="B438">
        <v>410799490</v>
      </c>
      <c r="C438" s="7" t="s">
        <v>27</v>
      </c>
      <c r="D438">
        <v>-20.565999999999999</v>
      </c>
      <c r="E438">
        <v>1.91351</v>
      </c>
      <c r="F438">
        <v>-20.565999999999999</v>
      </c>
      <c r="G438" s="3">
        <f>firm_data[[#This Row],[production]]-firm_data[[#This Row],[sales]]</f>
        <v>0</v>
      </c>
      <c r="H438">
        <v>0</v>
      </c>
      <c r="I438">
        <v>-0.69452899999999995</v>
      </c>
      <c r="J438">
        <v>2</v>
      </c>
      <c r="K438">
        <v>2</v>
      </c>
      <c r="L438">
        <v>0</v>
      </c>
      <c r="M438">
        <v>5</v>
      </c>
      <c r="N438">
        <v>0</v>
      </c>
      <c r="O438">
        <v>0</v>
      </c>
      <c r="P438">
        <v>0.99990000000000001</v>
      </c>
      <c r="Q438" s="7" t="s">
        <v>28</v>
      </c>
      <c r="R438" s="7" t="s">
        <v>151</v>
      </c>
      <c r="S438">
        <v>0</v>
      </c>
      <c r="T438">
        <v>6.4515599999999997</v>
      </c>
      <c r="U438">
        <v>5.9465500000000002</v>
      </c>
      <c r="V438">
        <v>20.393000000000001</v>
      </c>
      <c r="W438">
        <v>1.8311200000000001</v>
      </c>
      <c r="X438">
        <v>1.3999900000000001</v>
      </c>
      <c r="Y438">
        <v>4</v>
      </c>
      <c r="Z438">
        <v>61.874000000000002</v>
      </c>
      <c r="AA438">
        <v>285.13400000000001</v>
      </c>
      <c r="AB438">
        <v>6.99594</v>
      </c>
    </row>
    <row r="439" spans="1:28" x14ac:dyDescent="0.25">
      <c r="A439">
        <v>438</v>
      </c>
      <c r="B439">
        <v>97873848</v>
      </c>
      <c r="C439" s="7" t="s">
        <v>27</v>
      </c>
      <c r="D439">
        <v>-0.17297100000000001</v>
      </c>
      <c r="E439">
        <v>1.91351</v>
      </c>
      <c r="F439">
        <v>-0.17297100000000001</v>
      </c>
      <c r="G439" s="3">
        <f>firm_data[[#This Row],[production]]-firm_data[[#This Row],[sales]]</f>
        <v>0</v>
      </c>
      <c r="H439">
        <v>0</v>
      </c>
      <c r="I439">
        <v>-0.69452899999999995</v>
      </c>
      <c r="J439">
        <v>2</v>
      </c>
      <c r="K439">
        <v>2</v>
      </c>
      <c r="L439">
        <v>0</v>
      </c>
      <c r="M439">
        <v>5</v>
      </c>
      <c r="N439">
        <v>0</v>
      </c>
      <c r="O439">
        <v>0</v>
      </c>
      <c r="P439">
        <v>0.99990000000000001</v>
      </c>
      <c r="Q439" s="7" t="s">
        <v>28</v>
      </c>
      <c r="R439" s="7" t="s">
        <v>151</v>
      </c>
      <c r="S439">
        <v>0</v>
      </c>
      <c r="T439">
        <v>6.3314399999999997</v>
      </c>
      <c r="U439">
        <v>5.97628</v>
      </c>
      <c r="V439">
        <v>0</v>
      </c>
      <c r="W439">
        <v>1.8311200000000001</v>
      </c>
      <c r="X439">
        <v>0</v>
      </c>
      <c r="Y439">
        <v>4</v>
      </c>
      <c r="Z439">
        <v>0</v>
      </c>
      <c r="AA439">
        <v>282.16399999999999</v>
      </c>
      <c r="AB439">
        <v>6.99594</v>
      </c>
    </row>
    <row r="440" spans="1:28" x14ac:dyDescent="0.25">
      <c r="A440">
        <v>439</v>
      </c>
      <c r="B440">
        <v>122114084</v>
      </c>
      <c r="C440" s="7" t="s">
        <v>27</v>
      </c>
      <c r="D440">
        <v>-0.17297100000000001</v>
      </c>
      <c r="E440">
        <v>1.91351</v>
      </c>
      <c r="F440">
        <v>-0.17297100000000001</v>
      </c>
      <c r="G440" s="3">
        <f>firm_data[[#This Row],[production]]-firm_data[[#This Row],[sales]]</f>
        <v>0</v>
      </c>
      <c r="H440">
        <v>0</v>
      </c>
      <c r="I440">
        <v>-0.69452899999999995</v>
      </c>
      <c r="J440">
        <v>2</v>
      </c>
      <c r="K440">
        <v>2</v>
      </c>
      <c r="L440">
        <v>0</v>
      </c>
      <c r="M440">
        <v>5</v>
      </c>
      <c r="N440">
        <v>0</v>
      </c>
      <c r="O440">
        <v>0</v>
      </c>
      <c r="P440">
        <v>0.99990000000000001</v>
      </c>
      <c r="Q440" s="7" t="s">
        <v>28</v>
      </c>
      <c r="R440" s="7" t="s">
        <v>151</v>
      </c>
      <c r="S440">
        <v>0</v>
      </c>
      <c r="T440">
        <v>6.2113199999999997</v>
      </c>
      <c r="U440">
        <v>5.9911399999999997</v>
      </c>
      <c r="V440">
        <v>0</v>
      </c>
      <c r="W440">
        <v>1.8311200000000001</v>
      </c>
      <c r="X440">
        <v>0</v>
      </c>
      <c r="Y440">
        <v>4</v>
      </c>
      <c r="Z440">
        <v>0</v>
      </c>
      <c r="AA440">
        <v>278.02699999999999</v>
      </c>
      <c r="AB440">
        <v>6.99594</v>
      </c>
    </row>
    <row r="441" spans="1:28" x14ac:dyDescent="0.25">
      <c r="A441">
        <v>440</v>
      </c>
      <c r="B441">
        <v>878262718</v>
      </c>
      <c r="C441" s="7" t="s">
        <v>27</v>
      </c>
      <c r="D441">
        <v>-0.17297100000000001</v>
      </c>
      <c r="E441">
        <v>1.91351</v>
      </c>
      <c r="F441">
        <v>-0.17297100000000001</v>
      </c>
      <c r="G441" s="3">
        <f>firm_data[[#This Row],[production]]-firm_data[[#This Row],[sales]]</f>
        <v>0</v>
      </c>
      <c r="H441">
        <v>0</v>
      </c>
      <c r="I441">
        <v>-0.69452899999999995</v>
      </c>
      <c r="J441">
        <v>2</v>
      </c>
      <c r="K441">
        <v>2</v>
      </c>
      <c r="L441">
        <v>0</v>
      </c>
      <c r="M441">
        <v>5</v>
      </c>
      <c r="N441">
        <v>0</v>
      </c>
      <c r="O441">
        <v>0</v>
      </c>
      <c r="P441">
        <v>0.99990000000000001</v>
      </c>
      <c r="Q441" s="7" t="s">
        <v>28</v>
      </c>
      <c r="R441" s="7" t="s">
        <v>151</v>
      </c>
      <c r="S441">
        <v>0</v>
      </c>
      <c r="T441">
        <v>6.0911999999999997</v>
      </c>
      <c r="U441">
        <v>5.99857</v>
      </c>
      <c r="V441">
        <v>0</v>
      </c>
      <c r="W441">
        <v>1.8311200000000001</v>
      </c>
      <c r="X441">
        <v>0</v>
      </c>
      <c r="Y441">
        <v>4</v>
      </c>
      <c r="Z441">
        <v>0</v>
      </c>
      <c r="AA441">
        <v>274.08300000000003</v>
      </c>
      <c r="AB441">
        <v>6.99594</v>
      </c>
    </row>
    <row r="442" spans="1:28" x14ac:dyDescent="0.25">
      <c r="A442">
        <v>441</v>
      </c>
      <c r="B442">
        <v>680385536</v>
      </c>
      <c r="C442" s="7" t="s">
        <v>27</v>
      </c>
      <c r="D442">
        <v>-0.17297100000000001</v>
      </c>
      <c r="E442">
        <v>1.91351</v>
      </c>
      <c r="F442">
        <v>-0.17297100000000001</v>
      </c>
      <c r="G442" s="3">
        <f>firm_data[[#This Row],[production]]-firm_data[[#This Row],[sales]]</f>
        <v>0</v>
      </c>
      <c r="H442">
        <v>0</v>
      </c>
      <c r="I442">
        <v>-0.69452899999999995</v>
      </c>
      <c r="J442">
        <v>2</v>
      </c>
      <c r="K442">
        <v>2</v>
      </c>
      <c r="L442">
        <v>0</v>
      </c>
      <c r="M442">
        <v>5</v>
      </c>
      <c r="N442">
        <v>0</v>
      </c>
      <c r="O442">
        <v>0</v>
      </c>
      <c r="P442">
        <v>0.99990000000000001</v>
      </c>
      <c r="Q442" s="7" t="s">
        <v>28</v>
      </c>
      <c r="R442" s="7" t="s">
        <v>151</v>
      </c>
      <c r="S442">
        <v>0</v>
      </c>
      <c r="T442">
        <v>5.9710799999999997</v>
      </c>
      <c r="U442">
        <v>6.0022900000000003</v>
      </c>
      <c r="V442">
        <v>0</v>
      </c>
      <c r="W442">
        <v>1.8311200000000001</v>
      </c>
      <c r="X442">
        <v>0</v>
      </c>
      <c r="Y442">
        <v>4</v>
      </c>
      <c r="Z442">
        <v>0</v>
      </c>
      <c r="AA442">
        <v>270.45400000000001</v>
      </c>
      <c r="AB442">
        <v>6.99594</v>
      </c>
    </row>
    <row r="443" spans="1:28" x14ac:dyDescent="0.25">
      <c r="A443">
        <v>442</v>
      </c>
      <c r="B443">
        <v>614636719</v>
      </c>
      <c r="C443" s="7" t="s">
        <v>27</v>
      </c>
      <c r="D443">
        <v>-0.19522600000000001</v>
      </c>
      <c r="E443">
        <v>1.91351</v>
      </c>
      <c r="F443">
        <v>-0.19522600000000001</v>
      </c>
      <c r="G443" s="3">
        <f>firm_data[[#This Row],[production]]-firm_data[[#This Row],[sales]]</f>
        <v>0</v>
      </c>
      <c r="H443">
        <v>0</v>
      </c>
      <c r="I443">
        <v>-0.69452899999999995</v>
      </c>
      <c r="J443">
        <v>1.98837</v>
      </c>
      <c r="K443">
        <v>1.98837</v>
      </c>
      <c r="L443">
        <v>0</v>
      </c>
      <c r="M443">
        <v>5</v>
      </c>
      <c r="N443">
        <v>0</v>
      </c>
      <c r="O443">
        <v>0</v>
      </c>
      <c r="P443">
        <v>0.99990000000000001</v>
      </c>
      <c r="Q443" s="7" t="s">
        <v>28</v>
      </c>
      <c r="R443" s="7" t="s">
        <v>151</v>
      </c>
      <c r="S443">
        <v>0</v>
      </c>
      <c r="T443">
        <v>5.8516599999999999</v>
      </c>
      <c r="U443">
        <v>6.0041500000000001</v>
      </c>
      <c r="V443">
        <v>0</v>
      </c>
      <c r="W443">
        <v>1.8311200000000001</v>
      </c>
      <c r="X443">
        <v>0</v>
      </c>
      <c r="Y443">
        <v>4</v>
      </c>
      <c r="Z443">
        <v>0</v>
      </c>
      <c r="AA443">
        <v>267.39</v>
      </c>
      <c r="AB443">
        <v>6.99594</v>
      </c>
    </row>
    <row r="444" spans="1:28" x14ac:dyDescent="0.25">
      <c r="A444">
        <v>443</v>
      </c>
      <c r="B444">
        <v>667089082</v>
      </c>
      <c r="C444" s="7" t="s">
        <v>27</v>
      </c>
      <c r="D444">
        <v>-0.27132200000000001</v>
      </c>
      <c r="E444">
        <v>1.91351</v>
      </c>
      <c r="F444">
        <v>-0.27132200000000001</v>
      </c>
      <c r="G444" s="3">
        <f>firm_data[[#This Row],[production]]-firm_data[[#This Row],[sales]]</f>
        <v>0</v>
      </c>
      <c r="H444">
        <v>0</v>
      </c>
      <c r="I444">
        <v>-0.69452899999999995</v>
      </c>
      <c r="J444">
        <v>1.9486000000000001</v>
      </c>
      <c r="K444">
        <v>1.9486000000000001</v>
      </c>
      <c r="L444">
        <v>0</v>
      </c>
      <c r="M444">
        <v>5</v>
      </c>
      <c r="N444">
        <v>0</v>
      </c>
      <c r="O444">
        <v>0</v>
      </c>
      <c r="P444">
        <v>0.99990000000000001</v>
      </c>
      <c r="Q444" s="7" t="s">
        <v>28</v>
      </c>
      <c r="R444" s="7" t="s">
        <v>151</v>
      </c>
      <c r="S444">
        <v>0</v>
      </c>
      <c r="T444">
        <v>5.7346199999999996</v>
      </c>
      <c r="U444">
        <v>5.9876100000000001</v>
      </c>
      <c r="V444">
        <v>0</v>
      </c>
      <c r="W444">
        <v>1.8311200000000001</v>
      </c>
      <c r="X444">
        <v>0</v>
      </c>
      <c r="Y444">
        <v>4</v>
      </c>
      <c r="Z444">
        <v>0</v>
      </c>
      <c r="AA444">
        <v>263.48399999999998</v>
      </c>
      <c r="AB444">
        <v>6.99594</v>
      </c>
    </row>
    <row r="445" spans="1:28" x14ac:dyDescent="0.25">
      <c r="A445">
        <v>444</v>
      </c>
      <c r="B445">
        <v>754475882</v>
      </c>
      <c r="C445" s="7" t="s">
        <v>27</v>
      </c>
      <c r="D445">
        <v>-0.34589500000000001</v>
      </c>
      <c r="E445">
        <v>1.91351</v>
      </c>
      <c r="F445">
        <v>-0.34589500000000001</v>
      </c>
      <c r="G445" s="3">
        <f>firm_data[[#This Row],[production]]-firm_data[[#This Row],[sales]]</f>
        <v>0</v>
      </c>
      <c r="H445">
        <v>0</v>
      </c>
      <c r="I445">
        <v>-0.69452899999999995</v>
      </c>
      <c r="J445">
        <v>1.9096299999999999</v>
      </c>
      <c r="K445">
        <v>1.9096299999999999</v>
      </c>
      <c r="L445">
        <v>0</v>
      </c>
      <c r="M445">
        <v>5</v>
      </c>
      <c r="N445">
        <v>0</v>
      </c>
      <c r="O445">
        <v>0</v>
      </c>
      <c r="P445">
        <v>0.99990000000000001</v>
      </c>
      <c r="Q445" s="7" t="s">
        <v>28</v>
      </c>
      <c r="R445" s="7" t="s">
        <v>151</v>
      </c>
      <c r="S445">
        <v>0</v>
      </c>
      <c r="T445">
        <v>5.6199300000000001</v>
      </c>
      <c r="U445">
        <v>5.9196400000000002</v>
      </c>
      <c r="V445">
        <v>0</v>
      </c>
      <c r="W445">
        <v>1.8311200000000001</v>
      </c>
      <c r="X445">
        <v>0</v>
      </c>
      <c r="Y445">
        <v>4</v>
      </c>
      <c r="Z445">
        <v>0</v>
      </c>
      <c r="AA445">
        <v>259.45499999999998</v>
      </c>
      <c r="AB445">
        <v>6.99594</v>
      </c>
    </row>
    <row r="446" spans="1:28" x14ac:dyDescent="0.25">
      <c r="A446">
        <v>445</v>
      </c>
      <c r="B446">
        <v>664340012</v>
      </c>
      <c r="C446" s="7" t="s">
        <v>27</v>
      </c>
      <c r="D446">
        <v>-0.41897699999999999</v>
      </c>
      <c r="E446">
        <v>1.91351</v>
      </c>
      <c r="F446">
        <v>-0.41897699999999999</v>
      </c>
      <c r="G446" s="3">
        <f>firm_data[[#This Row],[production]]-firm_data[[#This Row],[sales]]</f>
        <v>0</v>
      </c>
      <c r="H446">
        <v>0</v>
      </c>
      <c r="I446">
        <v>-0.69452899999999995</v>
      </c>
      <c r="J446">
        <v>1.87144</v>
      </c>
      <c r="K446">
        <v>1.87144</v>
      </c>
      <c r="L446">
        <v>0</v>
      </c>
      <c r="M446">
        <v>5</v>
      </c>
      <c r="N446">
        <v>0</v>
      </c>
      <c r="O446">
        <v>0</v>
      </c>
      <c r="P446">
        <v>0.99990000000000001</v>
      </c>
      <c r="Q446" s="7" t="s">
        <v>28</v>
      </c>
      <c r="R446" s="7" t="s">
        <v>151</v>
      </c>
      <c r="S446">
        <v>0</v>
      </c>
      <c r="T446">
        <v>5.50753</v>
      </c>
      <c r="U446">
        <v>5.8271300000000004</v>
      </c>
      <c r="V446">
        <v>0</v>
      </c>
      <c r="W446">
        <v>1.8311200000000001</v>
      </c>
      <c r="X446">
        <v>0</v>
      </c>
      <c r="Y446">
        <v>4</v>
      </c>
      <c r="Z446">
        <v>0</v>
      </c>
      <c r="AA446">
        <v>259.32</v>
      </c>
      <c r="AB446">
        <v>6.99594</v>
      </c>
    </row>
    <row r="447" spans="1:28" x14ac:dyDescent="0.25">
      <c r="A447">
        <v>446</v>
      </c>
      <c r="B447">
        <v>662731058</v>
      </c>
      <c r="C447" s="7" t="s">
        <v>27</v>
      </c>
      <c r="D447">
        <v>-0.49059799999999998</v>
      </c>
      <c r="E447">
        <v>1.91351</v>
      </c>
      <c r="F447">
        <v>-0.49059799999999998</v>
      </c>
      <c r="G447" s="3">
        <f>firm_data[[#This Row],[production]]-firm_data[[#This Row],[sales]]</f>
        <v>0</v>
      </c>
      <c r="H447">
        <v>0</v>
      </c>
      <c r="I447">
        <v>-0.69452899999999995</v>
      </c>
      <c r="J447">
        <v>1.8340099999999999</v>
      </c>
      <c r="K447">
        <v>1.8340099999999999</v>
      </c>
      <c r="L447">
        <v>0</v>
      </c>
      <c r="M447">
        <v>5</v>
      </c>
      <c r="N447">
        <v>0</v>
      </c>
      <c r="O447">
        <v>0</v>
      </c>
      <c r="P447">
        <v>0.99990000000000001</v>
      </c>
      <c r="Q447" s="7" t="s">
        <v>28</v>
      </c>
      <c r="R447" s="7" t="s">
        <v>151</v>
      </c>
      <c r="S447">
        <v>0</v>
      </c>
      <c r="T447">
        <v>5.3973800000000001</v>
      </c>
      <c r="U447">
        <v>5.7235300000000002</v>
      </c>
      <c r="V447">
        <v>0</v>
      </c>
      <c r="W447">
        <v>1.8311200000000001</v>
      </c>
      <c r="X447">
        <v>0</v>
      </c>
      <c r="Y447">
        <v>4</v>
      </c>
      <c r="Z447">
        <v>0</v>
      </c>
      <c r="AA447">
        <v>257.964</v>
      </c>
      <c r="AB447">
        <v>6.99594</v>
      </c>
    </row>
    <row r="448" spans="1:28" x14ac:dyDescent="0.25">
      <c r="A448">
        <v>447</v>
      </c>
      <c r="B448">
        <v>608743063</v>
      </c>
      <c r="C448" s="7" t="s">
        <v>27</v>
      </c>
      <c r="D448">
        <v>-48.052300000000002</v>
      </c>
      <c r="E448">
        <v>1.91351</v>
      </c>
      <c r="F448">
        <v>-48.052300000000002</v>
      </c>
      <c r="G448" s="3">
        <f>firm_data[[#This Row],[production]]-firm_data[[#This Row],[sales]]</f>
        <v>0</v>
      </c>
      <c r="H448">
        <v>0</v>
      </c>
      <c r="I448">
        <v>-0.69452899999999995</v>
      </c>
      <c r="J448">
        <v>1.7973300000000001</v>
      </c>
      <c r="K448">
        <v>1.7973300000000001</v>
      </c>
      <c r="L448">
        <v>0</v>
      </c>
      <c r="M448">
        <v>5</v>
      </c>
      <c r="N448">
        <v>0</v>
      </c>
      <c r="O448">
        <v>0</v>
      </c>
      <c r="P448">
        <v>0.99990000000000001</v>
      </c>
      <c r="Q448" s="7" t="s">
        <v>28</v>
      </c>
      <c r="R448" s="7" t="s">
        <v>151</v>
      </c>
      <c r="S448">
        <v>0</v>
      </c>
      <c r="T448">
        <v>6.2894300000000003</v>
      </c>
      <c r="U448">
        <v>5.6155299999999997</v>
      </c>
      <c r="V448">
        <v>47.491500000000002</v>
      </c>
      <c r="W448">
        <v>1.8311200000000001</v>
      </c>
      <c r="X448">
        <v>1.6583699999999999</v>
      </c>
      <c r="Y448">
        <v>4</v>
      </c>
      <c r="Z448">
        <v>79.504599999999996</v>
      </c>
      <c r="AA448">
        <v>301.52499999999998</v>
      </c>
      <c r="AB448">
        <v>6.6065100000000001</v>
      </c>
    </row>
    <row r="449" spans="1:28" x14ac:dyDescent="0.25">
      <c r="A449">
        <v>448</v>
      </c>
      <c r="B449">
        <v>319927294</v>
      </c>
      <c r="C449" s="7" t="s">
        <v>27</v>
      </c>
      <c r="D449">
        <v>-30.305800000000001</v>
      </c>
      <c r="E449">
        <v>1.91351</v>
      </c>
      <c r="F449">
        <v>-30.305800000000001</v>
      </c>
      <c r="G449" s="3">
        <f>firm_data[[#This Row],[production]]-firm_data[[#This Row],[sales]]</f>
        <v>0</v>
      </c>
      <c r="H449">
        <v>0</v>
      </c>
      <c r="I449">
        <v>-0.69452899999999995</v>
      </c>
      <c r="J449">
        <v>2</v>
      </c>
      <c r="K449">
        <v>2</v>
      </c>
      <c r="L449">
        <v>0</v>
      </c>
      <c r="M449">
        <v>5</v>
      </c>
      <c r="N449">
        <v>0</v>
      </c>
      <c r="O449">
        <v>0</v>
      </c>
      <c r="P449">
        <v>0.99990000000000001</v>
      </c>
      <c r="Q449" s="7" t="s">
        <v>28</v>
      </c>
      <c r="R449" s="7" t="s">
        <v>151</v>
      </c>
      <c r="S449">
        <v>0</v>
      </c>
      <c r="T449">
        <v>6.7985800000000003</v>
      </c>
      <c r="U449">
        <v>5.5064599999999997</v>
      </c>
      <c r="V449">
        <v>30.132899999999999</v>
      </c>
      <c r="W449">
        <v>1.8311200000000001</v>
      </c>
      <c r="X449">
        <v>0.62926700000000002</v>
      </c>
      <c r="Y449">
        <v>4</v>
      </c>
      <c r="Z449">
        <v>30.396599999999999</v>
      </c>
      <c r="AA449">
        <v>328.404</v>
      </c>
      <c r="AB449">
        <v>6.47818</v>
      </c>
    </row>
    <row r="450" spans="1:28" x14ac:dyDescent="0.25">
      <c r="A450">
        <v>449</v>
      </c>
      <c r="B450">
        <v>399476449</v>
      </c>
      <c r="C450" s="7" t="s">
        <v>27</v>
      </c>
      <c r="D450">
        <v>-0.17297100000000001</v>
      </c>
      <c r="E450">
        <v>1.91351</v>
      </c>
      <c r="F450">
        <v>-0.17297100000000001</v>
      </c>
      <c r="G450" s="3">
        <f>firm_data[[#This Row],[production]]-firm_data[[#This Row],[sales]]</f>
        <v>0</v>
      </c>
      <c r="H450">
        <v>0</v>
      </c>
      <c r="I450">
        <v>-0.69452899999999995</v>
      </c>
      <c r="J450">
        <v>2</v>
      </c>
      <c r="K450">
        <v>2</v>
      </c>
      <c r="L450">
        <v>0</v>
      </c>
      <c r="M450">
        <v>5</v>
      </c>
      <c r="N450">
        <v>0</v>
      </c>
      <c r="O450">
        <v>0</v>
      </c>
      <c r="P450">
        <v>0.99990000000000001</v>
      </c>
      <c r="Q450" s="7" t="s">
        <v>28</v>
      </c>
      <c r="R450" s="7" t="s">
        <v>151</v>
      </c>
      <c r="S450">
        <v>0</v>
      </c>
      <c r="T450">
        <v>6.6784600000000003</v>
      </c>
      <c r="U450">
        <v>5.7562300000000004</v>
      </c>
      <c r="V450">
        <v>0</v>
      </c>
      <c r="W450">
        <v>1.8311200000000001</v>
      </c>
      <c r="X450">
        <v>0</v>
      </c>
      <c r="Y450">
        <v>4</v>
      </c>
      <c r="Z450">
        <v>0</v>
      </c>
      <c r="AA450">
        <v>324.88400000000001</v>
      </c>
      <c r="AB450">
        <v>6.47818</v>
      </c>
    </row>
    <row r="451" spans="1:28" x14ac:dyDescent="0.25">
      <c r="A451">
        <v>450</v>
      </c>
      <c r="B451">
        <v>823902069</v>
      </c>
      <c r="C451" s="7" t="s">
        <v>27</v>
      </c>
      <c r="D451">
        <v>-0.17297100000000001</v>
      </c>
      <c r="E451">
        <v>1.91351</v>
      </c>
      <c r="F451">
        <v>-0.17297100000000001</v>
      </c>
      <c r="G451" s="3">
        <f>firm_data[[#This Row],[production]]-firm_data[[#This Row],[sales]]</f>
        <v>0</v>
      </c>
      <c r="H451">
        <v>0</v>
      </c>
      <c r="I451">
        <v>-0.69452899999999995</v>
      </c>
      <c r="J451">
        <v>2</v>
      </c>
      <c r="K451">
        <v>2</v>
      </c>
      <c r="L451">
        <v>0</v>
      </c>
      <c r="M451">
        <v>5</v>
      </c>
      <c r="N451">
        <v>0</v>
      </c>
      <c r="O451">
        <v>0</v>
      </c>
      <c r="P451">
        <v>0.99990000000000001</v>
      </c>
      <c r="Q451" s="7" t="s">
        <v>28</v>
      </c>
      <c r="R451" s="7" t="s">
        <v>151</v>
      </c>
      <c r="S451">
        <v>0</v>
      </c>
      <c r="T451">
        <v>6.5583400000000003</v>
      </c>
      <c r="U451">
        <v>5.8811200000000001</v>
      </c>
      <c r="V451">
        <v>0</v>
      </c>
      <c r="W451">
        <v>1.8311200000000001</v>
      </c>
      <c r="X451">
        <v>0</v>
      </c>
      <c r="Y451">
        <v>4</v>
      </c>
      <c r="Z451">
        <v>0</v>
      </c>
      <c r="AA451">
        <v>320.68099999999998</v>
      </c>
      <c r="AB451">
        <v>6.47818</v>
      </c>
    </row>
    <row r="452" spans="1:28" x14ac:dyDescent="0.25">
      <c r="A452">
        <v>451</v>
      </c>
      <c r="B452">
        <v>503335271</v>
      </c>
      <c r="C452" s="7" t="s">
        <v>27</v>
      </c>
      <c r="D452">
        <v>-43.927599999999998</v>
      </c>
      <c r="E452">
        <v>1.91351</v>
      </c>
      <c r="F452">
        <v>-43.927599999999998</v>
      </c>
      <c r="G452" s="3">
        <f>firm_data[[#This Row],[production]]-firm_data[[#This Row],[sales]]</f>
        <v>0</v>
      </c>
      <c r="H452">
        <v>0</v>
      </c>
      <c r="I452">
        <v>-0.69452899999999995</v>
      </c>
      <c r="J452">
        <v>2</v>
      </c>
      <c r="K452">
        <v>2</v>
      </c>
      <c r="L452">
        <v>0</v>
      </c>
      <c r="M452">
        <v>5</v>
      </c>
      <c r="N452">
        <v>0</v>
      </c>
      <c r="O452">
        <v>0</v>
      </c>
      <c r="P452">
        <v>0.99990000000000001</v>
      </c>
      <c r="Q452" s="7" t="s">
        <v>28</v>
      </c>
      <c r="R452" s="7" t="s">
        <v>151</v>
      </c>
      <c r="S452">
        <v>0</v>
      </c>
      <c r="T452">
        <v>7.3477899999999998</v>
      </c>
      <c r="U452">
        <v>5.9435599999999997</v>
      </c>
      <c r="V452">
        <v>43.7547</v>
      </c>
      <c r="W452">
        <v>1.8311200000000001</v>
      </c>
      <c r="X452">
        <v>0.90956999999999999</v>
      </c>
      <c r="Y452">
        <v>4</v>
      </c>
      <c r="Z452">
        <v>44.955300000000001</v>
      </c>
      <c r="AA452">
        <v>363.16300000000001</v>
      </c>
      <c r="AB452">
        <v>6.9924299999999997</v>
      </c>
    </row>
    <row r="453" spans="1:28" x14ac:dyDescent="0.25">
      <c r="A453">
        <v>452</v>
      </c>
      <c r="B453">
        <v>499421395</v>
      </c>
      <c r="C453" s="7" t="s">
        <v>27</v>
      </c>
      <c r="D453">
        <v>-7.6146200000000004</v>
      </c>
      <c r="E453">
        <v>1.91351</v>
      </c>
      <c r="F453">
        <v>-7.6146200000000004</v>
      </c>
      <c r="G453" s="3">
        <f>firm_data[[#This Row],[production]]-firm_data[[#This Row],[sales]]</f>
        <v>0</v>
      </c>
      <c r="H453">
        <v>0</v>
      </c>
      <c r="I453">
        <v>-0.69452899999999995</v>
      </c>
      <c r="J453">
        <v>2</v>
      </c>
      <c r="K453">
        <v>2</v>
      </c>
      <c r="L453">
        <v>0</v>
      </c>
      <c r="M453">
        <v>5</v>
      </c>
      <c r="N453">
        <v>0</v>
      </c>
      <c r="O453">
        <v>0</v>
      </c>
      <c r="P453">
        <v>0.99990000000000001</v>
      </c>
      <c r="Q453" s="7" t="s">
        <v>28</v>
      </c>
      <c r="R453" s="7" t="s">
        <v>151</v>
      </c>
      <c r="S453">
        <v>0</v>
      </c>
      <c r="T453">
        <v>7.3870199999999997</v>
      </c>
      <c r="U453">
        <v>5.97478</v>
      </c>
      <c r="V453">
        <v>7.4416500000000001</v>
      </c>
      <c r="W453">
        <v>1.8311200000000001</v>
      </c>
      <c r="X453">
        <v>0.15934899999999999</v>
      </c>
      <c r="Y453">
        <v>4</v>
      </c>
      <c r="Z453">
        <v>7.9458000000000002</v>
      </c>
      <c r="AA453">
        <v>368.34699999999998</v>
      </c>
      <c r="AB453">
        <v>7.0291600000000001</v>
      </c>
    </row>
    <row r="454" spans="1:28" x14ac:dyDescent="0.25">
      <c r="A454">
        <v>453</v>
      </c>
      <c r="B454">
        <v>112437424</v>
      </c>
      <c r="C454" s="7" t="s">
        <v>27</v>
      </c>
      <c r="D454">
        <v>-0.17297100000000001</v>
      </c>
      <c r="E454">
        <v>1.91351</v>
      </c>
      <c r="F454">
        <v>-0.17297100000000001</v>
      </c>
      <c r="G454" s="3">
        <f>firm_data[[#This Row],[production]]-firm_data[[#This Row],[sales]]</f>
        <v>0</v>
      </c>
      <c r="H454">
        <v>0</v>
      </c>
      <c r="I454">
        <v>-0.69452899999999995</v>
      </c>
      <c r="J454">
        <v>2</v>
      </c>
      <c r="K454">
        <v>2</v>
      </c>
      <c r="L454">
        <v>0</v>
      </c>
      <c r="M454">
        <v>5</v>
      </c>
      <c r="N454">
        <v>0</v>
      </c>
      <c r="O454">
        <v>0</v>
      </c>
      <c r="P454">
        <v>0.99990000000000001</v>
      </c>
      <c r="Q454" s="7" t="s">
        <v>28</v>
      </c>
      <c r="R454" s="7" t="s">
        <v>151</v>
      </c>
      <c r="S454">
        <v>0</v>
      </c>
      <c r="T454">
        <v>7.2668999999999997</v>
      </c>
      <c r="U454">
        <v>5.9904000000000002</v>
      </c>
      <c r="V454">
        <v>0</v>
      </c>
      <c r="W454">
        <v>1.8311200000000001</v>
      </c>
      <c r="X454">
        <v>0</v>
      </c>
      <c r="Y454">
        <v>4</v>
      </c>
      <c r="Z454">
        <v>0</v>
      </c>
      <c r="AA454">
        <v>366.846</v>
      </c>
      <c r="AB454">
        <v>7.0291600000000001</v>
      </c>
    </row>
    <row r="455" spans="1:28" x14ac:dyDescent="0.25">
      <c r="A455">
        <v>454</v>
      </c>
      <c r="B455">
        <v>690505706</v>
      </c>
      <c r="C455" s="7" t="s">
        <v>27</v>
      </c>
      <c r="D455">
        <v>-0.17297100000000001</v>
      </c>
      <c r="E455">
        <v>1.91351</v>
      </c>
      <c r="F455">
        <v>-0.17297100000000001</v>
      </c>
      <c r="G455" s="3">
        <f>firm_data[[#This Row],[production]]-firm_data[[#This Row],[sales]]</f>
        <v>0</v>
      </c>
      <c r="H455">
        <v>0</v>
      </c>
      <c r="I455">
        <v>-0.69452899999999995</v>
      </c>
      <c r="J455">
        <v>2</v>
      </c>
      <c r="K455">
        <v>2</v>
      </c>
      <c r="L455">
        <v>0</v>
      </c>
      <c r="M455">
        <v>5</v>
      </c>
      <c r="N455">
        <v>0</v>
      </c>
      <c r="O455">
        <v>0</v>
      </c>
      <c r="P455">
        <v>0.99990000000000001</v>
      </c>
      <c r="Q455" s="7" t="s">
        <v>28</v>
      </c>
      <c r="R455" s="7" t="s">
        <v>151</v>
      </c>
      <c r="S455">
        <v>0</v>
      </c>
      <c r="T455">
        <v>7.1467799999999997</v>
      </c>
      <c r="U455">
        <v>5.9981999999999998</v>
      </c>
      <c r="V455">
        <v>0</v>
      </c>
      <c r="W455">
        <v>1.8311200000000001</v>
      </c>
      <c r="X455">
        <v>0</v>
      </c>
      <c r="Y455">
        <v>4</v>
      </c>
      <c r="Z455">
        <v>0</v>
      </c>
      <c r="AA455">
        <v>361.87599999999998</v>
      </c>
      <c r="AB455">
        <v>7.0291600000000001</v>
      </c>
    </row>
    <row r="456" spans="1:28" x14ac:dyDescent="0.25">
      <c r="A456">
        <v>455</v>
      </c>
      <c r="B456">
        <v>217190435</v>
      </c>
      <c r="C456" s="7" t="s">
        <v>27</v>
      </c>
      <c r="D456">
        <v>-18.697800000000001</v>
      </c>
      <c r="E456">
        <v>1.91351</v>
      </c>
      <c r="F456">
        <v>-18.697800000000001</v>
      </c>
      <c r="G456" s="3">
        <f>firm_data[[#This Row],[production]]-firm_data[[#This Row],[sales]]</f>
        <v>0</v>
      </c>
      <c r="H456">
        <v>0</v>
      </c>
      <c r="I456">
        <v>-0.69452899999999995</v>
      </c>
      <c r="J456">
        <v>2</v>
      </c>
      <c r="K456">
        <v>2</v>
      </c>
      <c r="L456">
        <v>0</v>
      </c>
      <c r="M456">
        <v>5</v>
      </c>
      <c r="N456">
        <v>0</v>
      </c>
      <c r="O456">
        <v>0</v>
      </c>
      <c r="P456">
        <v>0.99990000000000001</v>
      </c>
      <c r="Q456" s="7" t="s">
        <v>28</v>
      </c>
      <c r="R456" s="7" t="s">
        <v>151</v>
      </c>
      <c r="S456">
        <v>0</v>
      </c>
      <c r="T456">
        <v>7.4213500000000003</v>
      </c>
      <c r="U456">
        <v>6.0021000000000004</v>
      </c>
      <c r="V456">
        <v>18.524899999999999</v>
      </c>
      <c r="W456">
        <v>1.8311200000000001</v>
      </c>
      <c r="X456">
        <v>0.39468599999999998</v>
      </c>
      <c r="Y456">
        <v>4</v>
      </c>
      <c r="Z456">
        <v>20.104399999999998</v>
      </c>
      <c r="AA456">
        <v>378.02699999999999</v>
      </c>
      <c r="AB456">
        <v>7.0613000000000001</v>
      </c>
    </row>
    <row r="457" spans="1:28" x14ac:dyDescent="0.25">
      <c r="A457">
        <v>456</v>
      </c>
      <c r="B457">
        <v>216659257</v>
      </c>
      <c r="C457" s="7" t="s">
        <v>27</v>
      </c>
      <c r="D457">
        <v>-0.17297100000000001</v>
      </c>
      <c r="E457">
        <v>1.91351</v>
      </c>
      <c r="F457">
        <v>-0.17297100000000001</v>
      </c>
      <c r="G457" s="3">
        <f>firm_data[[#This Row],[production]]-firm_data[[#This Row],[sales]]</f>
        <v>0</v>
      </c>
      <c r="H457">
        <v>0</v>
      </c>
      <c r="I457">
        <v>-0.69452899999999995</v>
      </c>
      <c r="J457">
        <v>2</v>
      </c>
      <c r="K457">
        <v>2</v>
      </c>
      <c r="L457">
        <v>0</v>
      </c>
      <c r="M457">
        <v>5</v>
      </c>
      <c r="N457">
        <v>0</v>
      </c>
      <c r="O457">
        <v>0</v>
      </c>
      <c r="P457">
        <v>0.99990000000000001</v>
      </c>
      <c r="Q457" s="7" t="s">
        <v>28</v>
      </c>
      <c r="R457" s="7" t="s">
        <v>151</v>
      </c>
      <c r="S457">
        <v>0</v>
      </c>
      <c r="T457">
        <v>7.3012300000000003</v>
      </c>
      <c r="U457">
        <v>6.0040500000000003</v>
      </c>
      <c r="V457">
        <v>0</v>
      </c>
      <c r="W457">
        <v>1.8311200000000001</v>
      </c>
      <c r="X457">
        <v>0</v>
      </c>
      <c r="Y457">
        <v>4</v>
      </c>
      <c r="Z457">
        <v>0</v>
      </c>
      <c r="AA457">
        <v>378.346</v>
      </c>
      <c r="AB457">
        <v>7.0613000000000001</v>
      </c>
    </row>
    <row r="458" spans="1:28" x14ac:dyDescent="0.25">
      <c r="A458">
        <v>457</v>
      </c>
      <c r="B458">
        <v>928193350</v>
      </c>
      <c r="C458" s="7" t="s">
        <v>27</v>
      </c>
      <c r="D458">
        <v>-0.17297100000000001</v>
      </c>
      <c r="E458">
        <v>1.91351</v>
      </c>
      <c r="F458">
        <v>-0.17297100000000001</v>
      </c>
      <c r="G458" s="3">
        <f>firm_data[[#This Row],[production]]-firm_data[[#This Row],[sales]]</f>
        <v>0</v>
      </c>
      <c r="H458">
        <v>0</v>
      </c>
      <c r="I458">
        <v>-0.69452899999999995</v>
      </c>
      <c r="J458">
        <v>2</v>
      </c>
      <c r="K458">
        <v>2</v>
      </c>
      <c r="L458">
        <v>0</v>
      </c>
      <c r="M458">
        <v>5</v>
      </c>
      <c r="N458">
        <v>0</v>
      </c>
      <c r="O458">
        <v>0</v>
      </c>
      <c r="P458">
        <v>0.99990000000000001</v>
      </c>
      <c r="Q458" s="7" t="s">
        <v>28</v>
      </c>
      <c r="R458" s="7" t="s">
        <v>151</v>
      </c>
      <c r="S458">
        <v>0</v>
      </c>
      <c r="T458">
        <v>7.1811100000000003</v>
      </c>
      <c r="U458">
        <v>6.0050299999999996</v>
      </c>
      <c r="V458">
        <v>0</v>
      </c>
      <c r="W458">
        <v>1.8311200000000001</v>
      </c>
      <c r="X458">
        <v>0</v>
      </c>
      <c r="Y458">
        <v>4</v>
      </c>
      <c r="Z458">
        <v>0</v>
      </c>
      <c r="AA458">
        <v>375.3</v>
      </c>
      <c r="AB458">
        <v>7.0613000000000001</v>
      </c>
    </row>
    <row r="459" spans="1:28" x14ac:dyDescent="0.25">
      <c r="A459">
        <v>458</v>
      </c>
      <c r="B459">
        <v>214032322</v>
      </c>
      <c r="C459" s="7" t="s">
        <v>27</v>
      </c>
      <c r="D459">
        <v>-0.17297100000000001</v>
      </c>
      <c r="E459">
        <v>1.91351</v>
      </c>
      <c r="F459">
        <v>-0.17297100000000001</v>
      </c>
      <c r="G459" s="3">
        <f>firm_data[[#This Row],[production]]-firm_data[[#This Row],[sales]]</f>
        <v>0</v>
      </c>
      <c r="H459">
        <v>0</v>
      </c>
      <c r="I459">
        <v>-0.69452899999999995</v>
      </c>
      <c r="J459">
        <v>2</v>
      </c>
      <c r="K459">
        <v>2</v>
      </c>
      <c r="L459">
        <v>0</v>
      </c>
      <c r="M459">
        <v>5</v>
      </c>
      <c r="N459">
        <v>0</v>
      </c>
      <c r="O459">
        <v>0</v>
      </c>
      <c r="P459">
        <v>0.99990000000000001</v>
      </c>
      <c r="Q459" s="7" t="s">
        <v>28</v>
      </c>
      <c r="R459" s="7" t="s">
        <v>151</v>
      </c>
      <c r="S459">
        <v>0</v>
      </c>
      <c r="T459">
        <v>7.0609900000000003</v>
      </c>
      <c r="U459">
        <v>6.0055199999999997</v>
      </c>
      <c r="V459">
        <v>0</v>
      </c>
      <c r="W459">
        <v>1.8311200000000001</v>
      </c>
      <c r="X459">
        <v>0</v>
      </c>
      <c r="Y459">
        <v>4</v>
      </c>
      <c r="Z459">
        <v>0</v>
      </c>
      <c r="AA459">
        <v>373.04300000000001</v>
      </c>
      <c r="AB459">
        <v>7.0613000000000001</v>
      </c>
    </row>
    <row r="460" spans="1:28" x14ac:dyDescent="0.25">
      <c r="A460">
        <v>459</v>
      </c>
      <c r="B460">
        <v>544625282</v>
      </c>
      <c r="C460" s="7" t="s">
        <v>27</v>
      </c>
      <c r="D460">
        <v>-0.17297100000000001</v>
      </c>
      <c r="E460">
        <v>1.91351</v>
      </c>
      <c r="F460">
        <v>-0.17297100000000001</v>
      </c>
      <c r="G460" s="3">
        <f>firm_data[[#This Row],[production]]-firm_data[[#This Row],[sales]]</f>
        <v>0</v>
      </c>
      <c r="H460">
        <v>0</v>
      </c>
      <c r="I460">
        <v>-0.69452899999999995</v>
      </c>
      <c r="J460">
        <v>2</v>
      </c>
      <c r="K460">
        <v>2</v>
      </c>
      <c r="L460">
        <v>0</v>
      </c>
      <c r="M460">
        <v>5</v>
      </c>
      <c r="N460">
        <v>0</v>
      </c>
      <c r="O460">
        <v>0</v>
      </c>
      <c r="P460">
        <v>0.99990000000000001</v>
      </c>
      <c r="Q460" s="7" t="s">
        <v>28</v>
      </c>
      <c r="R460" s="7" t="s">
        <v>151</v>
      </c>
      <c r="S460">
        <v>0</v>
      </c>
      <c r="T460">
        <v>6.9408700000000003</v>
      </c>
      <c r="U460">
        <v>6.0057600000000004</v>
      </c>
      <c r="V460">
        <v>0</v>
      </c>
      <c r="W460">
        <v>1.8311200000000001</v>
      </c>
      <c r="X460">
        <v>0</v>
      </c>
      <c r="Y460">
        <v>4</v>
      </c>
      <c r="Z460">
        <v>0</v>
      </c>
      <c r="AA460">
        <v>369.76799999999997</v>
      </c>
      <c r="AB460">
        <v>7.0613000000000001</v>
      </c>
    </row>
    <row r="461" spans="1:28" x14ac:dyDescent="0.25">
      <c r="A461">
        <v>460</v>
      </c>
      <c r="B461">
        <v>837644506</v>
      </c>
      <c r="C461" s="7" t="s">
        <v>27</v>
      </c>
      <c r="D461">
        <v>-30.744700000000002</v>
      </c>
      <c r="E461">
        <v>1.91351</v>
      </c>
      <c r="F461">
        <v>-30.744700000000002</v>
      </c>
      <c r="G461" s="3">
        <f>firm_data[[#This Row],[production]]-firm_data[[#This Row],[sales]]</f>
        <v>0</v>
      </c>
      <c r="H461">
        <v>0</v>
      </c>
      <c r="I461">
        <v>-0.69452899999999995</v>
      </c>
      <c r="J461">
        <v>2</v>
      </c>
      <c r="K461">
        <v>2</v>
      </c>
      <c r="L461">
        <v>0</v>
      </c>
      <c r="M461">
        <v>5</v>
      </c>
      <c r="N461">
        <v>0</v>
      </c>
      <c r="O461">
        <v>0</v>
      </c>
      <c r="P461">
        <v>0.99990000000000001</v>
      </c>
      <c r="Q461" s="7" t="s">
        <v>28</v>
      </c>
      <c r="R461" s="7" t="s">
        <v>151</v>
      </c>
      <c r="S461">
        <v>0</v>
      </c>
      <c r="T461">
        <v>7.4260999999999999</v>
      </c>
      <c r="U461">
        <v>6.0058800000000003</v>
      </c>
      <c r="V461">
        <v>30.5717</v>
      </c>
      <c r="W461">
        <v>1.8311200000000001</v>
      </c>
      <c r="X461">
        <v>0.60535099999999997</v>
      </c>
      <c r="Y461">
        <v>4</v>
      </c>
      <c r="Z461">
        <v>32.609299999999998</v>
      </c>
      <c r="AA461">
        <v>400.03199999999998</v>
      </c>
      <c r="AB461">
        <v>7.0657500000000004</v>
      </c>
    </row>
    <row r="462" spans="1:28" x14ac:dyDescent="0.25">
      <c r="A462">
        <v>461</v>
      </c>
      <c r="B462">
        <v>502279971</v>
      </c>
      <c r="C462" s="7" t="s">
        <v>27</v>
      </c>
      <c r="D462">
        <v>-0.17297100000000001</v>
      </c>
      <c r="E462">
        <v>1.91351</v>
      </c>
      <c r="F462">
        <v>-0.17297100000000001</v>
      </c>
      <c r="G462" s="3">
        <f>firm_data[[#This Row],[production]]-firm_data[[#This Row],[sales]]</f>
        <v>0</v>
      </c>
      <c r="H462">
        <v>0</v>
      </c>
      <c r="I462">
        <v>-0.69452899999999995</v>
      </c>
      <c r="J462">
        <v>2</v>
      </c>
      <c r="K462">
        <v>2</v>
      </c>
      <c r="L462">
        <v>0</v>
      </c>
      <c r="M462">
        <v>5</v>
      </c>
      <c r="N462">
        <v>0</v>
      </c>
      <c r="O462">
        <v>0</v>
      </c>
      <c r="P462">
        <v>0.99990000000000001</v>
      </c>
      <c r="Q462" s="7" t="s">
        <v>28</v>
      </c>
      <c r="R462" s="7" t="s">
        <v>151</v>
      </c>
      <c r="S462">
        <v>0</v>
      </c>
      <c r="T462">
        <v>7.3059799999999999</v>
      </c>
      <c r="U462">
        <v>6.0059500000000003</v>
      </c>
      <c r="V462">
        <v>0</v>
      </c>
      <c r="W462">
        <v>1.8311200000000001</v>
      </c>
      <c r="X462">
        <v>0</v>
      </c>
      <c r="Y462">
        <v>4</v>
      </c>
      <c r="Z462">
        <v>0</v>
      </c>
      <c r="AA462">
        <v>396.87799999999999</v>
      </c>
      <c r="AB462">
        <v>7.0657500000000004</v>
      </c>
    </row>
    <row r="463" spans="1:28" x14ac:dyDescent="0.25">
      <c r="A463">
        <v>462</v>
      </c>
      <c r="B463">
        <v>119422827</v>
      </c>
      <c r="C463" s="7" t="s">
        <v>27</v>
      </c>
      <c r="D463">
        <v>-0.17297100000000001</v>
      </c>
      <c r="E463">
        <v>1.91351</v>
      </c>
      <c r="F463">
        <v>-0.17297100000000001</v>
      </c>
      <c r="G463" s="3">
        <f>firm_data[[#This Row],[production]]-firm_data[[#This Row],[sales]]</f>
        <v>0</v>
      </c>
      <c r="H463">
        <v>0</v>
      </c>
      <c r="I463">
        <v>-0.69452899999999995</v>
      </c>
      <c r="J463">
        <v>2</v>
      </c>
      <c r="K463">
        <v>2</v>
      </c>
      <c r="L463">
        <v>0</v>
      </c>
      <c r="M463">
        <v>5</v>
      </c>
      <c r="N463">
        <v>0</v>
      </c>
      <c r="O463">
        <v>0</v>
      </c>
      <c r="P463">
        <v>0.99990000000000001</v>
      </c>
      <c r="Q463" s="7" t="s">
        <v>28</v>
      </c>
      <c r="R463" s="7" t="s">
        <v>151</v>
      </c>
      <c r="S463">
        <v>0</v>
      </c>
      <c r="T463">
        <v>7.1858599999999999</v>
      </c>
      <c r="U463">
        <v>6.0059800000000001</v>
      </c>
      <c r="V463">
        <v>0</v>
      </c>
      <c r="W463">
        <v>1.8311200000000001</v>
      </c>
      <c r="X463">
        <v>0</v>
      </c>
      <c r="Y463">
        <v>4</v>
      </c>
      <c r="Z463">
        <v>0</v>
      </c>
      <c r="AA463">
        <v>396.64600000000002</v>
      </c>
      <c r="AB463">
        <v>7.0657500000000004</v>
      </c>
    </row>
    <row r="464" spans="1:28" x14ac:dyDescent="0.25">
      <c r="A464">
        <v>463</v>
      </c>
      <c r="B464">
        <v>365005252</v>
      </c>
      <c r="C464" s="7" t="s">
        <v>27</v>
      </c>
      <c r="D464">
        <v>-0.17297100000000001</v>
      </c>
      <c r="E464">
        <v>1.91351</v>
      </c>
      <c r="F464">
        <v>-0.17297100000000001</v>
      </c>
      <c r="G464" s="3">
        <f>firm_data[[#This Row],[production]]-firm_data[[#This Row],[sales]]</f>
        <v>0</v>
      </c>
      <c r="H464">
        <v>0</v>
      </c>
      <c r="I464">
        <v>-0.69452899999999995</v>
      </c>
      <c r="J464">
        <v>2</v>
      </c>
      <c r="K464">
        <v>2</v>
      </c>
      <c r="L464">
        <v>0</v>
      </c>
      <c r="M464">
        <v>5</v>
      </c>
      <c r="N464">
        <v>0</v>
      </c>
      <c r="O464">
        <v>0</v>
      </c>
      <c r="P464">
        <v>0.99990000000000001</v>
      </c>
      <c r="Q464" s="7" t="s">
        <v>28</v>
      </c>
      <c r="R464" s="7" t="s">
        <v>151</v>
      </c>
      <c r="S464">
        <v>0</v>
      </c>
      <c r="T464">
        <v>7.0657399999999999</v>
      </c>
      <c r="U464">
        <v>6.0059899999999997</v>
      </c>
      <c r="V464">
        <v>0</v>
      </c>
      <c r="W464">
        <v>1.8311200000000001</v>
      </c>
      <c r="X464">
        <v>0</v>
      </c>
      <c r="Y464">
        <v>4</v>
      </c>
      <c r="Z464">
        <v>0</v>
      </c>
      <c r="AA464">
        <v>396.94200000000001</v>
      </c>
      <c r="AB464">
        <v>7.0657500000000004</v>
      </c>
    </row>
    <row r="465" spans="1:28" x14ac:dyDescent="0.25">
      <c r="A465">
        <v>464</v>
      </c>
      <c r="B465">
        <v>759661178</v>
      </c>
      <c r="C465" s="7" t="s">
        <v>27</v>
      </c>
      <c r="D465">
        <v>-0.17297100000000001</v>
      </c>
      <c r="E465">
        <v>1.91351</v>
      </c>
      <c r="F465">
        <v>-0.17297100000000001</v>
      </c>
      <c r="G465" s="3">
        <f>firm_data[[#This Row],[production]]-firm_data[[#This Row],[sales]]</f>
        <v>0</v>
      </c>
      <c r="H465">
        <v>0</v>
      </c>
      <c r="I465">
        <v>-0.69452899999999995</v>
      </c>
      <c r="J465">
        <v>2</v>
      </c>
      <c r="K465">
        <v>2</v>
      </c>
      <c r="L465">
        <v>0</v>
      </c>
      <c r="M465">
        <v>5</v>
      </c>
      <c r="N465">
        <v>0</v>
      </c>
      <c r="O465">
        <v>0</v>
      </c>
      <c r="P465">
        <v>0.99990000000000001</v>
      </c>
      <c r="Q465" s="7" t="s">
        <v>28</v>
      </c>
      <c r="R465" s="7" t="s">
        <v>151</v>
      </c>
      <c r="S465">
        <v>0</v>
      </c>
      <c r="T465">
        <v>6.9456199999999999</v>
      </c>
      <c r="U465">
        <v>6.0060000000000002</v>
      </c>
      <c r="V465">
        <v>0</v>
      </c>
      <c r="W465">
        <v>1.8311200000000001</v>
      </c>
      <c r="X465">
        <v>0</v>
      </c>
      <c r="Y465">
        <v>4</v>
      </c>
      <c r="Z465">
        <v>0</v>
      </c>
      <c r="AA465">
        <v>397.83499999999998</v>
      </c>
      <c r="AB465">
        <v>7.0657500000000004</v>
      </c>
    </row>
    <row r="466" spans="1:28" x14ac:dyDescent="0.25">
      <c r="A466">
        <v>465</v>
      </c>
      <c r="B466">
        <v>729177729</v>
      </c>
      <c r="C466" s="7" t="s">
        <v>27</v>
      </c>
      <c r="D466">
        <v>-29.404</v>
      </c>
      <c r="E466">
        <v>1.91351</v>
      </c>
      <c r="F466">
        <v>-29.404</v>
      </c>
      <c r="G466" s="3">
        <f>firm_data[[#This Row],[production]]-firm_data[[#This Row],[sales]]</f>
        <v>0</v>
      </c>
      <c r="H466">
        <v>0</v>
      </c>
      <c r="I466">
        <v>-0.69452899999999995</v>
      </c>
      <c r="J466">
        <v>2</v>
      </c>
      <c r="K466">
        <v>2</v>
      </c>
      <c r="L466">
        <v>0</v>
      </c>
      <c r="M466">
        <v>5</v>
      </c>
      <c r="N466">
        <v>0</v>
      </c>
      <c r="O466">
        <v>0</v>
      </c>
      <c r="P466">
        <v>0.99990000000000001</v>
      </c>
      <c r="Q466" s="7" t="s">
        <v>28</v>
      </c>
      <c r="R466" s="7" t="s">
        <v>151</v>
      </c>
      <c r="S466">
        <v>0</v>
      </c>
      <c r="T466">
        <v>7.3254999999999999</v>
      </c>
      <c r="U466">
        <v>6.0060000000000002</v>
      </c>
      <c r="V466">
        <v>29.231100000000001</v>
      </c>
      <c r="W466">
        <v>1.8311200000000001</v>
      </c>
      <c r="X466">
        <v>0.60074899999999998</v>
      </c>
      <c r="Y466">
        <v>4</v>
      </c>
      <c r="Z466">
        <v>34.930100000000003</v>
      </c>
      <c r="AA466">
        <v>425.93599999999998</v>
      </c>
      <c r="AB466">
        <v>7.0658899999999996</v>
      </c>
    </row>
    <row r="467" spans="1:28" x14ac:dyDescent="0.25">
      <c r="A467">
        <v>466</v>
      </c>
      <c r="B467">
        <v>307984075</v>
      </c>
      <c r="C467" s="7" t="s">
        <v>27</v>
      </c>
      <c r="D467">
        <v>-0.17297100000000001</v>
      </c>
      <c r="E467">
        <v>1.91351</v>
      </c>
      <c r="F467">
        <v>-0.17297100000000001</v>
      </c>
      <c r="G467" s="3">
        <f>firm_data[[#This Row],[production]]-firm_data[[#This Row],[sales]]</f>
        <v>0</v>
      </c>
      <c r="H467">
        <v>0</v>
      </c>
      <c r="I467">
        <v>-0.69452899999999995</v>
      </c>
      <c r="J467">
        <v>2</v>
      </c>
      <c r="K467">
        <v>2</v>
      </c>
      <c r="L467">
        <v>0</v>
      </c>
      <c r="M467">
        <v>5</v>
      </c>
      <c r="N467">
        <v>0</v>
      </c>
      <c r="O467">
        <v>0</v>
      </c>
      <c r="P467">
        <v>0.99990000000000001</v>
      </c>
      <c r="Q467" s="7" t="s">
        <v>28</v>
      </c>
      <c r="R467" s="7" t="s">
        <v>151</v>
      </c>
      <c r="S467">
        <v>0</v>
      </c>
      <c r="T467">
        <v>7.2053799999999999</v>
      </c>
      <c r="U467">
        <v>6.0060000000000002</v>
      </c>
      <c r="V467">
        <v>0</v>
      </c>
      <c r="W467">
        <v>1.8311200000000001</v>
      </c>
      <c r="X467">
        <v>0</v>
      </c>
      <c r="Y467">
        <v>4</v>
      </c>
      <c r="Z467">
        <v>0</v>
      </c>
      <c r="AA467">
        <v>422.51400000000001</v>
      </c>
      <c r="AB467">
        <v>7.0658899999999996</v>
      </c>
    </row>
    <row r="468" spans="1:28" x14ac:dyDescent="0.25">
      <c r="A468">
        <v>467</v>
      </c>
      <c r="B468">
        <v>561616936</v>
      </c>
      <c r="C468" s="7" t="s">
        <v>27</v>
      </c>
      <c r="D468">
        <v>-0.17297100000000001</v>
      </c>
      <c r="E468">
        <v>1.91351</v>
      </c>
      <c r="F468">
        <v>-0.17297100000000001</v>
      </c>
      <c r="G468" s="3">
        <f>firm_data[[#This Row],[production]]-firm_data[[#This Row],[sales]]</f>
        <v>0</v>
      </c>
      <c r="H468">
        <v>0</v>
      </c>
      <c r="I468">
        <v>-0.69452899999999995</v>
      </c>
      <c r="J468">
        <v>2</v>
      </c>
      <c r="K468">
        <v>2</v>
      </c>
      <c r="L468">
        <v>0</v>
      </c>
      <c r="M468">
        <v>5</v>
      </c>
      <c r="N468">
        <v>0</v>
      </c>
      <c r="O468">
        <v>0</v>
      </c>
      <c r="P468">
        <v>0.99990000000000001</v>
      </c>
      <c r="Q468" s="7" t="s">
        <v>28</v>
      </c>
      <c r="R468" s="7" t="s">
        <v>151</v>
      </c>
      <c r="S468">
        <v>0</v>
      </c>
      <c r="T468">
        <v>7.0852599999999999</v>
      </c>
      <c r="U468">
        <v>6.0060099999999998</v>
      </c>
      <c r="V468">
        <v>0</v>
      </c>
      <c r="W468">
        <v>1.8311200000000001</v>
      </c>
      <c r="X468">
        <v>0</v>
      </c>
      <c r="Y468">
        <v>4</v>
      </c>
      <c r="Z468">
        <v>0</v>
      </c>
      <c r="AA468">
        <v>416.029</v>
      </c>
      <c r="AB468">
        <v>7.0658899999999996</v>
      </c>
    </row>
    <row r="469" spans="1:28" x14ac:dyDescent="0.25">
      <c r="A469">
        <v>468</v>
      </c>
      <c r="B469">
        <v>499736493</v>
      </c>
      <c r="C469" s="7" t="s">
        <v>27</v>
      </c>
      <c r="D469">
        <v>-0.17297100000000001</v>
      </c>
      <c r="E469">
        <v>1.91351</v>
      </c>
      <c r="F469">
        <v>-0.17297100000000001</v>
      </c>
      <c r="G469" s="3">
        <f>firm_data[[#This Row],[production]]-firm_data[[#This Row],[sales]]</f>
        <v>0</v>
      </c>
      <c r="H469">
        <v>0</v>
      </c>
      <c r="I469">
        <v>-0.69452899999999995</v>
      </c>
      <c r="J469">
        <v>2</v>
      </c>
      <c r="K469">
        <v>2</v>
      </c>
      <c r="L469">
        <v>0</v>
      </c>
      <c r="M469">
        <v>5</v>
      </c>
      <c r="N469">
        <v>0</v>
      </c>
      <c r="O469">
        <v>0</v>
      </c>
      <c r="P469">
        <v>0.99990000000000001</v>
      </c>
      <c r="Q469" s="7" t="s">
        <v>28</v>
      </c>
      <c r="R469" s="7" t="s">
        <v>151</v>
      </c>
      <c r="S469">
        <v>0</v>
      </c>
      <c r="T469">
        <v>6.9651399999999999</v>
      </c>
      <c r="U469">
        <v>6.0060099999999998</v>
      </c>
      <c r="V469">
        <v>0</v>
      </c>
      <c r="W469">
        <v>1.8311200000000001</v>
      </c>
      <c r="X469">
        <v>0</v>
      </c>
      <c r="Y469">
        <v>4</v>
      </c>
      <c r="Z469">
        <v>0</v>
      </c>
      <c r="AA469">
        <v>410.41</v>
      </c>
      <c r="AB469">
        <v>7.0658899999999996</v>
      </c>
    </row>
    <row r="470" spans="1:28" x14ac:dyDescent="0.25">
      <c r="A470">
        <v>469</v>
      </c>
      <c r="B470">
        <v>240232293</v>
      </c>
      <c r="C470" s="7" t="s">
        <v>27</v>
      </c>
      <c r="D470">
        <v>-0.17297100000000001</v>
      </c>
      <c r="E470">
        <v>1.91351</v>
      </c>
      <c r="F470">
        <v>-0.17297100000000001</v>
      </c>
      <c r="G470" s="3">
        <f>firm_data[[#This Row],[production]]-firm_data[[#This Row],[sales]]</f>
        <v>0</v>
      </c>
      <c r="H470">
        <v>0</v>
      </c>
      <c r="I470">
        <v>-0.69452899999999995</v>
      </c>
      <c r="J470">
        <v>2</v>
      </c>
      <c r="K470">
        <v>2</v>
      </c>
      <c r="L470">
        <v>0</v>
      </c>
      <c r="M470">
        <v>5</v>
      </c>
      <c r="N470">
        <v>0</v>
      </c>
      <c r="O470">
        <v>0</v>
      </c>
      <c r="P470">
        <v>0.99990000000000001</v>
      </c>
      <c r="Q470" s="7" t="s">
        <v>28</v>
      </c>
      <c r="R470" s="7" t="s">
        <v>151</v>
      </c>
      <c r="S470">
        <v>0</v>
      </c>
      <c r="T470">
        <v>6.8450199999999999</v>
      </c>
      <c r="U470">
        <v>6.0060099999999998</v>
      </c>
      <c r="V470">
        <v>0</v>
      </c>
      <c r="W470">
        <v>1.8311200000000001</v>
      </c>
      <c r="X470">
        <v>0</v>
      </c>
      <c r="Y470">
        <v>4</v>
      </c>
      <c r="Z470">
        <v>0</v>
      </c>
      <c r="AA470">
        <v>402.61200000000002</v>
      </c>
      <c r="AB470">
        <v>7.0658899999999996</v>
      </c>
    </row>
    <row r="471" spans="1:28" x14ac:dyDescent="0.25">
      <c r="A471">
        <v>470</v>
      </c>
      <c r="B471">
        <v>462297772</v>
      </c>
      <c r="C471" s="7" t="s">
        <v>27</v>
      </c>
      <c r="D471">
        <v>-0.17297100000000001</v>
      </c>
      <c r="E471">
        <v>1.91351</v>
      </c>
      <c r="F471">
        <v>-0.17297100000000001</v>
      </c>
      <c r="G471" s="3">
        <f>firm_data[[#This Row],[production]]-firm_data[[#This Row],[sales]]</f>
        <v>0</v>
      </c>
      <c r="H471">
        <v>0</v>
      </c>
      <c r="I471">
        <v>-0.69452899999999995</v>
      </c>
      <c r="J471">
        <v>2</v>
      </c>
      <c r="K471">
        <v>2</v>
      </c>
      <c r="L471">
        <v>0</v>
      </c>
      <c r="M471">
        <v>5</v>
      </c>
      <c r="N471">
        <v>0</v>
      </c>
      <c r="O471">
        <v>0</v>
      </c>
      <c r="P471">
        <v>0.99990000000000001</v>
      </c>
      <c r="Q471" s="7" t="s">
        <v>28</v>
      </c>
      <c r="R471" s="7" t="s">
        <v>151</v>
      </c>
      <c r="S471">
        <v>0</v>
      </c>
      <c r="T471">
        <v>6.7248999999999999</v>
      </c>
      <c r="U471">
        <v>6.0060099999999998</v>
      </c>
      <c r="V471">
        <v>0</v>
      </c>
      <c r="W471">
        <v>1.8311200000000001</v>
      </c>
      <c r="X471">
        <v>0</v>
      </c>
      <c r="Y471">
        <v>4</v>
      </c>
      <c r="Z471">
        <v>0</v>
      </c>
      <c r="AA471">
        <v>395.67399999999998</v>
      </c>
      <c r="AB471">
        <v>7.0658899999999996</v>
      </c>
    </row>
    <row r="472" spans="1:28" x14ac:dyDescent="0.25">
      <c r="A472">
        <v>471</v>
      </c>
      <c r="B472">
        <v>115732100</v>
      </c>
      <c r="C472" s="7" t="s">
        <v>27</v>
      </c>
      <c r="D472">
        <v>-40.832099999999997</v>
      </c>
      <c r="E472">
        <v>1.91351</v>
      </c>
      <c r="F472">
        <v>-40.832099999999997</v>
      </c>
      <c r="G472" s="3">
        <f>firm_data[[#This Row],[production]]-firm_data[[#This Row],[sales]]</f>
        <v>0</v>
      </c>
      <c r="H472">
        <v>0</v>
      </c>
      <c r="I472">
        <v>-0.69452899999999995</v>
      </c>
      <c r="J472">
        <v>2</v>
      </c>
      <c r="K472">
        <v>2</v>
      </c>
      <c r="L472">
        <v>0</v>
      </c>
      <c r="M472">
        <v>5</v>
      </c>
      <c r="N472">
        <v>0</v>
      </c>
      <c r="O472">
        <v>0</v>
      </c>
      <c r="P472">
        <v>0.99990000000000001</v>
      </c>
      <c r="Q472" s="7" t="s">
        <v>28</v>
      </c>
      <c r="R472" s="7" t="s">
        <v>151</v>
      </c>
      <c r="S472">
        <v>0</v>
      </c>
      <c r="T472">
        <v>7.2929199999999996</v>
      </c>
      <c r="U472">
        <v>6.0060099999999998</v>
      </c>
      <c r="V472">
        <v>40.659100000000002</v>
      </c>
      <c r="W472">
        <v>1.8311200000000001</v>
      </c>
      <c r="X472">
        <v>0.82147400000000004</v>
      </c>
      <c r="Y472">
        <v>4</v>
      </c>
      <c r="Z472">
        <v>48.453400000000002</v>
      </c>
      <c r="AA472">
        <v>430.16199999999998</v>
      </c>
      <c r="AB472">
        <v>7.0658899999999996</v>
      </c>
    </row>
    <row r="473" spans="1:28" x14ac:dyDescent="0.25">
      <c r="A473">
        <v>472</v>
      </c>
      <c r="B473">
        <v>652686799</v>
      </c>
      <c r="C473" s="7" t="s">
        <v>27</v>
      </c>
      <c r="D473">
        <v>-0.17297100000000001</v>
      </c>
      <c r="E473">
        <v>1.91351</v>
      </c>
      <c r="F473">
        <v>-0.17297100000000001</v>
      </c>
      <c r="G473" s="3">
        <f>firm_data[[#This Row],[production]]-firm_data[[#This Row],[sales]]</f>
        <v>0</v>
      </c>
      <c r="H473">
        <v>0</v>
      </c>
      <c r="I473">
        <v>-0.69452899999999995</v>
      </c>
      <c r="J473">
        <v>2</v>
      </c>
      <c r="K473">
        <v>2</v>
      </c>
      <c r="L473">
        <v>0</v>
      </c>
      <c r="M473">
        <v>5</v>
      </c>
      <c r="N473">
        <v>0</v>
      </c>
      <c r="O473">
        <v>0</v>
      </c>
      <c r="P473">
        <v>0.99990000000000001</v>
      </c>
      <c r="Q473" s="7" t="s">
        <v>28</v>
      </c>
      <c r="R473" s="7" t="s">
        <v>151</v>
      </c>
      <c r="S473">
        <v>0</v>
      </c>
      <c r="T473">
        <v>7.1727999999999996</v>
      </c>
      <c r="U473">
        <v>6.0060099999999998</v>
      </c>
      <c r="V473">
        <v>0</v>
      </c>
      <c r="W473">
        <v>1.8311200000000001</v>
      </c>
      <c r="X473">
        <v>0</v>
      </c>
      <c r="Y473">
        <v>4</v>
      </c>
      <c r="Z473">
        <v>0</v>
      </c>
      <c r="AA473">
        <v>423.44099999999997</v>
      </c>
      <c r="AB473">
        <v>7.0658899999999996</v>
      </c>
    </row>
    <row r="474" spans="1:28" x14ac:dyDescent="0.25">
      <c r="A474">
        <v>473</v>
      </c>
      <c r="B474">
        <v>153815200</v>
      </c>
      <c r="C474" s="7" t="s">
        <v>27</v>
      </c>
      <c r="D474">
        <v>-21.688700000000001</v>
      </c>
      <c r="E474">
        <v>1.91351</v>
      </c>
      <c r="F474">
        <v>-21.688700000000001</v>
      </c>
      <c r="G474" s="3">
        <f>firm_data[[#This Row],[production]]-firm_data[[#This Row],[sales]]</f>
        <v>0</v>
      </c>
      <c r="H474">
        <v>0</v>
      </c>
      <c r="I474">
        <v>-0.69452899999999995</v>
      </c>
      <c r="J474">
        <v>2</v>
      </c>
      <c r="K474">
        <v>2</v>
      </c>
      <c r="L474">
        <v>0</v>
      </c>
      <c r="M474">
        <v>5</v>
      </c>
      <c r="N474">
        <v>0</v>
      </c>
      <c r="O474">
        <v>0</v>
      </c>
      <c r="P474">
        <v>0.99990000000000001</v>
      </c>
      <c r="Q474" s="7" t="s">
        <v>28</v>
      </c>
      <c r="R474" s="7" t="s">
        <v>151</v>
      </c>
      <c r="S474">
        <v>0</v>
      </c>
      <c r="T474">
        <v>7.4262499999999996</v>
      </c>
      <c r="U474">
        <v>6.0060099999999998</v>
      </c>
      <c r="V474">
        <v>21.515799999999999</v>
      </c>
      <c r="W474">
        <v>1.8311200000000001</v>
      </c>
      <c r="X474">
        <v>0.37356600000000001</v>
      </c>
      <c r="Y474">
        <v>4</v>
      </c>
      <c r="Z474">
        <v>22.178599999999999</v>
      </c>
      <c r="AA474">
        <v>440.89499999999998</v>
      </c>
      <c r="AB474">
        <v>7.0658899999999996</v>
      </c>
    </row>
    <row r="475" spans="1:28" x14ac:dyDescent="0.25">
      <c r="A475">
        <v>474</v>
      </c>
      <c r="B475">
        <v>139810323</v>
      </c>
      <c r="C475" s="7" t="s">
        <v>27</v>
      </c>
      <c r="D475">
        <v>-0.17297100000000001</v>
      </c>
      <c r="E475">
        <v>1.91351</v>
      </c>
      <c r="F475">
        <v>-0.17297100000000001</v>
      </c>
      <c r="G475" s="3">
        <f>firm_data[[#This Row],[production]]-firm_data[[#This Row],[sales]]</f>
        <v>0</v>
      </c>
      <c r="H475">
        <v>0</v>
      </c>
      <c r="I475">
        <v>-0.69452899999999995</v>
      </c>
      <c r="J475">
        <v>2</v>
      </c>
      <c r="K475">
        <v>2</v>
      </c>
      <c r="L475">
        <v>0</v>
      </c>
      <c r="M475">
        <v>5</v>
      </c>
      <c r="N475">
        <v>0</v>
      </c>
      <c r="O475">
        <v>0</v>
      </c>
      <c r="P475">
        <v>0.99990000000000001</v>
      </c>
      <c r="Q475" s="7" t="s">
        <v>28</v>
      </c>
      <c r="R475" s="7" t="s">
        <v>151</v>
      </c>
      <c r="S475">
        <v>0</v>
      </c>
      <c r="T475">
        <v>7.3061299999999996</v>
      </c>
      <c r="U475">
        <v>6.0060099999999998</v>
      </c>
      <c r="V475">
        <v>0</v>
      </c>
      <c r="W475">
        <v>1.8311200000000001</v>
      </c>
      <c r="X475">
        <v>0</v>
      </c>
      <c r="Y475">
        <v>4</v>
      </c>
      <c r="Z475">
        <v>0</v>
      </c>
      <c r="AA475">
        <v>437.55099999999999</v>
      </c>
      <c r="AB475">
        <v>7.0658899999999996</v>
      </c>
    </row>
    <row r="476" spans="1:28" x14ac:dyDescent="0.25">
      <c r="A476">
        <v>475</v>
      </c>
      <c r="B476">
        <v>240757007</v>
      </c>
      <c r="C476" s="7" t="s">
        <v>27</v>
      </c>
      <c r="D476">
        <v>-0.17297100000000001</v>
      </c>
      <c r="E476">
        <v>1.91351</v>
      </c>
      <c r="F476">
        <v>-0.17297100000000001</v>
      </c>
      <c r="G476" s="3">
        <f>firm_data[[#This Row],[production]]-firm_data[[#This Row],[sales]]</f>
        <v>0</v>
      </c>
      <c r="H476">
        <v>0</v>
      </c>
      <c r="I476">
        <v>-0.69452899999999995</v>
      </c>
      <c r="J476">
        <v>2</v>
      </c>
      <c r="K476">
        <v>2</v>
      </c>
      <c r="L476">
        <v>0</v>
      </c>
      <c r="M476">
        <v>5</v>
      </c>
      <c r="N476">
        <v>0</v>
      </c>
      <c r="O476">
        <v>0</v>
      </c>
      <c r="P476">
        <v>0.99990000000000001</v>
      </c>
      <c r="Q476" s="7" t="s">
        <v>28</v>
      </c>
      <c r="R476" s="7" t="s">
        <v>151</v>
      </c>
      <c r="S476">
        <v>0</v>
      </c>
      <c r="T476">
        <v>7.1860099999999996</v>
      </c>
      <c r="U476">
        <v>6.0060099999999998</v>
      </c>
      <c r="V476">
        <v>0</v>
      </c>
      <c r="W476">
        <v>1.8311200000000001</v>
      </c>
      <c r="X476">
        <v>0</v>
      </c>
      <c r="Y476">
        <v>4</v>
      </c>
      <c r="Z476">
        <v>0</v>
      </c>
      <c r="AA476">
        <v>436.13600000000002</v>
      </c>
      <c r="AB476">
        <v>7.0658899999999996</v>
      </c>
    </row>
    <row r="477" spans="1:28" x14ac:dyDescent="0.25">
      <c r="A477">
        <v>476</v>
      </c>
      <c r="B477">
        <v>799662909</v>
      </c>
      <c r="C477" s="7" t="s">
        <v>27</v>
      </c>
      <c r="D477">
        <v>-0.17297100000000001</v>
      </c>
      <c r="E477">
        <v>1.91351</v>
      </c>
      <c r="F477">
        <v>-0.17297100000000001</v>
      </c>
      <c r="G477" s="3">
        <f>firm_data[[#This Row],[production]]-firm_data[[#This Row],[sales]]</f>
        <v>0</v>
      </c>
      <c r="H477">
        <v>0</v>
      </c>
      <c r="I477">
        <v>-0.69452899999999995</v>
      </c>
      <c r="J477">
        <v>2</v>
      </c>
      <c r="K477">
        <v>2</v>
      </c>
      <c r="L477">
        <v>0</v>
      </c>
      <c r="M477">
        <v>5</v>
      </c>
      <c r="N477">
        <v>0</v>
      </c>
      <c r="O477">
        <v>0</v>
      </c>
      <c r="P477">
        <v>0.99990000000000001</v>
      </c>
      <c r="Q477" s="7" t="s">
        <v>28</v>
      </c>
      <c r="R477" s="7" t="s">
        <v>151</v>
      </c>
      <c r="S477">
        <v>0</v>
      </c>
      <c r="T477">
        <v>7.0658899999999996</v>
      </c>
      <c r="U477">
        <v>6.0060099999999998</v>
      </c>
      <c r="V477">
        <v>0</v>
      </c>
      <c r="W477">
        <v>1.8311200000000001</v>
      </c>
      <c r="X477">
        <v>0</v>
      </c>
      <c r="Y477">
        <v>4</v>
      </c>
      <c r="Z477">
        <v>0</v>
      </c>
      <c r="AA477">
        <v>433.25799999999998</v>
      </c>
      <c r="AB477">
        <v>7.0658899999999996</v>
      </c>
    </row>
    <row r="478" spans="1:28" x14ac:dyDescent="0.25">
      <c r="A478">
        <v>477</v>
      </c>
      <c r="B478">
        <v>991557721</v>
      </c>
      <c r="C478" s="7" t="s">
        <v>27</v>
      </c>
      <c r="D478">
        <v>-0.17297100000000001</v>
      </c>
      <c r="E478">
        <v>1.91351</v>
      </c>
      <c r="F478">
        <v>-0.17297100000000001</v>
      </c>
      <c r="G478" s="3">
        <f>firm_data[[#This Row],[production]]-firm_data[[#This Row],[sales]]</f>
        <v>0</v>
      </c>
      <c r="H478">
        <v>0</v>
      </c>
      <c r="I478">
        <v>-0.69452899999999995</v>
      </c>
      <c r="J478">
        <v>2</v>
      </c>
      <c r="K478">
        <v>2</v>
      </c>
      <c r="L478">
        <v>0</v>
      </c>
      <c r="M478">
        <v>5</v>
      </c>
      <c r="N478">
        <v>0</v>
      </c>
      <c r="O478">
        <v>0</v>
      </c>
      <c r="P478">
        <v>0.99990000000000001</v>
      </c>
      <c r="Q478" s="7" t="s">
        <v>28</v>
      </c>
      <c r="R478" s="7" t="s">
        <v>151</v>
      </c>
      <c r="S478">
        <v>0</v>
      </c>
      <c r="T478">
        <v>6.9457700000000004</v>
      </c>
      <c r="U478">
        <v>6.0060099999999998</v>
      </c>
      <c r="V478">
        <v>0</v>
      </c>
      <c r="W478">
        <v>1.8311200000000001</v>
      </c>
      <c r="X478">
        <v>0</v>
      </c>
      <c r="Y478">
        <v>4</v>
      </c>
      <c r="Z478">
        <v>0</v>
      </c>
      <c r="AA478">
        <v>431.892</v>
      </c>
      <c r="AB478">
        <v>7.0658899999999996</v>
      </c>
    </row>
    <row r="479" spans="1:28" x14ac:dyDescent="0.25">
      <c r="A479">
        <v>478</v>
      </c>
      <c r="B479">
        <v>217483586</v>
      </c>
      <c r="C479" s="7" t="s">
        <v>27</v>
      </c>
      <c r="D479">
        <v>-0.17297100000000001</v>
      </c>
      <c r="E479">
        <v>1.91351</v>
      </c>
      <c r="F479">
        <v>-0.17297100000000001</v>
      </c>
      <c r="G479" s="3">
        <f>firm_data[[#This Row],[production]]-firm_data[[#This Row],[sales]]</f>
        <v>0</v>
      </c>
      <c r="H479">
        <v>0</v>
      </c>
      <c r="I479">
        <v>-0.69452899999999995</v>
      </c>
      <c r="J479">
        <v>2</v>
      </c>
      <c r="K479">
        <v>2</v>
      </c>
      <c r="L479">
        <v>0</v>
      </c>
      <c r="M479">
        <v>5</v>
      </c>
      <c r="N479">
        <v>0</v>
      </c>
      <c r="O479">
        <v>0</v>
      </c>
      <c r="P479">
        <v>0.99990000000000001</v>
      </c>
      <c r="Q479" s="7" t="s">
        <v>28</v>
      </c>
      <c r="R479" s="7" t="s">
        <v>151</v>
      </c>
      <c r="S479">
        <v>0</v>
      </c>
      <c r="T479">
        <v>6.8256500000000004</v>
      </c>
      <c r="U479">
        <v>6.0060099999999998</v>
      </c>
      <c r="V479">
        <v>0</v>
      </c>
      <c r="W479">
        <v>1.8311200000000001</v>
      </c>
      <c r="X479">
        <v>0</v>
      </c>
      <c r="Y479">
        <v>4</v>
      </c>
      <c r="Z479">
        <v>0</v>
      </c>
      <c r="AA479">
        <v>432.303</v>
      </c>
      <c r="AB479">
        <v>7.0658899999999996</v>
      </c>
    </row>
    <row r="480" spans="1:28" x14ac:dyDescent="0.25">
      <c r="A480">
        <v>479</v>
      </c>
      <c r="B480">
        <v>963542721</v>
      </c>
      <c r="C480" s="7" t="s">
        <v>27</v>
      </c>
      <c r="D480">
        <v>-0.17297100000000001</v>
      </c>
      <c r="E480">
        <v>1.91351</v>
      </c>
      <c r="F480">
        <v>-0.17297100000000001</v>
      </c>
      <c r="G480" s="3">
        <f>firm_data[[#This Row],[production]]-firm_data[[#This Row],[sales]]</f>
        <v>0</v>
      </c>
      <c r="H480">
        <v>0</v>
      </c>
      <c r="I480">
        <v>-0.69452899999999995</v>
      </c>
      <c r="J480">
        <v>2</v>
      </c>
      <c r="K480">
        <v>2</v>
      </c>
      <c r="L480">
        <v>0</v>
      </c>
      <c r="M480">
        <v>5</v>
      </c>
      <c r="N480">
        <v>0</v>
      </c>
      <c r="O480">
        <v>0</v>
      </c>
      <c r="P480">
        <v>0.99990000000000001</v>
      </c>
      <c r="Q480" s="7" t="s">
        <v>28</v>
      </c>
      <c r="R480" s="7" t="s">
        <v>151</v>
      </c>
      <c r="S480">
        <v>0</v>
      </c>
      <c r="T480">
        <v>6.7055300000000004</v>
      </c>
      <c r="U480">
        <v>6.0060099999999998</v>
      </c>
      <c r="V480">
        <v>0</v>
      </c>
      <c r="W480">
        <v>1.8311200000000001</v>
      </c>
      <c r="X480">
        <v>0</v>
      </c>
      <c r="Y480">
        <v>4</v>
      </c>
      <c r="Z480">
        <v>0</v>
      </c>
      <c r="AA480">
        <v>429.75</v>
      </c>
      <c r="AB480">
        <v>7.0658899999999996</v>
      </c>
    </row>
    <row r="481" spans="1:28" x14ac:dyDescent="0.25">
      <c r="A481">
        <v>480</v>
      </c>
      <c r="B481">
        <v>155945983</v>
      </c>
      <c r="C481" s="7" t="s">
        <v>27</v>
      </c>
      <c r="D481">
        <v>-0.17297100000000001</v>
      </c>
      <c r="E481">
        <v>1.91351</v>
      </c>
      <c r="F481">
        <v>-0.17297100000000001</v>
      </c>
      <c r="G481" s="3">
        <f>firm_data[[#This Row],[production]]-firm_data[[#This Row],[sales]]</f>
        <v>0</v>
      </c>
      <c r="H481">
        <v>0</v>
      </c>
      <c r="I481">
        <v>-0.69452899999999995</v>
      </c>
      <c r="J481">
        <v>2</v>
      </c>
      <c r="K481">
        <v>2</v>
      </c>
      <c r="L481">
        <v>0</v>
      </c>
      <c r="M481">
        <v>5</v>
      </c>
      <c r="N481">
        <v>0</v>
      </c>
      <c r="O481">
        <v>0</v>
      </c>
      <c r="P481">
        <v>0.99990000000000001</v>
      </c>
      <c r="Q481" s="7" t="s">
        <v>28</v>
      </c>
      <c r="R481" s="7" t="s">
        <v>151</v>
      </c>
      <c r="S481">
        <v>0</v>
      </c>
      <c r="T481">
        <v>6.5854100000000004</v>
      </c>
      <c r="U481">
        <v>6.0060099999999998</v>
      </c>
      <c r="V481">
        <v>0</v>
      </c>
      <c r="W481">
        <v>1.8311200000000001</v>
      </c>
      <c r="X481">
        <v>0</v>
      </c>
      <c r="Y481">
        <v>4</v>
      </c>
      <c r="Z481">
        <v>0</v>
      </c>
      <c r="AA481">
        <v>423.99700000000001</v>
      </c>
      <c r="AB481">
        <v>7.0658899999999996</v>
      </c>
    </row>
    <row r="482" spans="1:28" x14ac:dyDescent="0.25">
      <c r="A482">
        <v>481</v>
      </c>
      <c r="B482">
        <v>214775101</v>
      </c>
      <c r="C482" s="7" t="s">
        <v>27</v>
      </c>
      <c r="D482">
        <v>-0.17297100000000001</v>
      </c>
      <c r="E482">
        <v>1.91351</v>
      </c>
      <c r="F482">
        <v>-0.17297100000000001</v>
      </c>
      <c r="G482" s="3">
        <f>firm_data[[#This Row],[production]]-firm_data[[#This Row],[sales]]</f>
        <v>0</v>
      </c>
      <c r="H482">
        <v>0</v>
      </c>
      <c r="I482">
        <v>-0.69452899999999995</v>
      </c>
      <c r="J482">
        <v>2</v>
      </c>
      <c r="K482">
        <v>2</v>
      </c>
      <c r="L482">
        <v>0</v>
      </c>
      <c r="M482">
        <v>5</v>
      </c>
      <c r="N482">
        <v>0</v>
      </c>
      <c r="O482">
        <v>0</v>
      </c>
      <c r="P482">
        <v>0.99990000000000001</v>
      </c>
      <c r="Q482" s="7" t="s">
        <v>28</v>
      </c>
      <c r="R482" s="7" t="s">
        <v>151</v>
      </c>
      <c r="S482">
        <v>0</v>
      </c>
      <c r="T482">
        <v>6.4652900000000004</v>
      </c>
      <c r="U482">
        <v>6.0060099999999998</v>
      </c>
      <c r="V482">
        <v>0</v>
      </c>
      <c r="W482">
        <v>1.8311200000000001</v>
      </c>
      <c r="X482">
        <v>0.96096099999999995</v>
      </c>
      <c r="Y482">
        <v>4</v>
      </c>
      <c r="Z482">
        <v>62.090299999999999</v>
      </c>
      <c r="AA482">
        <v>417.74</v>
      </c>
      <c r="AB482">
        <v>7.0658899999999996</v>
      </c>
    </row>
    <row r="483" spans="1:28" x14ac:dyDescent="0.25">
      <c r="A483">
        <v>482</v>
      </c>
      <c r="B483">
        <v>854562422</v>
      </c>
      <c r="C483" s="7" t="s">
        <v>27</v>
      </c>
      <c r="D483">
        <v>-0.17297100000000001</v>
      </c>
      <c r="E483">
        <v>1.91351</v>
      </c>
      <c r="F483">
        <v>-0.17297100000000001</v>
      </c>
      <c r="G483" s="3">
        <f>firm_data[[#This Row],[production]]-firm_data[[#This Row],[sales]]</f>
        <v>0</v>
      </c>
      <c r="H483">
        <v>0</v>
      </c>
      <c r="I483">
        <v>-0.69452899999999995</v>
      </c>
      <c r="J483">
        <v>2</v>
      </c>
      <c r="K483">
        <v>2</v>
      </c>
      <c r="L483">
        <v>0</v>
      </c>
      <c r="M483">
        <v>5</v>
      </c>
      <c r="N483">
        <v>0</v>
      </c>
      <c r="O483">
        <v>0</v>
      </c>
      <c r="P483">
        <v>0.99990000000000001</v>
      </c>
      <c r="Q483" s="7" t="s">
        <v>28</v>
      </c>
      <c r="R483" s="7" t="s">
        <v>151</v>
      </c>
      <c r="S483">
        <v>0</v>
      </c>
      <c r="T483">
        <v>6.3451700000000004</v>
      </c>
      <c r="U483">
        <v>6.0060099999999998</v>
      </c>
      <c r="V483">
        <v>0</v>
      </c>
      <c r="W483">
        <v>1.8311200000000001</v>
      </c>
      <c r="X483">
        <v>0</v>
      </c>
      <c r="Y483">
        <v>4</v>
      </c>
      <c r="Z483">
        <v>0</v>
      </c>
      <c r="AA483">
        <v>412.59300000000002</v>
      </c>
      <c r="AB483">
        <v>7.0658899999999996</v>
      </c>
    </row>
    <row r="484" spans="1:28" x14ac:dyDescent="0.25">
      <c r="A484">
        <v>483</v>
      </c>
      <c r="B484">
        <v>862976925</v>
      </c>
      <c r="C484" s="7" t="s">
        <v>27</v>
      </c>
      <c r="D484">
        <v>-50.675699999999999</v>
      </c>
      <c r="E484">
        <v>1.91351</v>
      </c>
      <c r="F484">
        <v>-50.675699999999999</v>
      </c>
      <c r="G484" s="3">
        <f>firm_data[[#This Row],[production]]-firm_data[[#This Row],[sales]]</f>
        <v>0</v>
      </c>
      <c r="H484">
        <v>0</v>
      </c>
      <c r="I484">
        <v>-0.69452899999999995</v>
      </c>
      <c r="J484">
        <v>2</v>
      </c>
      <c r="K484">
        <v>2</v>
      </c>
      <c r="L484">
        <v>0</v>
      </c>
      <c r="M484">
        <v>5</v>
      </c>
      <c r="N484">
        <v>0</v>
      </c>
      <c r="O484">
        <v>0</v>
      </c>
      <c r="P484">
        <v>0.99990000000000001</v>
      </c>
      <c r="Q484" s="7" t="s">
        <v>28</v>
      </c>
      <c r="R484" s="7" t="s">
        <v>151</v>
      </c>
      <c r="S484">
        <v>0</v>
      </c>
      <c r="T484">
        <v>7.0281399999999996</v>
      </c>
      <c r="U484">
        <v>6.0060099999999998</v>
      </c>
      <c r="V484">
        <v>50.502699999999997</v>
      </c>
      <c r="W484">
        <v>1.8311200000000001</v>
      </c>
      <c r="X484">
        <v>1.2012</v>
      </c>
      <c r="Y484">
        <v>4</v>
      </c>
      <c r="Z484">
        <v>78.802800000000005</v>
      </c>
      <c r="AA484">
        <v>461.06900000000002</v>
      </c>
      <c r="AB484">
        <v>7.0658899999999996</v>
      </c>
    </row>
    <row r="485" spans="1:28" x14ac:dyDescent="0.25">
      <c r="A485">
        <v>484</v>
      </c>
      <c r="B485">
        <v>155380542</v>
      </c>
      <c r="C485" s="7" t="s">
        <v>27</v>
      </c>
      <c r="D485">
        <v>-0.17297100000000001</v>
      </c>
      <c r="E485">
        <v>1.91351</v>
      </c>
      <c r="F485">
        <v>-0.17297100000000001</v>
      </c>
      <c r="G485" s="3">
        <f>firm_data[[#This Row],[production]]-firm_data[[#This Row],[sales]]</f>
        <v>0</v>
      </c>
      <c r="H485">
        <v>0</v>
      </c>
      <c r="I485">
        <v>-0.69452899999999995</v>
      </c>
      <c r="J485">
        <v>2</v>
      </c>
      <c r="K485">
        <v>2</v>
      </c>
      <c r="L485">
        <v>0</v>
      </c>
      <c r="M485">
        <v>5</v>
      </c>
      <c r="N485">
        <v>0</v>
      </c>
      <c r="O485">
        <v>0</v>
      </c>
      <c r="P485">
        <v>0.99990000000000001</v>
      </c>
      <c r="Q485" s="7" t="s">
        <v>28</v>
      </c>
      <c r="R485" s="7" t="s">
        <v>151</v>
      </c>
      <c r="S485">
        <v>0</v>
      </c>
      <c r="T485">
        <v>6.9080199999999996</v>
      </c>
      <c r="U485">
        <v>6.0060099999999998</v>
      </c>
      <c r="V485">
        <v>0</v>
      </c>
      <c r="W485">
        <v>1.8311200000000001</v>
      </c>
      <c r="X485">
        <v>0</v>
      </c>
      <c r="Y485">
        <v>4</v>
      </c>
      <c r="Z485">
        <v>0</v>
      </c>
      <c r="AA485">
        <v>454.17200000000003</v>
      </c>
      <c r="AB485">
        <v>7.0658899999999996</v>
      </c>
    </row>
    <row r="486" spans="1:28" x14ac:dyDescent="0.25">
      <c r="A486">
        <v>485</v>
      </c>
      <c r="B486">
        <v>777922170</v>
      </c>
      <c r="C486" s="7" t="s">
        <v>27</v>
      </c>
      <c r="D486">
        <v>-41.506799999999998</v>
      </c>
      <c r="E486">
        <v>1.91351</v>
      </c>
      <c r="F486">
        <v>-41.506799999999998</v>
      </c>
      <c r="G486" s="3">
        <f>firm_data[[#This Row],[production]]-firm_data[[#This Row],[sales]]</f>
        <v>0</v>
      </c>
      <c r="H486">
        <v>0</v>
      </c>
      <c r="I486">
        <v>-0.69452899999999995</v>
      </c>
      <c r="J486">
        <v>2</v>
      </c>
      <c r="K486">
        <v>2</v>
      </c>
      <c r="L486">
        <v>0</v>
      </c>
      <c r="M486">
        <v>5</v>
      </c>
      <c r="N486">
        <v>0</v>
      </c>
      <c r="O486">
        <v>0</v>
      </c>
      <c r="P486">
        <v>0.99990000000000001</v>
      </c>
      <c r="Q486" s="7" t="s">
        <v>28</v>
      </c>
      <c r="R486" s="7" t="s">
        <v>151</v>
      </c>
      <c r="S486">
        <v>0</v>
      </c>
      <c r="T486">
        <v>7.4262499999999996</v>
      </c>
      <c r="U486">
        <v>6.0060099999999998</v>
      </c>
      <c r="V486">
        <v>41.333799999999997</v>
      </c>
      <c r="W486">
        <v>1.8311200000000001</v>
      </c>
      <c r="X486">
        <v>0.63835299999999995</v>
      </c>
      <c r="Y486">
        <v>4</v>
      </c>
      <c r="Z486">
        <v>42.419699999999999</v>
      </c>
      <c r="AA486">
        <v>493.48700000000002</v>
      </c>
      <c r="AB486">
        <v>7.0658899999999996</v>
      </c>
    </row>
    <row r="487" spans="1:28" x14ac:dyDescent="0.25">
      <c r="A487">
        <v>486</v>
      </c>
      <c r="B487">
        <v>573599403</v>
      </c>
      <c r="C487" s="7" t="s">
        <v>27</v>
      </c>
      <c r="D487">
        <v>-0.17297100000000001</v>
      </c>
      <c r="E487">
        <v>1.91351</v>
      </c>
      <c r="F487">
        <v>-0.17297100000000001</v>
      </c>
      <c r="G487" s="3">
        <f>firm_data[[#This Row],[production]]-firm_data[[#This Row],[sales]]</f>
        <v>0</v>
      </c>
      <c r="H487">
        <v>0</v>
      </c>
      <c r="I487">
        <v>-0.69452899999999995</v>
      </c>
      <c r="J487">
        <v>2</v>
      </c>
      <c r="K487">
        <v>2</v>
      </c>
      <c r="L487">
        <v>0</v>
      </c>
      <c r="M487">
        <v>5</v>
      </c>
      <c r="N487">
        <v>0</v>
      </c>
      <c r="O487">
        <v>0</v>
      </c>
      <c r="P487">
        <v>0.99990000000000001</v>
      </c>
      <c r="Q487" s="7" t="s">
        <v>28</v>
      </c>
      <c r="R487" s="7" t="s">
        <v>151</v>
      </c>
      <c r="S487">
        <v>0</v>
      </c>
      <c r="T487">
        <v>7.3061299999999996</v>
      </c>
      <c r="U487">
        <v>6.0060099999999998</v>
      </c>
      <c r="V487">
        <v>0</v>
      </c>
      <c r="W487">
        <v>1.8311200000000001</v>
      </c>
      <c r="X487">
        <v>0</v>
      </c>
      <c r="Y487">
        <v>4</v>
      </c>
      <c r="Z487">
        <v>0</v>
      </c>
      <c r="AA487">
        <v>494.58100000000002</v>
      </c>
      <c r="AB487">
        <v>7.0658899999999996</v>
      </c>
    </row>
    <row r="488" spans="1:28" x14ac:dyDescent="0.25">
      <c r="A488">
        <v>487</v>
      </c>
      <c r="B488">
        <v>942678229</v>
      </c>
      <c r="C488" s="7" t="s">
        <v>27</v>
      </c>
      <c r="D488">
        <v>-0.17297100000000001</v>
      </c>
      <c r="E488">
        <v>1.91351</v>
      </c>
      <c r="F488">
        <v>-0.17297100000000001</v>
      </c>
      <c r="G488" s="3">
        <f>firm_data[[#This Row],[production]]-firm_data[[#This Row],[sales]]</f>
        <v>0</v>
      </c>
      <c r="H488">
        <v>0</v>
      </c>
      <c r="I488">
        <v>-0.69452899999999995</v>
      </c>
      <c r="J488">
        <v>2</v>
      </c>
      <c r="K488">
        <v>2</v>
      </c>
      <c r="L488">
        <v>0</v>
      </c>
      <c r="M488">
        <v>5</v>
      </c>
      <c r="N488">
        <v>0</v>
      </c>
      <c r="O488">
        <v>0</v>
      </c>
      <c r="P488">
        <v>0.99990000000000001</v>
      </c>
      <c r="Q488" s="7" t="s">
        <v>28</v>
      </c>
      <c r="R488" s="7" t="s">
        <v>151</v>
      </c>
      <c r="S488">
        <v>0</v>
      </c>
      <c r="T488">
        <v>7.1860099999999996</v>
      </c>
      <c r="U488">
        <v>6.0060099999999998</v>
      </c>
      <c r="V488">
        <v>0</v>
      </c>
      <c r="W488">
        <v>1.8311200000000001</v>
      </c>
      <c r="X488">
        <v>0</v>
      </c>
      <c r="Y488">
        <v>4</v>
      </c>
      <c r="Z488">
        <v>0</v>
      </c>
      <c r="AA488">
        <v>491.01</v>
      </c>
      <c r="AB488">
        <v>7.0658899999999996</v>
      </c>
    </row>
    <row r="489" spans="1:28" x14ac:dyDescent="0.25">
      <c r="A489">
        <v>488</v>
      </c>
      <c r="B489">
        <v>26070470</v>
      </c>
      <c r="C489" s="7" t="s">
        <v>27</v>
      </c>
      <c r="D489">
        <v>-0.17297100000000001</v>
      </c>
      <c r="E489">
        <v>1.91351</v>
      </c>
      <c r="F489">
        <v>-0.17297100000000001</v>
      </c>
      <c r="G489" s="3">
        <f>firm_data[[#This Row],[production]]-firm_data[[#This Row],[sales]]</f>
        <v>0</v>
      </c>
      <c r="H489">
        <v>0</v>
      </c>
      <c r="I489">
        <v>-0.69452899999999995</v>
      </c>
      <c r="J489">
        <v>2</v>
      </c>
      <c r="K489">
        <v>2</v>
      </c>
      <c r="L489">
        <v>0</v>
      </c>
      <c r="M489">
        <v>5</v>
      </c>
      <c r="N489">
        <v>0</v>
      </c>
      <c r="O489">
        <v>0</v>
      </c>
      <c r="P489">
        <v>0.99990000000000001</v>
      </c>
      <c r="Q489" s="7" t="s">
        <v>28</v>
      </c>
      <c r="R489" s="7" t="s">
        <v>151</v>
      </c>
      <c r="S489">
        <v>0</v>
      </c>
      <c r="T489">
        <v>7.0658899999999996</v>
      </c>
      <c r="U489">
        <v>6.0060099999999998</v>
      </c>
      <c r="V489">
        <v>0</v>
      </c>
      <c r="W489">
        <v>1.8311200000000001</v>
      </c>
      <c r="X489">
        <v>0</v>
      </c>
      <c r="Y489">
        <v>4</v>
      </c>
      <c r="Z489">
        <v>0</v>
      </c>
      <c r="AA489">
        <v>482.13900000000001</v>
      </c>
      <c r="AB489">
        <v>7.0658899999999996</v>
      </c>
    </row>
    <row r="490" spans="1:28" x14ac:dyDescent="0.25">
      <c r="A490">
        <v>489</v>
      </c>
      <c r="B490">
        <v>143261146</v>
      </c>
      <c r="C490" s="7" t="s">
        <v>27</v>
      </c>
      <c r="D490">
        <v>-0.17297100000000001</v>
      </c>
      <c r="E490">
        <v>1.91351</v>
      </c>
      <c r="F490">
        <v>-0.17297100000000001</v>
      </c>
      <c r="G490" s="3">
        <f>firm_data[[#This Row],[production]]-firm_data[[#This Row],[sales]]</f>
        <v>0</v>
      </c>
      <c r="H490">
        <v>0</v>
      </c>
      <c r="I490">
        <v>-0.69452899999999995</v>
      </c>
      <c r="J490">
        <v>2</v>
      </c>
      <c r="K490">
        <v>2</v>
      </c>
      <c r="L490">
        <v>0</v>
      </c>
      <c r="M490">
        <v>5</v>
      </c>
      <c r="N490">
        <v>0</v>
      </c>
      <c r="O490">
        <v>0</v>
      </c>
      <c r="P490">
        <v>0.99990000000000001</v>
      </c>
      <c r="Q490" s="7" t="s">
        <v>28</v>
      </c>
      <c r="R490" s="7" t="s">
        <v>151</v>
      </c>
      <c r="S490">
        <v>0</v>
      </c>
      <c r="T490">
        <v>6.9457700000000004</v>
      </c>
      <c r="U490">
        <v>6.0060099999999998</v>
      </c>
      <c r="V490">
        <v>0</v>
      </c>
      <c r="W490">
        <v>1.8311200000000001</v>
      </c>
      <c r="X490">
        <v>0</v>
      </c>
      <c r="Y490">
        <v>4</v>
      </c>
      <c r="Z490">
        <v>0</v>
      </c>
      <c r="AA490">
        <v>474.995</v>
      </c>
      <c r="AB490">
        <v>7.0658899999999996</v>
      </c>
    </row>
    <row r="491" spans="1:28" x14ac:dyDescent="0.25">
      <c r="A491">
        <v>490</v>
      </c>
      <c r="B491">
        <v>771318741</v>
      </c>
      <c r="C491" s="7" t="s">
        <v>27</v>
      </c>
      <c r="D491">
        <v>-0.17297100000000001</v>
      </c>
      <c r="E491">
        <v>1.91351</v>
      </c>
      <c r="F491">
        <v>-0.17297100000000001</v>
      </c>
      <c r="G491" s="3">
        <f>firm_data[[#This Row],[production]]-firm_data[[#This Row],[sales]]</f>
        <v>0</v>
      </c>
      <c r="H491">
        <v>0</v>
      </c>
      <c r="I491">
        <v>-0.69452899999999995</v>
      </c>
      <c r="J491">
        <v>2</v>
      </c>
      <c r="K491">
        <v>2</v>
      </c>
      <c r="L491">
        <v>0</v>
      </c>
      <c r="M491">
        <v>5</v>
      </c>
      <c r="N491">
        <v>0</v>
      </c>
      <c r="O491">
        <v>0</v>
      </c>
      <c r="P491">
        <v>0.99990000000000001</v>
      </c>
      <c r="Q491" s="7" t="s">
        <v>28</v>
      </c>
      <c r="R491" s="7" t="s">
        <v>151</v>
      </c>
      <c r="S491">
        <v>0</v>
      </c>
      <c r="T491">
        <v>6.8256500000000004</v>
      </c>
      <c r="U491">
        <v>6.0060099999999998</v>
      </c>
      <c r="V491">
        <v>0</v>
      </c>
      <c r="W491">
        <v>1.8311200000000001</v>
      </c>
      <c r="X491">
        <v>0</v>
      </c>
      <c r="Y491">
        <v>4</v>
      </c>
      <c r="Z491">
        <v>0</v>
      </c>
      <c r="AA491">
        <v>469.93</v>
      </c>
      <c r="AB491">
        <v>7.0658899999999996</v>
      </c>
    </row>
    <row r="492" spans="1:28" x14ac:dyDescent="0.25">
      <c r="A492">
        <v>491</v>
      </c>
      <c r="B492">
        <v>580462080</v>
      </c>
      <c r="C492" s="7" t="s">
        <v>27</v>
      </c>
      <c r="D492">
        <v>-48.3063</v>
      </c>
      <c r="E492">
        <v>1.91351</v>
      </c>
      <c r="F492">
        <v>-48.3063</v>
      </c>
      <c r="G492" s="3">
        <f>firm_data[[#This Row],[production]]-firm_data[[#This Row],[sales]]</f>
        <v>0</v>
      </c>
      <c r="H492">
        <v>0</v>
      </c>
      <c r="I492">
        <v>-0.69452899999999995</v>
      </c>
      <c r="J492">
        <v>2</v>
      </c>
      <c r="K492">
        <v>2</v>
      </c>
      <c r="L492">
        <v>0</v>
      </c>
      <c r="M492">
        <v>5</v>
      </c>
      <c r="N492">
        <v>0</v>
      </c>
      <c r="O492">
        <v>0</v>
      </c>
      <c r="P492">
        <v>0.99990000000000001</v>
      </c>
      <c r="Q492" s="7" t="s">
        <v>28</v>
      </c>
      <c r="R492" s="7" t="s">
        <v>151</v>
      </c>
      <c r="S492">
        <v>0</v>
      </c>
      <c r="T492">
        <v>7.4262499999999996</v>
      </c>
      <c r="U492">
        <v>6.0060099999999998</v>
      </c>
      <c r="V492">
        <v>48.133299999999998</v>
      </c>
      <c r="W492">
        <v>1.8311200000000001</v>
      </c>
      <c r="X492">
        <v>0.72072099999999995</v>
      </c>
      <c r="Y492">
        <v>4</v>
      </c>
      <c r="Z492">
        <v>49.657800000000002</v>
      </c>
      <c r="AA492">
        <v>511.67099999999999</v>
      </c>
      <c r="AB492">
        <v>7.0658899999999996</v>
      </c>
    </row>
    <row r="493" spans="1:28" x14ac:dyDescent="0.25">
      <c r="A493">
        <v>492</v>
      </c>
      <c r="B493">
        <v>732753108</v>
      </c>
      <c r="C493" s="7" t="s">
        <v>27</v>
      </c>
      <c r="D493">
        <v>-0.17297100000000001</v>
      </c>
      <c r="E493">
        <v>1.91351</v>
      </c>
      <c r="F493">
        <v>-0.17297100000000001</v>
      </c>
      <c r="G493" s="3">
        <f>firm_data[[#This Row],[production]]-firm_data[[#This Row],[sales]]</f>
        <v>0</v>
      </c>
      <c r="H493">
        <v>0</v>
      </c>
      <c r="I493">
        <v>-0.69452899999999995</v>
      </c>
      <c r="J493">
        <v>2</v>
      </c>
      <c r="K493">
        <v>2</v>
      </c>
      <c r="L493">
        <v>0</v>
      </c>
      <c r="M493">
        <v>5</v>
      </c>
      <c r="N493">
        <v>0</v>
      </c>
      <c r="O493">
        <v>0</v>
      </c>
      <c r="P493">
        <v>0.99990000000000001</v>
      </c>
      <c r="Q493" s="7" t="s">
        <v>28</v>
      </c>
      <c r="R493" s="7" t="s">
        <v>151</v>
      </c>
      <c r="S493">
        <v>0</v>
      </c>
      <c r="T493">
        <v>7.3061299999999996</v>
      </c>
      <c r="U493">
        <v>6.0060099999999998</v>
      </c>
      <c r="V493">
        <v>0</v>
      </c>
      <c r="W493">
        <v>1.8311200000000001</v>
      </c>
      <c r="X493">
        <v>0</v>
      </c>
      <c r="Y493">
        <v>4</v>
      </c>
      <c r="Z493">
        <v>0</v>
      </c>
      <c r="AA493">
        <v>505.012</v>
      </c>
      <c r="AB493">
        <v>7.0658899999999996</v>
      </c>
    </row>
    <row r="494" spans="1:28" x14ac:dyDescent="0.25">
      <c r="A494">
        <v>493</v>
      </c>
      <c r="B494">
        <v>306274132</v>
      </c>
      <c r="C494" s="7" t="s">
        <v>27</v>
      </c>
      <c r="D494">
        <v>-17.715199999999999</v>
      </c>
      <c r="E494">
        <v>1.91351</v>
      </c>
      <c r="F494">
        <v>-17.715199999999999</v>
      </c>
      <c r="G494" s="3">
        <f>firm_data[[#This Row],[production]]-firm_data[[#This Row],[sales]]</f>
        <v>0</v>
      </c>
      <c r="H494">
        <v>0</v>
      </c>
      <c r="I494">
        <v>-0.69452899999999995</v>
      </c>
      <c r="J494">
        <v>2</v>
      </c>
      <c r="K494">
        <v>2</v>
      </c>
      <c r="L494">
        <v>0</v>
      </c>
      <c r="M494">
        <v>5</v>
      </c>
      <c r="N494">
        <v>0</v>
      </c>
      <c r="O494">
        <v>0</v>
      </c>
      <c r="P494">
        <v>0.99990000000000001</v>
      </c>
      <c r="Q494" s="7" t="s">
        <v>28</v>
      </c>
      <c r="R494" s="7" t="s">
        <v>151</v>
      </c>
      <c r="S494">
        <v>0</v>
      </c>
      <c r="T494">
        <v>7.4262499999999996</v>
      </c>
      <c r="U494">
        <v>6.0060099999999998</v>
      </c>
      <c r="V494">
        <v>17.542200000000001</v>
      </c>
      <c r="W494">
        <v>1.8311200000000001</v>
      </c>
      <c r="X494">
        <v>0.24024000000000001</v>
      </c>
      <c r="Y494">
        <v>4</v>
      </c>
      <c r="Z494">
        <v>16.6861</v>
      </c>
      <c r="AA494">
        <v>515.79700000000003</v>
      </c>
      <c r="AB494">
        <v>7.0658899999999996</v>
      </c>
    </row>
    <row r="495" spans="1:28" x14ac:dyDescent="0.25">
      <c r="A495">
        <v>494</v>
      </c>
      <c r="B495">
        <v>460986768</v>
      </c>
      <c r="C495" s="7" t="s">
        <v>27</v>
      </c>
      <c r="D495">
        <v>-0.17297100000000001</v>
      </c>
      <c r="E495">
        <v>1.91351</v>
      </c>
      <c r="F495">
        <v>-0.17297100000000001</v>
      </c>
      <c r="G495" s="3">
        <f>firm_data[[#This Row],[production]]-firm_data[[#This Row],[sales]]</f>
        <v>0</v>
      </c>
      <c r="H495">
        <v>0</v>
      </c>
      <c r="I495">
        <v>-0.69452899999999995</v>
      </c>
      <c r="J495">
        <v>2</v>
      </c>
      <c r="K495">
        <v>2</v>
      </c>
      <c r="L495">
        <v>0</v>
      </c>
      <c r="M495">
        <v>5</v>
      </c>
      <c r="N495">
        <v>0</v>
      </c>
      <c r="O495">
        <v>0</v>
      </c>
      <c r="P495">
        <v>0.99990000000000001</v>
      </c>
      <c r="Q495" s="7" t="s">
        <v>28</v>
      </c>
      <c r="R495" s="7" t="s">
        <v>151</v>
      </c>
      <c r="S495">
        <v>0</v>
      </c>
      <c r="T495">
        <v>7.3061299999999996</v>
      </c>
      <c r="U495">
        <v>6.0060099999999998</v>
      </c>
      <c r="V495">
        <v>0</v>
      </c>
      <c r="W495">
        <v>1.8311200000000001</v>
      </c>
      <c r="X495">
        <v>0</v>
      </c>
      <c r="Y495">
        <v>4</v>
      </c>
      <c r="Z495">
        <v>0</v>
      </c>
      <c r="AA495">
        <v>511.81799999999998</v>
      </c>
      <c r="AB495">
        <v>7.0658899999999996</v>
      </c>
    </row>
    <row r="496" spans="1:28" x14ac:dyDescent="0.25">
      <c r="A496">
        <v>495</v>
      </c>
      <c r="B496">
        <v>957588513</v>
      </c>
      <c r="C496" s="7" t="s">
        <v>27</v>
      </c>
      <c r="D496">
        <v>-0.17297100000000001</v>
      </c>
      <c r="E496">
        <v>1.91351</v>
      </c>
      <c r="F496">
        <v>-0.17297100000000001</v>
      </c>
      <c r="G496" s="3">
        <f>firm_data[[#This Row],[production]]-firm_data[[#This Row],[sales]]</f>
        <v>0</v>
      </c>
      <c r="H496">
        <v>0</v>
      </c>
      <c r="I496">
        <v>-0.69452899999999995</v>
      </c>
      <c r="J496">
        <v>2</v>
      </c>
      <c r="K496">
        <v>2</v>
      </c>
      <c r="L496">
        <v>0</v>
      </c>
      <c r="M496">
        <v>5</v>
      </c>
      <c r="N496">
        <v>0</v>
      </c>
      <c r="O496">
        <v>0</v>
      </c>
      <c r="P496">
        <v>0.99990000000000001</v>
      </c>
      <c r="Q496" s="7" t="s">
        <v>28</v>
      </c>
      <c r="R496" s="7" t="s">
        <v>151</v>
      </c>
      <c r="S496">
        <v>0</v>
      </c>
      <c r="T496">
        <v>7.1860099999999996</v>
      </c>
      <c r="U496">
        <v>6.0060099999999998</v>
      </c>
      <c r="V496">
        <v>0</v>
      </c>
      <c r="W496">
        <v>1.8311200000000001</v>
      </c>
      <c r="X496">
        <v>0</v>
      </c>
      <c r="Y496">
        <v>4</v>
      </c>
      <c r="Z496">
        <v>0</v>
      </c>
      <c r="AA496">
        <v>510.923</v>
      </c>
      <c r="AB496">
        <v>7.0658899999999996</v>
      </c>
    </row>
    <row r="497" spans="1:28" x14ac:dyDescent="0.25">
      <c r="A497">
        <v>496</v>
      </c>
      <c r="B497">
        <v>679607242</v>
      </c>
      <c r="C497" s="7" t="s">
        <v>27</v>
      </c>
      <c r="D497">
        <v>-0.17297100000000001</v>
      </c>
      <c r="E497">
        <v>1.91351</v>
      </c>
      <c r="F497">
        <v>-0.17297100000000001</v>
      </c>
      <c r="G497" s="3">
        <f>firm_data[[#This Row],[production]]-firm_data[[#This Row],[sales]]</f>
        <v>0</v>
      </c>
      <c r="H497">
        <v>0</v>
      </c>
      <c r="I497">
        <v>-0.69452899999999995</v>
      </c>
      <c r="J497">
        <v>2</v>
      </c>
      <c r="K497">
        <v>2</v>
      </c>
      <c r="L497">
        <v>0</v>
      </c>
      <c r="M497">
        <v>5</v>
      </c>
      <c r="N497">
        <v>0</v>
      </c>
      <c r="O497">
        <v>0</v>
      </c>
      <c r="P497">
        <v>0.99990000000000001</v>
      </c>
      <c r="Q497" s="7" t="s">
        <v>28</v>
      </c>
      <c r="R497" s="7" t="s">
        <v>151</v>
      </c>
      <c r="S497">
        <v>0</v>
      </c>
      <c r="T497">
        <v>7.0658899999999996</v>
      </c>
      <c r="U497">
        <v>6.0060099999999998</v>
      </c>
      <c r="V497">
        <v>0</v>
      </c>
      <c r="W497">
        <v>1.8311200000000001</v>
      </c>
      <c r="X497">
        <v>0</v>
      </c>
      <c r="Y497">
        <v>4</v>
      </c>
      <c r="Z497">
        <v>0</v>
      </c>
      <c r="AA497">
        <v>506.947</v>
      </c>
      <c r="AB497">
        <v>7.0658899999999996</v>
      </c>
    </row>
    <row r="498" spans="1:28" x14ac:dyDescent="0.25">
      <c r="A498">
        <v>497</v>
      </c>
      <c r="B498">
        <v>966101454</v>
      </c>
      <c r="C498" s="7" t="s">
        <v>27</v>
      </c>
      <c r="D498">
        <v>-0.17297100000000001</v>
      </c>
      <c r="E498">
        <v>1.91351</v>
      </c>
      <c r="F498">
        <v>-0.17297100000000001</v>
      </c>
      <c r="G498" s="3">
        <f>firm_data[[#This Row],[production]]-firm_data[[#This Row],[sales]]</f>
        <v>0</v>
      </c>
      <c r="H498">
        <v>0</v>
      </c>
      <c r="I498">
        <v>-0.69452899999999995</v>
      </c>
      <c r="J498">
        <v>2</v>
      </c>
      <c r="K498">
        <v>2</v>
      </c>
      <c r="L498">
        <v>0</v>
      </c>
      <c r="M498">
        <v>5</v>
      </c>
      <c r="N498">
        <v>0</v>
      </c>
      <c r="O498">
        <v>0</v>
      </c>
      <c r="P498">
        <v>0.99990000000000001</v>
      </c>
      <c r="Q498" s="7" t="s">
        <v>28</v>
      </c>
      <c r="R498" s="7" t="s">
        <v>151</v>
      </c>
      <c r="S498">
        <v>0</v>
      </c>
      <c r="T498">
        <v>6.9457700000000004</v>
      </c>
      <c r="U498">
        <v>6.0060099999999998</v>
      </c>
      <c r="V498">
        <v>0</v>
      </c>
      <c r="W498">
        <v>1.8311200000000001</v>
      </c>
      <c r="X498">
        <v>0</v>
      </c>
      <c r="Y498">
        <v>4</v>
      </c>
      <c r="Z498">
        <v>0</v>
      </c>
      <c r="AA498">
        <v>502.94799999999998</v>
      </c>
      <c r="AB498">
        <v>7.0658899999999996</v>
      </c>
    </row>
    <row r="499" spans="1:28" x14ac:dyDescent="0.25">
      <c r="A499">
        <v>498</v>
      </c>
      <c r="B499">
        <v>723897936</v>
      </c>
      <c r="C499" s="7" t="s">
        <v>27</v>
      </c>
      <c r="D499">
        <v>-0.17297100000000001</v>
      </c>
      <c r="E499">
        <v>1.91351</v>
      </c>
      <c r="F499">
        <v>-0.17297100000000001</v>
      </c>
      <c r="G499" s="3">
        <f>firm_data[[#This Row],[production]]-firm_data[[#This Row],[sales]]</f>
        <v>0</v>
      </c>
      <c r="H499">
        <v>0</v>
      </c>
      <c r="I499">
        <v>-0.69452899999999995</v>
      </c>
      <c r="J499">
        <v>2</v>
      </c>
      <c r="K499">
        <v>2</v>
      </c>
      <c r="L499">
        <v>0</v>
      </c>
      <c r="M499">
        <v>5</v>
      </c>
      <c r="N499">
        <v>0</v>
      </c>
      <c r="O499">
        <v>0</v>
      </c>
      <c r="P499">
        <v>0.99990000000000001</v>
      </c>
      <c r="Q499" s="7" t="s">
        <v>28</v>
      </c>
      <c r="R499" s="7" t="s">
        <v>151</v>
      </c>
      <c r="S499">
        <v>0</v>
      </c>
      <c r="T499">
        <v>6.8256500000000004</v>
      </c>
      <c r="U499">
        <v>6.0060099999999998</v>
      </c>
      <c r="V499">
        <v>0</v>
      </c>
      <c r="W499">
        <v>1.8311200000000001</v>
      </c>
      <c r="X499">
        <v>0</v>
      </c>
      <c r="Y499">
        <v>4</v>
      </c>
      <c r="Z499">
        <v>0</v>
      </c>
      <c r="AA499">
        <v>499.23399999999998</v>
      </c>
      <c r="AB499">
        <v>7.0658899999999996</v>
      </c>
    </row>
    <row r="500" spans="1:28" x14ac:dyDescent="0.25">
      <c r="A500">
        <v>499</v>
      </c>
      <c r="B500">
        <v>849490600</v>
      </c>
      <c r="C500" s="7" t="s">
        <v>27</v>
      </c>
      <c r="D500">
        <v>-0.17297100000000001</v>
      </c>
      <c r="E500">
        <v>1.91351</v>
      </c>
      <c r="F500">
        <v>-0.17297100000000001</v>
      </c>
      <c r="G500" s="3">
        <f>firm_data[[#This Row],[production]]-firm_data[[#This Row],[sales]]</f>
        <v>0</v>
      </c>
      <c r="H500">
        <v>0</v>
      </c>
      <c r="I500">
        <v>-0.69452899999999995</v>
      </c>
      <c r="J500">
        <v>2</v>
      </c>
      <c r="K500">
        <v>2</v>
      </c>
      <c r="L500">
        <v>0</v>
      </c>
      <c r="M500">
        <v>5</v>
      </c>
      <c r="N500">
        <v>0</v>
      </c>
      <c r="O500">
        <v>0</v>
      </c>
      <c r="P500">
        <v>0.99990000000000001</v>
      </c>
      <c r="Q500" s="7" t="s">
        <v>28</v>
      </c>
      <c r="R500" s="7" t="s">
        <v>151</v>
      </c>
      <c r="S500">
        <v>0</v>
      </c>
      <c r="T500">
        <v>6.7055300000000004</v>
      </c>
      <c r="U500">
        <v>6.0060099999999998</v>
      </c>
      <c r="V500">
        <v>0</v>
      </c>
      <c r="W500">
        <v>1.8311200000000001</v>
      </c>
      <c r="X500">
        <v>0</v>
      </c>
      <c r="Y500">
        <v>4</v>
      </c>
      <c r="Z500">
        <v>0</v>
      </c>
      <c r="AA500">
        <v>492.95400000000001</v>
      </c>
      <c r="AB500">
        <v>7.0658899999999996</v>
      </c>
    </row>
    <row r="501" spans="1:28" x14ac:dyDescent="0.25">
      <c r="A501">
        <v>500</v>
      </c>
      <c r="B501">
        <v>283963449</v>
      </c>
      <c r="C501" s="7" t="s">
        <v>27</v>
      </c>
      <c r="D501">
        <v>-0.17297100000000001</v>
      </c>
      <c r="E501">
        <v>1.91351</v>
      </c>
      <c r="F501">
        <v>-0.17297100000000001</v>
      </c>
      <c r="G501" s="3">
        <f>firm_data[[#This Row],[production]]-firm_data[[#This Row],[sales]]</f>
        <v>0</v>
      </c>
      <c r="H501">
        <v>0</v>
      </c>
      <c r="I501">
        <v>-0.69452899999999995</v>
      </c>
      <c r="J501">
        <v>2</v>
      </c>
      <c r="K501">
        <v>2</v>
      </c>
      <c r="L501">
        <v>0</v>
      </c>
      <c r="M501">
        <v>5</v>
      </c>
      <c r="N501">
        <v>0</v>
      </c>
      <c r="O501">
        <v>0</v>
      </c>
      <c r="P501">
        <v>0.99990000000000001</v>
      </c>
      <c r="Q501" s="7" t="s">
        <v>28</v>
      </c>
      <c r="R501" s="7" t="s">
        <v>151</v>
      </c>
      <c r="S501">
        <v>0</v>
      </c>
      <c r="T501">
        <v>6.5854100000000004</v>
      </c>
      <c r="U501">
        <v>6.0060099999999998</v>
      </c>
      <c r="V501">
        <v>0</v>
      </c>
      <c r="W501">
        <v>1.8311200000000001</v>
      </c>
      <c r="X501">
        <v>0</v>
      </c>
      <c r="Y501">
        <v>4</v>
      </c>
      <c r="Z501">
        <v>0</v>
      </c>
      <c r="AA501">
        <v>489.14800000000002</v>
      </c>
      <c r="AB501">
        <v>7.0658899999999996</v>
      </c>
    </row>
    <row r="502" spans="1:28" x14ac:dyDescent="0.25">
      <c r="A502">
        <v>501</v>
      </c>
      <c r="B502">
        <v>262557037</v>
      </c>
      <c r="C502" s="7" t="s">
        <v>27</v>
      </c>
      <c r="D502">
        <v>-71.696399999999997</v>
      </c>
      <c r="E502">
        <v>1.91351</v>
      </c>
      <c r="F502">
        <v>-71.696399999999997</v>
      </c>
      <c r="G502" s="3">
        <f>firm_data[[#This Row],[production]]-firm_data[[#This Row],[sales]]</f>
        <v>0</v>
      </c>
      <c r="H502">
        <v>0</v>
      </c>
      <c r="I502">
        <v>-0.69452899999999995</v>
      </c>
      <c r="J502">
        <v>2</v>
      </c>
      <c r="K502">
        <v>2</v>
      </c>
      <c r="L502">
        <v>0</v>
      </c>
      <c r="M502">
        <v>5</v>
      </c>
      <c r="N502">
        <v>0</v>
      </c>
      <c r="O502">
        <v>0</v>
      </c>
      <c r="P502">
        <v>0.99990000000000001</v>
      </c>
      <c r="Q502" s="7" t="s">
        <v>28</v>
      </c>
      <c r="R502" s="7" t="s">
        <v>151</v>
      </c>
      <c r="S502">
        <v>0</v>
      </c>
      <c r="T502">
        <v>7.4262499999999996</v>
      </c>
      <c r="U502">
        <v>6.0060099999999998</v>
      </c>
      <c r="V502">
        <v>71.523399999999995</v>
      </c>
      <c r="W502">
        <v>1.8311200000000001</v>
      </c>
      <c r="X502">
        <v>0.96096099999999995</v>
      </c>
      <c r="Y502">
        <v>4</v>
      </c>
      <c r="Z502">
        <v>72.305499999999995</v>
      </c>
      <c r="AA502">
        <v>558.77200000000005</v>
      </c>
      <c r="AB502">
        <v>7.0658899999999996</v>
      </c>
    </row>
    <row r="503" spans="1:28" x14ac:dyDescent="0.25">
      <c r="A503">
        <v>502</v>
      </c>
      <c r="B503">
        <v>224710013</v>
      </c>
      <c r="C503" s="7" t="s">
        <v>27</v>
      </c>
      <c r="D503">
        <v>-0.17297100000000001</v>
      </c>
      <c r="E503">
        <v>1.91351</v>
      </c>
      <c r="F503">
        <v>-0.17297100000000001</v>
      </c>
      <c r="G503" s="3">
        <f>firm_data[[#This Row],[production]]-firm_data[[#This Row],[sales]]</f>
        <v>0</v>
      </c>
      <c r="H503">
        <v>0</v>
      </c>
      <c r="I503">
        <v>-0.69452899999999995</v>
      </c>
      <c r="J503">
        <v>2</v>
      </c>
      <c r="K503">
        <v>2</v>
      </c>
      <c r="L503">
        <v>0</v>
      </c>
      <c r="M503">
        <v>5</v>
      </c>
      <c r="N503">
        <v>0</v>
      </c>
      <c r="O503">
        <v>0</v>
      </c>
      <c r="P503">
        <v>0.99990000000000001</v>
      </c>
      <c r="Q503" s="7" t="s">
        <v>28</v>
      </c>
      <c r="R503" s="7" t="s">
        <v>151</v>
      </c>
      <c r="S503">
        <v>0</v>
      </c>
      <c r="T503">
        <v>7.3061299999999996</v>
      </c>
      <c r="U503">
        <v>6.0060099999999998</v>
      </c>
      <c r="V503">
        <v>0</v>
      </c>
      <c r="W503">
        <v>1.8311200000000001</v>
      </c>
      <c r="X503">
        <v>0</v>
      </c>
      <c r="Y503">
        <v>4</v>
      </c>
      <c r="Z503">
        <v>0</v>
      </c>
      <c r="AA503">
        <v>555.67499999999995</v>
      </c>
      <c r="AB503">
        <v>7.0658899999999996</v>
      </c>
    </row>
    <row r="504" spans="1:28" x14ac:dyDescent="0.25">
      <c r="A504">
        <v>503</v>
      </c>
      <c r="B504">
        <v>682155834</v>
      </c>
      <c r="C504" s="7" t="s">
        <v>27</v>
      </c>
      <c r="D504">
        <v>-0.17297100000000001</v>
      </c>
      <c r="E504">
        <v>1.91351</v>
      </c>
      <c r="F504">
        <v>-0.17297100000000001</v>
      </c>
      <c r="G504" s="3">
        <f>firm_data[[#This Row],[production]]-firm_data[[#This Row],[sales]]</f>
        <v>0</v>
      </c>
      <c r="H504">
        <v>0</v>
      </c>
      <c r="I504">
        <v>-0.69452899999999995</v>
      </c>
      <c r="J504">
        <v>2</v>
      </c>
      <c r="K504">
        <v>2</v>
      </c>
      <c r="L504">
        <v>0</v>
      </c>
      <c r="M504">
        <v>5</v>
      </c>
      <c r="N504">
        <v>0</v>
      </c>
      <c r="O504">
        <v>0</v>
      </c>
      <c r="P504">
        <v>0.99990000000000001</v>
      </c>
      <c r="Q504" s="7" t="s">
        <v>28</v>
      </c>
      <c r="R504" s="7" t="s">
        <v>151</v>
      </c>
      <c r="S504">
        <v>0</v>
      </c>
      <c r="T504">
        <v>7.1860099999999996</v>
      </c>
      <c r="U504">
        <v>6.0060099999999998</v>
      </c>
      <c r="V504">
        <v>0</v>
      </c>
      <c r="W504">
        <v>1.8311200000000001</v>
      </c>
      <c r="X504">
        <v>0</v>
      </c>
      <c r="Y504">
        <v>4</v>
      </c>
      <c r="Z504">
        <v>0</v>
      </c>
      <c r="AA504">
        <v>551.43499999999995</v>
      </c>
      <c r="AB504">
        <v>7.0658899999999996</v>
      </c>
    </row>
    <row r="505" spans="1:28" x14ac:dyDescent="0.25">
      <c r="A505">
        <v>504</v>
      </c>
      <c r="B505">
        <v>94700100</v>
      </c>
      <c r="C505" s="7" t="s">
        <v>27</v>
      </c>
      <c r="D505">
        <v>-0.17297100000000001</v>
      </c>
      <c r="E505">
        <v>1.91351</v>
      </c>
      <c r="F505">
        <v>-0.17297100000000001</v>
      </c>
      <c r="G505" s="3">
        <f>firm_data[[#This Row],[production]]-firm_data[[#This Row],[sales]]</f>
        <v>0</v>
      </c>
      <c r="H505">
        <v>0</v>
      </c>
      <c r="I505">
        <v>-0.69452899999999995</v>
      </c>
      <c r="J505">
        <v>2</v>
      </c>
      <c r="K505">
        <v>2</v>
      </c>
      <c r="L505">
        <v>0</v>
      </c>
      <c r="M505">
        <v>5</v>
      </c>
      <c r="N505">
        <v>0</v>
      </c>
      <c r="O505">
        <v>0</v>
      </c>
      <c r="P505">
        <v>0.99990000000000001</v>
      </c>
      <c r="Q505" s="7" t="s">
        <v>28</v>
      </c>
      <c r="R505" s="7" t="s">
        <v>151</v>
      </c>
      <c r="S505">
        <v>0</v>
      </c>
      <c r="T505">
        <v>7.0658899999999996</v>
      </c>
      <c r="U505">
        <v>6.0060099999999998</v>
      </c>
      <c r="V505">
        <v>0</v>
      </c>
      <c r="W505">
        <v>1.8311200000000001</v>
      </c>
      <c r="X505">
        <v>0</v>
      </c>
      <c r="Y505">
        <v>4</v>
      </c>
      <c r="Z505">
        <v>0</v>
      </c>
      <c r="AA505">
        <v>546.75199999999995</v>
      </c>
      <c r="AB505">
        <v>7.0658899999999996</v>
      </c>
    </row>
    <row r="506" spans="1:28" x14ac:dyDescent="0.25">
      <c r="A506">
        <v>505</v>
      </c>
      <c r="B506">
        <v>454194356</v>
      </c>
      <c r="C506" s="7" t="s">
        <v>27</v>
      </c>
      <c r="D506">
        <v>-0.17297100000000001</v>
      </c>
      <c r="E506">
        <v>1.91351</v>
      </c>
      <c r="F506">
        <v>-0.17297100000000001</v>
      </c>
      <c r="G506" s="3">
        <f>firm_data[[#This Row],[production]]-firm_data[[#This Row],[sales]]</f>
        <v>0</v>
      </c>
      <c r="H506">
        <v>0</v>
      </c>
      <c r="I506">
        <v>-0.69452899999999995</v>
      </c>
      <c r="J506">
        <v>2</v>
      </c>
      <c r="K506">
        <v>2</v>
      </c>
      <c r="L506">
        <v>0</v>
      </c>
      <c r="M506">
        <v>5</v>
      </c>
      <c r="N506">
        <v>0</v>
      </c>
      <c r="O506">
        <v>0</v>
      </c>
      <c r="P506">
        <v>0.99990000000000001</v>
      </c>
      <c r="Q506" s="7" t="s">
        <v>28</v>
      </c>
      <c r="R506" s="7" t="s">
        <v>151</v>
      </c>
      <c r="S506">
        <v>0</v>
      </c>
      <c r="T506">
        <v>6.9457700000000004</v>
      </c>
      <c r="U506">
        <v>6.0060099999999998</v>
      </c>
      <c r="V506">
        <v>0</v>
      </c>
      <c r="W506">
        <v>1.8311200000000001</v>
      </c>
      <c r="X506">
        <v>0</v>
      </c>
      <c r="Y506">
        <v>4</v>
      </c>
      <c r="Z506">
        <v>0</v>
      </c>
      <c r="AA506">
        <v>540.35900000000004</v>
      </c>
      <c r="AB506">
        <v>7.0658899999999996</v>
      </c>
    </row>
    <row r="507" spans="1:28" x14ac:dyDescent="0.25">
      <c r="A507">
        <v>506</v>
      </c>
      <c r="B507">
        <v>154439856</v>
      </c>
      <c r="C507" s="7" t="s">
        <v>27</v>
      </c>
      <c r="D507">
        <v>-39.268000000000001</v>
      </c>
      <c r="E507">
        <v>1.91351</v>
      </c>
      <c r="F507">
        <v>-39.268000000000001</v>
      </c>
      <c r="G507" s="3">
        <f>firm_data[[#This Row],[production]]-firm_data[[#This Row],[sales]]</f>
        <v>0</v>
      </c>
      <c r="H507">
        <v>0</v>
      </c>
      <c r="I507">
        <v>-0.69452899999999995</v>
      </c>
      <c r="J507">
        <v>2</v>
      </c>
      <c r="K507">
        <v>2</v>
      </c>
      <c r="L507">
        <v>0</v>
      </c>
      <c r="M507">
        <v>5</v>
      </c>
      <c r="N507">
        <v>0</v>
      </c>
      <c r="O507">
        <v>0</v>
      </c>
      <c r="P507">
        <v>0.99990000000000001</v>
      </c>
      <c r="Q507" s="7" t="s">
        <v>28</v>
      </c>
      <c r="R507" s="7" t="s">
        <v>151</v>
      </c>
      <c r="S507">
        <v>0</v>
      </c>
      <c r="T507">
        <v>7.3256500000000004</v>
      </c>
      <c r="U507">
        <v>6.0060099999999998</v>
      </c>
      <c r="V507">
        <v>39.094999999999999</v>
      </c>
      <c r="W507">
        <v>1.8311200000000001</v>
      </c>
      <c r="X507">
        <v>0.60060100000000005</v>
      </c>
      <c r="Y507">
        <v>4</v>
      </c>
      <c r="Z507">
        <v>46.631799999999998</v>
      </c>
      <c r="AA507">
        <v>568.77800000000002</v>
      </c>
      <c r="AB507">
        <v>7.0658899999999996</v>
      </c>
    </row>
    <row r="508" spans="1:28" x14ac:dyDescent="0.25">
      <c r="A508">
        <v>507</v>
      </c>
      <c r="B508">
        <v>653951407</v>
      </c>
      <c r="C508" s="7" t="s">
        <v>27</v>
      </c>
      <c r="D508">
        <v>-0.17297100000000001</v>
      </c>
      <c r="E508">
        <v>1.91351</v>
      </c>
      <c r="F508">
        <v>-0.17297100000000001</v>
      </c>
      <c r="G508" s="3">
        <f>firm_data[[#This Row],[production]]-firm_data[[#This Row],[sales]]</f>
        <v>0</v>
      </c>
      <c r="H508">
        <v>0</v>
      </c>
      <c r="I508">
        <v>-0.69452899999999995</v>
      </c>
      <c r="J508">
        <v>2</v>
      </c>
      <c r="K508">
        <v>2</v>
      </c>
      <c r="L508">
        <v>0</v>
      </c>
      <c r="M508">
        <v>5</v>
      </c>
      <c r="N508">
        <v>0</v>
      </c>
      <c r="O508">
        <v>0</v>
      </c>
      <c r="P508">
        <v>0.99990000000000001</v>
      </c>
      <c r="Q508" s="7" t="s">
        <v>28</v>
      </c>
      <c r="R508" s="7" t="s">
        <v>151</v>
      </c>
      <c r="S508">
        <v>0</v>
      </c>
      <c r="T508">
        <v>7.2055300000000004</v>
      </c>
      <c r="U508">
        <v>6.0060099999999998</v>
      </c>
      <c r="V508">
        <v>0</v>
      </c>
      <c r="W508">
        <v>1.8311200000000001</v>
      </c>
      <c r="X508">
        <v>0</v>
      </c>
      <c r="Y508">
        <v>4</v>
      </c>
      <c r="Z508">
        <v>0</v>
      </c>
      <c r="AA508">
        <v>563.10900000000004</v>
      </c>
      <c r="AB508">
        <v>7.0658899999999996</v>
      </c>
    </row>
    <row r="509" spans="1:28" x14ac:dyDescent="0.25">
      <c r="A509">
        <v>508</v>
      </c>
      <c r="B509">
        <v>690051493</v>
      </c>
      <c r="C509" s="7" t="s">
        <v>27</v>
      </c>
      <c r="D509">
        <v>-0.17297100000000001</v>
      </c>
      <c r="E509">
        <v>1.91351</v>
      </c>
      <c r="F509">
        <v>-0.17297100000000001</v>
      </c>
      <c r="G509" s="3">
        <f>firm_data[[#This Row],[production]]-firm_data[[#This Row],[sales]]</f>
        <v>0</v>
      </c>
      <c r="H509">
        <v>0</v>
      </c>
      <c r="I509">
        <v>-0.69452899999999995</v>
      </c>
      <c r="J509">
        <v>2</v>
      </c>
      <c r="K509">
        <v>2</v>
      </c>
      <c r="L509">
        <v>0</v>
      </c>
      <c r="M509">
        <v>5</v>
      </c>
      <c r="N509">
        <v>0</v>
      </c>
      <c r="O509">
        <v>0</v>
      </c>
      <c r="P509">
        <v>0.99990000000000001</v>
      </c>
      <c r="Q509" s="7" t="s">
        <v>28</v>
      </c>
      <c r="R509" s="7" t="s">
        <v>151</v>
      </c>
      <c r="S509">
        <v>0</v>
      </c>
      <c r="T509">
        <v>7.0854100000000004</v>
      </c>
      <c r="U509">
        <v>6.0060099999999998</v>
      </c>
      <c r="V509">
        <v>0</v>
      </c>
      <c r="W509">
        <v>1.8311200000000001</v>
      </c>
      <c r="X509">
        <v>0</v>
      </c>
      <c r="Y509">
        <v>4</v>
      </c>
      <c r="Z509">
        <v>0</v>
      </c>
      <c r="AA509">
        <v>556.06200000000001</v>
      </c>
      <c r="AB509">
        <v>7.0658899999999996</v>
      </c>
    </row>
    <row r="510" spans="1:28" x14ac:dyDescent="0.25">
      <c r="A510">
        <v>509</v>
      </c>
      <c r="B510">
        <v>936972540</v>
      </c>
      <c r="C510" s="7" t="s">
        <v>27</v>
      </c>
      <c r="D510">
        <v>-0.17297100000000001</v>
      </c>
      <c r="E510">
        <v>1.91351</v>
      </c>
      <c r="F510">
        <v>-0.17297100000000001</v>
      </c>
      <c r="G510" s="3">
        <f>firm_data[[#This Row],[production]]-firm_data[[#This Row],[sales]]</f>
        <v>0</v>
      </c>
      <c r="H510">
        <v>0</v>
      </c>
      <c r="I510">
        <v>-0.69452899999999995</v>
      </c>
      <c r="J510">
        <v>2</v>
      </c>
      <c r="K510">
        <v>2</v>
      </c>
      <c r="L510">
        <v>0</v>
      </c>
      <c r="M510">
        <v>5</v>
      </c>
      <c r="N510">
        <v>0</v>
      </c>
      <c r="O510">
        <v>0</v>
      </c>
      <c r="P510">
        <v>0.99990000000000001</v>
      </c>
      <c r="Q510" s="7" t="s">
        <v>28</v>
      </c>
      <c r="R510" s="7" t="s">
        <v>151</v>
      </c>
      <c r="S510">
        <v>0</v>
      </c>
      <c r="T510">
        <v>6.9652900000000004</v>
      </c>
      <c r="U510">
        <v>6.0060099999999998</v>
      </c>
      <c r="V510">
        <v>0</v>
      </c>
      <c r="W510">
        <v>1.8311200000000001</v>
      </c>
      <c r="X510">
        <v>0.46096100000000001</v>
      </c>
      <c r="Y510">
        <v>4</v>
      </c>
      <c r="Z510">
        <v>36.741300000000003</v>
      </c>
      <c r="AA510">
        <v>555.17399999999998</v>
      </c>
      <c r="AB510">
        <v>7.0658899999999996</v>
      </c>
    </row>
    <row r="511" spans="1:28" x14ac:dyDescent="0.25">
      <c r="A511">
        <v>510</v>
      </c>
      <c r="B511">
        <v>831486472</v>
      </c>
      <c r="C511" s="7" t="s">
        <v>27</v>
      </c>
      <c r="D511">
        <v>-0.17297100000000001</v>
      </c>
      <c r="E511">
        <v>1.91351</v>
      </c>
      <c r="F511">
        <v>-0.17297100000000001</v>
      </c>
      <c r="G511" s="3">
        <f>firm_data[[#This Row],[production]]-firm_data[[#This Row],[sales]]</f>
        <v>0</v>
      </c>
      <c r="H511">
        <v>0</v>
      </c>
      <c r="I511">
        <v>-0.69452899999999995</v>
      </c>
      <c r="J511">
        <v>2</v>
      </c>
      <c r="K511">
        <v>2</v>
      </c>
      <c r="L511">
        <v>0</v>
      </c>
      <c r="M511">
        <v>5</v>
      </c>
      <c r="N511">
        <v>0</v>
      </c>
      <c r="O511">
        <v>0</v>
      </c>
      <c r="P511">
        <v>0.99990000000000001</v>
      </c>
      <c r="Q511" s="7" t="s">
        <v>28</v>
      </c>
      <c r="R511" s="7" t="s">
        <v>151</v>
      </c>
      <c r="S511">
        <v>0</v>
      </c>
      <c r="T511">
        <v>6.8451700000000004</v>
      </c>
      <c r="U511">
        <v>6.0060099999999998</v>
      </c>
      <c r="V511">
        <v>0</v>
      </c>
      <c r="W511">
        <v>1.8311200000000001</v>
      </c>
      <c r="X511">
        <v>0</v>
      </c>
      <c r="Y511">
        <v>4</v>
      </c>
      <c r="Z511">
        <v>0</v>
      </c>
      <c r="AA511">
        <v>546.15599999999995</v>
      </c>
      <c r="AB511">
        <v>7.0658899999999996</v>
      </c>
    </row>
    <row r="512" spans="1:28" x14ac:dyDescent="0.25">
      <c r="A512">
        <v>511</v>
      </c>
      <c r="B512">
        <v>42920728</v>
      </c>
      <c r="C512" s="7" t="s">
        <v>27</v>
      </c>
      <c r="D512">
        <v>-0.17297100000000001</v>
      </c>
      <c r="E512">
        <v>1.91351</v>
      </c>
      <c r="F512">
        <v>-0.17297100000000001</v>
      </c>
      <c r="G512" s="3">
        <f>firm_data[[#This Row],[production]]-firm_data[[#This Row],[sales]]</f>
        <v>0</v>
      </c>
      <c r="H512">
        <v>0</v>
      </c>
      <c r="I512">
        <v>-0.69452899999999995</v>
      </c>
      <c r="J512">
        <v>2</v>
      </c>
      <c r="K512">
        <v>2</v>
      </c>
      <c r="L512">
        <v>0</v>
      </c>
      <c r="M512">
        <v>5</v>
      </c>
      <c r="N512">
        <v>0</v>
      </c>
      <c r="O512">
        <v>0</v>
      </c>
      <c r="P512">
        <v>0.99990000000000001</v>
      </c>
      <c r="Q512" s="7" t="s">
        <v>28</v>
      </c>
      <c r="R512" s="7" t="s">
        <v>151</v>
      </c>
      <c r="S512">
        <v>0</v>
      </c>
      <c r="T512">
        <v>6.7250500000000004</v>
      </c>
      <c r="U512">
        <v>6.0060099999999998</v>
      </c>
      <c r="V512">
        <v>0</v>
      </c>
      <c r="W512">
        <v>1.8311200000000001</v>
      </c>
      <c r="X512">
        <v>0</v>
      </c>
      <c r="Y512">
        <v>4</v>
      </c>
      <c r="Z512">
        <v>0</v>
      </c>
      <c r="AA512">
        <v>541.43100000000004</v>
      </c>
      <c r="AB512">
        <v>7.0658899999999996</v>
      </c>
    </row>
    <row r="513" spans="1:28" x14ac:dyDescent="0.25">
      <c r="A513">
        <v>512</v>
      </c>
      <c r="B513">
        <v>666336386</v>
      </c>
      <c r="C513" s="7" t="s">
        <v>27</v>
      </c>
      <c r="D513">
        <v>-0.17297100000000001</v>
      </c>
      <c r="E513">
        <v>1.91351</v>
      </c>
      <c r="F513">
        <v>-0.17297100000000001</v>
      </c>
      <c r="G513" s="3">
        <f>firm_data[[#This Row],[production]]-firm_data[[#This Row],[sales]]</f>
        <v>0</v>
      </c>
      <c r="H513">
        <v>0</v>
      </c>
      <c r="I513">
        <v>-0.69452899999999995</v>
      </c>
      <c r="J513">
        <v>2</v>
      </c>
      <c r="K513">
        <v>2</v>
      </c>
      <c r="L513">
        <v>0</v>
      </c>
      <c r="M513">
        <v>5</v>
      </c>
      <c r="N513">
        <v>0</v>
      </c>
      <c r="O513">
        <v>0</v>
      </c>
      <c r="P513">
        <v>0.99990000000000001</v>
      </c>
      <c r="Q513" s="7" t="s">
        <v>28</v>
      </c>
      <c r="R513" s="7" t="s">
        <v>151</v>
      </c>
      <c r="S513">
        <v>0</v>
      </c>
      <c r="T513">
        <v>6.6049300000000004</v>
      </c>
      <c r="U513">
        <v>6.0060099999999998</v>
      </c>
      <c r="V513">
        <v>0</v>
      </c>
      <c r="W513">
        <v>1.8311200000000001</v>
      </c>
      <c r="X513">
        <v>0</v>
      </c>
      <c r="Y513">
        <v>4</v>
      </c>
      <c r="Z513">
        <v>0</v>
      </c>
      <c r="AA513">
        <v>535.32899999999995</v>
      </c>
      <c r="AB513">
        <v>7.0658899999999996</v>
      </c>
    </row>
    <row r="514" spans="1:28" x14ac:dyDescent="0.25">
      <c r="A514">
        <v>513</v>
      </c>
      <c r="B514">
        <v>172042607</v>
      </c>
      <c r="C514" s="7" t="s">
        <v>27</v>
      </c>
      <c r="D514">
        <v>-74.996200000000002</v>
      </c>
      <c r="E514">
        <v>1.91351</v>
      </c>
      <c r="F514">
        <v>-74.996200000000002</v>
      </c>
      <c r="G514" s="3">
        <f>firm_data[[#This Row],[production]]-firm_data[[#This Row],[sales]]</f>
        <v>0</v>
      </c>
      <c r="H514">
        <v>0</v>
      </c>
      <c r="I514">
        <v>-0.69452899999999995</v>
      </c>
      <c r="J514">
        <v>2</v>
      </c>
      <c r="K514">
        <v>2</v>
      </c>
      <c r="L514">
        <v>0</v>
      </c>
      <c r="M514">
        <v>5</v>
      </c>
      <c r="N514">
        <v>0</v>
      </c>
      <c r="O514">
        <v>0</v>
      </c>
      <c r="P514">
        <v>0.99990000000000001</v>
      </c>
      <c r="Q514" s="7" t="s">
        <v>28</v>
      </c>
      <c r="R514" s="7" t="s">
        <v>151</v>
      </c>
      <c r="S514">
        <v>0</v>
      </c>
      <c r="T514">
        <v>7.4262499999999996</v>
      </c>
      <c r="U514">
        <v>6.0060099999999998</v>
      </c>
      <c r="V514">
        <v>74.8232</v>
      </c>
      <c r="W514">
        <v>1.8311200000000001</v>
      </c>
      <c r="X514">
        <v>0.94144099999999997</v>
      </c>
      <c r="Y514">
        <v>4</v>
      </c>
      <c r="Z514">
        <v>77.007999999999996</v>
      </c>
      <c r="AA514">
        <v>607.452</v>
      </c>
      <c r="AB514">
        <v>7.0658899999999996</v>
      </c>
    </row>
    <row r="515" spans="1:28" x14ac:dyDescent="0.25">
      <c r="A515">
        <v>514</v>
      </c>
      <c r="B515">
        <v>184679498</v>
      </c>
      <c r="C515" s="7" t="s">
        <v>27</v>
      </c>
      <c r="D515">
        <v>-0.17297100000000001</v>
      </c>
      <c r="E515">
        <v>1.91351</v>
      </c>
      <c r="F515">
        <v>-0.17297100000000001</v>
      </c>
      <c r="G515" s="3">
        <f>firm_data[[#This Row],[production]]-firm_data[[#This Row],[sales]]</f>
        <v>0</v>
      </c>
      <c r="H515">
        <v>0</v>
      </c>
      <c r="I515">
        <v>-0.69452899999999995</v>
      </c>
      <c r="J515">
        <v>2</v>
      </c>
      <c r="K515">
        <v>2</v>
      </c>
      <c r="L515">
        <v>0</v>
      </c>
      <c r="M515">
        <v>5</v>
      </c>
      <c r="N515">
        <v>0</v>
      </c>
      <c r="O515">
        <v>0</v>
      </c>
      <c r="P515">
        <v>0.99990000000000001</v>
      </c>
      <c r="Q515" s="7" t="s">
        <v>28</v>
      </c>
      <c r="R515" s="7" t="s">
        <v>151</v>
      </c>
      <c r="S515">
        <v>0</v>
      </c>
      <c r="T515">
        <v>7.3061299999999996</v>
      </c>
      <c r="U515">
        <v>6.0060099999999998</v>
      </c>
      <c r="V515">
        <v>0</v>
      </c>
      <c r="W515">
        <v>1.8311200000000001</v>
      </c>
      <c r="X515">
        <v>0</v>
      </c>
      <c r="Y515">
        <v>4</v>
      </c>
      <c r="Z515">
        <v>0</v>
      </c>
      <c r="AA515">
        <v>607.822</v>
      </c>
      <c r="AB515">
        <v>7.0658899999999996</v>
      </c>
    </row>
    <row r="516" spans="1:28" x14ac:dyDescent="0.25">
      <c r="A516">
        <v>515</v>
      </c>
      <c r="B516">
        <v>494247720</v>
      </c>
      <c r="C516" s="7" t="s">
        <v>27</v>
      </c>
      <c r="D516">
        <v>-0.17297100000000001</v>
      </c>
      <c r="E516">
        <v>1.91351</v>
      </c>
      <c r="F516">
        <v>-0.17297100000000001</v>
      </c>
      <c r="G516" s="3">
        <f>firm_data[[#This Row],[production]]-firm_data[[#This Row],[sales]]</f>
        <v>0</v>
      </c>
      <c r="H516">
        <v>0</v>
      </c>
      <c r="I516">
        <v>-0.69452899999999995</v>
      </c>
      <c r="J516">
        <v>2</v>
      </c>
      <c r="K516">
        <v>2</v>
      </c>
      <c r="L516">
        <v>0</v>
      </c>
      <c r="M516">
        <v>5</v>
      </c>
      <c r="N516">
        <v>0</v>
      </c>
      <c r="O516">
        <v>0</v>
      </c>
      <c r="P516">
        <v>0.99990000000000001</v>
      </c>
      <c r="Q516" s="7" t="s">
        <v>28</v>
      </c>
      <c r="R516" s="7" t="s">
        <v>151</v>
      </c>
      <c r="S516">
        <v>0</v>
      </c>
      <c r="T516">
        <v>7.1860099999999996</v>
      </c>
      <c r="U516">
        <v>6.0060099999999998</v>
      </c>
      <c r="V516">
        <v>0</v>
      </c>
      <c r="W516">
        <v>1.8311200000000001</v>
      </c>
      <c r="X516">
        <v>0</v>
      </c>
      <c r="Y516">
        <v>4</v>
      </c>
      <c r="Z516">
        <v>0</v>
      </c>
      <c r="AA516">
        <v>610.43200000000002</v>
      </c>
      <c r="AB516">
        <v>7.0658899999999996</v>
      </c>
    </row>
    <row r="517" spans="1:28" x14ac:dyDescent="0.25">
      <c r="A517">
        <v>516</v>
      </c>
      <c r="B517">
        <v>236952320</v>
      </c>
      <c r="C517" s="7" t="s">
        <v>27</v>
      </c>
      <c r="D517">
        <v>-0.17297100000000001</v>
      </c>
      <c r="E517">
        <v>1.91351</v>
      </c>
      <c r="F517">
        <v>-0.17297100000000001</v>
      </c>
      <c r="G517" s="3">
        <f>firm_data[[#This Row],[production]]-firm_data[[#This Row],[sales]]</f>
        <v>0</v>
      </c>
      <c r="H517">
        <v>0</v>
      </c>
      <c r="I517">
        <v>-0.69452899999999995</v>
      </c>
      <c r="J517">
        <v>2</v>
      </c>
      <c r="K517">
        <v>2</v>
      </c>
      <c r="L517">
        <v>0</v>
      </c>
      <c r="M517">
        <v>5</v>
      </c>
      <c r="N517">
        <v>0</v>
      </c>
      <c r="O517">
        <v>0</v>
      </c>
      <c r="P517">
        <v>0.99990000000000001</v>
      </c>
      <c r="Q517" s="7" t="s">
        <v>28</v>
      </c>
      <c r="R517" s="7" t="s">
        <v>151</v>
      </c>
      <c r="S517">
        <v>0</v>
      </c>
      <c r="T517">
        <v>7.0658899999999996</v>
      </c>
      <c r="U517">
        <v>6.0060099999999998</v>
      </c>
      <c r="V517">
        <v>0</v>
      </c>
      <c r="W517">
        <v>1.8311200000000001</v>
      </c>
      <c r="X517">
        <v>0</v>
      </c>
      <c r="Y517">
        <v>4</v>
      </c>
      <c r="Z517">
        <v>0</v>
      </c>
      <c r="AA517">
        <v>609.61099999999999</v>
      </c>
      <c r="AB517">
        <v>7.0658899999999996</v>
      </c>
    </row>
    <row r="518" spans="1:28" x14ac:dyDescent="0.25">
      <c r="A518">
        <v>517</v>
      </c>
      <c r="B518">
        <v>242745223</v>
      </c>
      <c r="C518" s="7" t="s">
        <v>27</v>
      </c>
      <c r="D518">
        <v>-42.047699999999999</v>
      </c>
      <c r="E518">
        <v>1.91351</v>
      </c>
      <c r="F518">
        <v>-42.047699999999999</v>
      </c>
      <c r="G518" s="3">
        <f>firm_data[[#This Row],[production]]-firm_data[[#This Row],[sales]]</f>
        <v>0</v>
      </c>
      <c r="H518">
        <v>0</v>
      </c>
      <c r="I518">
        <v>-0.69452899999999995</v>
      </c>
      <c r="J518">
        <v>2</v>
      </c>
      <c r="K518">
        <v>2</v>
      </c>
      <c r="L518">
        <v>0</v>
      </c>
      <c r="M518">
        <v>5</v>
      </c>
      <c r="N518">
        <v>0</v>
      </c>
      <c r="O518">
        <v>0</v>
      </c>
      <c r="P518">
        <v>0.99990000000000001</v>
      </c>
      <c r="Q518" s="7" t="s">
        <v>28</v>
      </c>
      <c r="R518" s="7" t="s">
        <v>151</v>
      </c>
      <c r="S518">
        <v>0</v>
      </c>
      <c r="T518">
        <v>7.4262499999999996</v>
      </c>
      <c r="U518">
        <v>6.0060099999999998</v>
      </c>
      <c r="V518">
        <v>41.8748</v>
      </c>
      <c r="W518">
        <v>1.8311200000000001</v>
      </c>
      <c r="X518">
        <v>0.48048000000000002</v>
      </c>
      <c r="Y518">
        <v>4</v>
      </c>
      <c r="Z518">
        <v>41.689300000000003</v>
      </c>
      <c r="AA518">
        <v>644.34400000000005</v>
      </c>
      <c r="AB518">
        <v>7.0658899999999996</v>
      </c>
    </row>
    <row r="519" spans="1:28" x14ac:dyDescent="0.25">
      <c r="A519">
        <v>518</v>
      </c>
      <c r="B519">
        <v>764888647</v>
      </c>
      <c r="C519" s="7" t="s">
        <v>27</v>
      </c>
      <c r="D519">
        <v>-10.9786</v>
      </c>
      <c r="E519">
        <v>1.91351</v>
      </c>
      <c r="F519">
        <v>-10.9786</v>
      </c>
      <c r="G519" s="3">
        <f>firm_data[[#This Row],[production]]-firm_data[[#This Row],[sales]]</f>
        <v>0</v>
      </c>
      <c r="H519">
        <v>0</v>
      </c>
      <c r="I519">
        <v>-0.69452899999999995</v>
      </c>
      <c r="J519">
        <v>2</v>
      </c>
      <c r="K519">
        <v>2</v>
      </c>
      <c r="L519">
        <v>0</v>
      </c>
      <c r="M519">
        <v>5</v>
      </c>
      <c r="N519">
        <v>0</v>
      </c>
      <c r="O519">
        <v>0</v>
      </c>
      <c r="P519">
        <v>0.99990000000000001</v>
      </c>
      <c r="Q519" s="7" t="s">
        <v>28</v>
      </c>
      <c r="R519" s="7" t="s">
        <v>151</v>
      </c>
      <c r="S519">
        <v>0</v>
      </c>
      <c r="T519">
        <v>7.4262499999999996</v>
      </c>
      <c r="U519">
        <v>6.0060099999999998</v>
      </c>
      <c r="V519">
        <v>10.8056</v>
      </c>
      <c r="W519">
        <v>1.8311200000000001</v>
      </c>
      <c r="X519">
        <v>0.12012</v>
      </c>
      <c r="Y519">
        <v>4</v>
      </c>
      <c r="Z519">
        <v>10.4832</v>
      </c>
      <c r="AA519">
        <v>648.10699999999997</v>
      </c>
      <c r="AB519">
        <v>7.0658899999999996</v>
      </c>
    </row>
    <row r="520" spans="1:28" x14ac:dyDescent="0.25">
      <c r="A520">
        <v>519</v>
      </c>
      <c r="B520">
        <v>724807039</v>
      </c>
      <c r="C520" s="7" t="s">
        <v>27</v>
      </c>
      <c r="D520">
        <v>-0.17297100000000001</v>
      </c>
      <c r="E520">
        <v>1.91351</v>
      </c>
      <c r="F520">
        <v>-0.17297100000000001</v>
      </c>
      <c r="G520" s="3">
        <f>firm_data[[#This Row],[production]]-firm_data[[#This Row],[sales]]</f>
        <v>0</v>
      </c>
      <c r="H520">
        <v>0</v>
      </c>
      <c r="I520">
        <v>-0.69452899999999995</v>
      </c>
      <c r="J520">
        <v>2</v>
      </c>
      <c r="K520">
        <v>2</v>
      </c>
      <c r="L520">
        <v>0</v>
      </c>
      <c r="M520">
        <v>5</v>
      </c>
      <c r="N520">
        <v>0</v>
      </c>
      <c r="O520">
        <v>0</v>
      </c>
      <c r="P520">
        <v>0.99990000000000001</v>
      </c>
      <c r="Q520" s="7" t="s">
        <v>28</v>
      </c>
      <c r="R520" s="7" t="s">
        <v>151</v>
      </c>
      <c r="S520">
        <v>0</v>
      </c>
      <c r="T520">
        <v>7.3061299999999996</v>
      </c>
      <c r="U520">
        <v>6.0060099999999998</v>
      </c>
      <c r="V520">
        <v>0</v>
      </c>
      <c r="W520">
        <v>1.8311200000000001</v>
      </c>
      <c r="X520">
        <v>0</v>
      </c>
      <c r="Y520">
        <v>4</v>
      </c>
      <c r="Z520">
        <v>0</v>
      </c>
      <c r="AA520">
        <v>639.61599999999999</v>
      </c>
      <c r="AB520">
        <v>7.0658899999999996</v>
      </c>
    </row>
    <row r="521" spans="1:28" x14ac:dyDescent="0.25">
      <c r="A521">
        <v>520</v>
      </c>
      <c r="B521">
        <v>230556942</v>
      </c>
      <c r="C521" s="7" t="s">
        <v>27</v>
      </c>
      <c r="D521">
        <v>-0.17297100000000001</v>
      </c>
      <c r="E521">
        <v>1.91351</v>
      </c>
      <c r="F521">
        <v>-0.17297100000000001</v>
      </c>
      <c r="G521" s="3">
        <f>firm_data[[#This Row],[production]]-firm_data[[#This Row],[sales]]</f>
        <v>0</v>
      </c>
      <c r="H521">
        <v>0</v>
      </c>
      <c r="I521">
        <v>-0.69452899999999995</v>
      </c>
      <c r="J521">
        <v>2</v>
      </c>
      <c r="K521">
        <v>2</v>
      </c>
      <c r="L521">
        <v>0</v>
      </c>
      <c r="M521">
        <v>5</v>
      </c>
      <c r="N521">
        <v>0</v>
      </c>
      <c r="O521">
        <v>0</v>
      </c>
      <c r="P521">
        <v>0.99990000000000001</v>
      </c>
      <c r="Q521" s="7" t="s">
        <v>28</v>
      </c>
      <c r="R521" s="7" t="s">
        <v>151</v>
      </c>
      <c r="S521">
        <v>0</v>
      </c>
      <c r="T521">
        <v>7.1860099999999996</v>
      </c>
      <c r="U521">
        <v>6.0060099999999998</v>
      </c>
      <c r="V521">
        <v>0</v>
      </c>
      <c r="W521">
        <v>1.8311200000000001</v>
      </c>
      <c r="X521">
        <v>0</v>
      </c>
      <c r="Y521">
        <v>4</v>
      </c>
      <c r="Z521">
        <v>0</v>
      </c>
      <c r="AA521">
        <v>635.37699999999995</v>
      </c>
      <c r="AB521">
        <v>7.0658899999999996</v>
      </c>
    </row>
    <row r="522" spans="1:28" x14ac:dyDescent="0.25">
      <c r="A522">
        <v>521</v>
      </c>
      <c r="B522">
        <v>732193093</v>
      </c>
      <c r="C522" s="7" t="s">
        <v>27</v>
      </c>
      <c r="D522">
        <v>-31.962</v>
      </c>
      <c r="E522">
        <v>1.91351</v>
      </c>
      <c r="F522">
        <v>-31.962</v>
      </c>
      <c r="G522" s="3">
        <f>firm_data[[#This Row],[production]]-firm_data[[#This Row],[sales]]</f>
        <v>0</v>
      </c>
      <c r="H522">
        <v>0</v>
      </c>
      <c r="I522">
        <v>-0.69452899999999995</v>
      </c>
      <c r="J522">
        <v>2</v>
      </c>
      <c r="K522">
        <v>2</v>
      </c>
      <c r="L522">
        <v>0</v>
      </c>
      <c r="M522">
        <v>5</v>
      </c>
      <c r="N522">
        <v>0</v>
      </c>
      <c r="O522">
        <v>0</v>
      </c>
      <c r="P522">
        <v>0.99990000000000001</v>
      </c>
      <c r="Q522" s="7" t="s">
        <v>28</v>
      </c>
      <c r="R522" s="7" t="s">
        <v>151</v>
      </c>
      <c r="S522">
        <v>0</v>
      </c>
      <c r="T522">
        <v>7.4262499999999996</v>
      </c>
      <c r="U522">
        <v>6.0060099999999998</v>
      </c>
      <c r="V522">
        <v>31.789000000000001</v>
      </c>
      <c r="W522">
        <v>1.8311200000000001</v>
      </c>
      <c r="X522">
        <v>0.36036000000000001</v>
      </c>
      <c r="Y522">
        <v>4</v>
      </c>
      <c r="Z522">
        <v>32.031700000000001</v>
      </c>
      <c r="AA522">
        <v>660.10400000000004</v>
      </c>
      <c r="AB522">
        <v>7.0658899999999996</v>
      </c>
    </row>
    <row r="523" spans="1:28" x14ac:dyDescent="0.25">
      <c r="A523">
        <v>522</v>
      </c>
      <c r="B523">
        <v>858471147</v>
      </c>
      <c r="C523" s="7" t="s">
        <v>27</v>
      </c>
      <c r="D523">
        <v>-0.17297100000000001</v>
      </c>
      <c r="E523">
        <v>1.91351</v>
      </c>
      <c r="F523">
        <v>-0.17297100000000001</v>
      </c>
      <c r="G523" s="3">
        <f>firm_data[[#This Row],[production]]-firm_data[[#This Row],[sales]]</f>
        <v>0</v>
      </c>
      <c r="H523">
        <v>0</v>
      </c>
      <c r="I523">
        <v>-0.69452899999999995</v>
      </c>
      <c r="J523">
        <v>2</v>
      </c>
      <c r="K523">
        <v>2</v>
      </c>
      <c r="L523">
        <v>0</v>
      </c>
      <c r="M523">
        <v>5</v>
      </c>
      <c r="N523">
        <v>0</v>
      </c>
      <c r="O523">
        <v>0</v>
      </c>
      <c r="P523">
        <v>0.99990000000000001</v>
      </c>
      <c r="Q523" s="7" t="s">
        <v>28</v>
      </c>
      <c r="R523" s="7" t="s">
        <v>151</v>
      </c>
      <c r="S523">
        <v>0</v>
      </c>
      <c r="T523">
        <v>7.3061299999999996</v>
      </c>
      <c r="U523">
        <v>6.0060099999999998</v>
      </c>
      <c r="V523">
        <v>0</v>
      </c>
      <c r="W523">
        <v>1.8311200000000001</v>
      </c>
      <c r="X523">
        <v>0</v>
      </c>
      <c r="Y523">
        <v>4</v>
      </c>
      <c r="Z523">
        <v>0</v>
      </c>
      <c r="AA523">
        <v>650.94600000000003</v>
      </c>
      <c r="AB523">
        <v>7.0658899999999996</v>
      </c>
    </row>
    <row r="524" spans="1:28" x14ac:dyDescent="0.25">
      <c r="A524">
        <v>523</v>
      </c>
      <c r="B524">
        <v>513162854</v>
      </c>
      <c r="C524" s="7" t="s">
        <v>27</v>
      </c>
      <c r="D524">
        <v>-0.17297100000000001</v>
      </c>
      <c r="E524">
        <v>1.91351</v>
      </c>
      <c r="F524">
        <v>-0.17297100000000001</v>
      </c>
      <c r="G524" s="3">
        <f>firm_data[[#This Row],[production]]-firm_data[[#This Row],[sales]]</f>
        <v>0</v>
      </c>
      <c r="H524">
        <v>0</v>
      </c>
      <c r="I524">
        <v>-0.69452899999999995</v>
      </c>
      <c r="J524">
        <v>2</v>
      </c>
      <c r="K524">
        <v>2</v>
      </c>
      <c r="L524">
        <v>0</v>
      </c>
      <c r="M524">
        <v>5</v>
      </c>
      <c r="N524">
        <v>0</v>
      </c>
      <c r="O524">
        <v>0</v>
      </c>
      <c r="P524">
        <v>0.99990000000000001</v>
      </c>
      <c r="Q524" s="7" t="s">
        <v>28</v>
      </c>
      <c r="R524" s="7" t="s">
        <v>151</v>
      </c>
      <c r="S524">
        <v>0</v>
      </c>
      <c r="T524">
        <v>7.1860099999999996</v>
      </c>
      <c r="U524">
        <v>6.0060099999999998</v>
      </c>
      <c r="V524">
        <v>0</v>
      </c>
      <c r="W524">
        <v>1.8311200000000001</v>
      </c>
      <c r="X524">
        <v>0</v>
      </c>
      <c r="Y524">
        <v>4</v>
      </c>
      <c r="Z524">
        <v>0</v>
      </c>
      <c r="AA524">
        <v>642.22</v>
      </c>
      <c r="AB524">
        <v>7.0658899999999996</v>
      </c>
    </row>
    <row r="525" spans="1:28" x14ac:dyDescent="0.25">
      <c r="A525">
        <v>524</v>
      </c>
      <c r="B525">
        <v>243851301</v>
      </c>
      <c r="C525" s="7" t="s">
        <v>27</v>
      </c>
      <c r="D525">
        <v>-32.266599999999997</v>
      </c>
      <c r="E525">
        <v>1.91351</v>
      </c>
      <c r="F525">
        <v>-32.266599999999997</v>
      </c>
      <c r="G525" s="3">
        <f>firm_data[[#This Row],[production]]-firm_data[[#This Row],[sales]]</f>
        <v>0</v>
      </c>
      <c r="H525">
        <v>0</v>
      </c>
      <c r="I525">
        <v>-0.69452899999999995</v>
      </c>
      <c r="J525">
        <v>2</v>
      </c>
      <c r="K525">
        <v>2</v>
      </c>
      <c r="L525">
        <v>0</v>
      </c>
      <c r="M525">
        <v>5</v>
      </c>
      <c r="N525">
        <v>0</v>
      </c>
      <c r="O525">
        <v>0</v>
      </c>
      <c r="P525">
        <v>0.99990000000000001</v>
      </c>
      <c r="Q525" s="7" t="s">
        <v>28</v>
      </c>
      <c r="R525" s="7" t="s">
        <v>151</v>
      </c>
      <c r="S525">
        <v>0</v>
      </c>
      <c r="T525">
        <v>7.4262499999999996</v>
      </c>
      <c r="U525">
        <v>6.0060099999999998</v>
      </c>
      <c r="V525">
        <v>32.093600000000002</v>
      </c>
      <c r="W525">
        <v>1.8311200000000001</v>
      </c>
      <c r="X525">
        <v>0.36036000000000001</v>
      </c>
      <c r="Y525">
        <v>4</v>
      </c>
      <c r="Z525">
        <v>32.450699999999998</v>
      </c>
      <c r="AA525">
        <v>668.73900000000003</v>
      </c>
      <c r="AB525">
        <v>7.0658899999999996</v>
      </c>
    </row>
    <row r="526" spans="1:28" x14ac:dyDescent="0.25">
      <c r="A526">
        <v>525</v>
      </c>
      <c r="B526">
        <v>205104923</v>
      </c>
      <c r="C526" s="7" t="s">
        <v>27</v>
      </c>
      <c r="D526">
        <v>-0.17297100000000001</v>
      </c>
      <c r="E526">
        <v>1.91351</v>
      </c>
      <c r="F526">
        <v>-0.17297100000000001</v>
      </c>
      <c r="G526" s="3">
        <f>firm_data[[#This Row],[production]]-firm_data[[#This Row],[sales]]</f>
        <v>0</v>
      </c>
      <c r="H526">
        <v>0</v>
      </c>
      <c r="I526">
        <v>-0.69452899999999995</v>
      </c>
      <c r="J526">
        <v>2</v>
      </c>
      <c r="K526">
        <v>2</v>
      </c>
      <c r="L526">
        <v>0</v>
      </c>
      <c r="M526">
        <v>5</v>
      </c>
      <c r="N526">
        <v>0</v>
      </c>
      <c r="O526">
        <v>0</v>
      </c>
      <c r="P526">
        <v>0.99990000000000001</v>
      </c>
      <c r="Q526" s="7" t="s">
        <v>28</v>
      </c>
      <c r="R526" s="7" t="s">
        <v>151</v>
      </c>
      <c r="S526">
        <v>0</v>
      </c>
      <c r="T526">
        <v>7.3061299999999996</v>
      </c>
      <c r="U526">
        <v>6.0060099999999998</v>
      </c>
      <c r="V526">
        <v>0</v>
      </c>
      <c r="W526">
        <v>1.8311200000000001</v>
      </c>
      <c r="X526">
        <v>0</v>
      </c>
      <c r="Y526">
        <v>4</v>
      </c>
      <c r="Z526">
        <v>0</v>
      </c>
      <c r="AA526">
        <v>665.58</v>
      </c>
      <c r="AB526">
        <v>7.0658899999999996</v>
      </c>
    </row>
    <row r="527" spans="1:28" x14ac:dyDescent="0.25">
      <c r="A527">
        <v>526</v>
      </c>
      <c r="B527">
        <v>392499222</v>
      </c>
      <c r="C527" s="7" t="s">
        <v>27</v>
      </c>
      <c r="D527">
        <v>-20.5626</v>
      </c>
      <c r="E527">
        <v>1.91351</v>
      </c>
      <c r="F527">
        <v>-20.5626</v>
      </c>
      <c r="G527" s="3">
        <f>firm_data[[#This Row],[production]]-firm_data[[#This Row],[sales]]</f>
        <v>0</v>
      </c>
      <c r="H527">
        <v>0</v>
      </c>
      <c r="I527">
        <v>-0.69452899999999995</v>
      </c>
      <c r="J527">
        <v>2</v>
      </c>
      <c r="K527">
        <v>2</v>
      </c>
      <c r="L527">
        <v>0</v>
      </c>
      <c r="M527">
        <v>5</v>
      </c>
      <c r="N527">
        <v>0</v>
      </c>
      <c r="O527">
        <v>0</v>
      </c>
      <c r="P527">
        <v>0.99990000000000001</v>
      </c>
      <c r="Q527" s="7" t="s">
        <v>28</v>
      </c>
      <c r="R527" s="7" t="s">
        <v>151</v>
      </c>
      <c r="S527">
        <v>0</v>
      </c>
      <c r="T527">
        <v>7.4262499999999996</v>
      </c>
      <c r="U527">
        <v>6.0060099999999998</v>
      </c>
      <c r="V527">
        <v>20.389600000000002</v>
      </c>
      <c r="W527">
        <v>1.8311200000000001</v>
      </c>
      <c r="X527">
        <v>0.24024000000000001</v>
      </c>
      <c r="Y527">
        <v>4</v>
      </c>
      <c r="Z527">
        <v>22.101199999999999</v>
      </c>
      <c r="AA527">
        <v>683.18700000000001</v>
      </c>
      <c r="AB527">
        <v>7.0658899999999996</v>
      </c>
    </row>
    <row r="528" spans="1:28" x14ac:dyDescent="0.25">
      <c r="A528">
        <v>527</v>
      </c>
      <c r="B528">
        <v>299966278</v>
      </c>
      <c r="C528" s="7" t="s">
        <v>27</v>
      </c>
      <c r="D528">
        <v>-0.17297100000000001</v>
      </c>
      <c r="E528">
        <v>1.91351</v>
      </c>
      <c r="F528">
        <v>-0.17297100000000001</v>
      </c>
      <c r="G528" s="3">
        <f>firm_data[[#This Row],[production]]-firm_data[[#This Row],[sales]]</f>
        <v>0</v>
      </c>
      <c r="H528">
        <v>0</v>
      </c>
      <c r="I528">
        <v>-0.69452899999999995</v>
      </c>
      <c r="J528">
        <v>2</v>
      </c>
      <c r="K528">
        <v>2</v>
      </c>
      <c r="L528">
        <v>0</v>
      </c>
      <c r="M528">
        <v>5</v>
      </c>
      <c r="N528">
        <v>0</v>
      </c>
      <c r="O528">
        <v>0</v>
      </c>
      <c r="P528">
        <v>0.99990000000000001</v>
      </c>
      <c r="Q528" s="7" t="s">
        <v>28</v>
      </c>
      <c r="R528" s="7" t="s">
        <v>151</v>
      </c>
      <c r="S528">
        <v>0</v>
      </c>
      <c r="T528">
        <v>7.3061299999999996</v>
      </c>
      <c r="U528">
        <v>6.0060099999999998</v>
      </c>
      <c r="V528">
        <v>0</v>
      </c>
      <c r="W528">
        <v>1.8311200000000001</v>
      </c>
      <c r="X528">
        <v>0</v>
      </c>
      <c r="Y528">
        <v>4</v>
      </c>
      <c r="Z528">
        <v>0</v>
      </c>
      <c r="AA528">
        <v>678.15599999999995</v>
      </c>
      <c r="AB528">
        <v>7.0658899999999996</v>
      </c>
    </row>
    <row r="529" spans="1:28" x14ac:dyDescent="0.25">
      <c r="A529">
        <v>528</v>
      </c>
      <c r="B529">
        <v>73289958</v>
      </c>
      <c r="C529" s="7" t="s">
        <v>27</v>
      </c>
      <c r="D529">
        <v>-22.9925</v>
      </c>
      <c r="E529">
        <v>1.91351</v>
      </c>
      <c r="F529">
        <v>-22.9925</v>
      </c>
      <c r="G529" s="3">
        <f>firm_data[[#This Row],[production]]-firm_data[[#This Row],[sales]]</f>
        <v>0</v>
      </c>
      <c r="H529">
        <v>0</v>
      </c>
      <c r="I529">
        <v>-0.69452899999999995</v>
      </c>
      <c r="J529">
        <v>2</v>
      </c>
      <c r="K529">
        <v>2</v>
      </c>
      <c r="L529">
        <v>0</v>
      </c>
      <c r="M529">
        <v>5</v>
      </c>
      <c r="N529">
        <v>0</v>
      </c>
      <c r="O529">
        <v>0</v>
      </c>
      <c r="P529">
        <v>0.99990000000000001</v>
      </c>
      <c r="Q529" s="7" t="s">
        <v>28</v>
      </c>
      <c r="R529" s="7" t="s">
        <v>151</v>
      </c>
      <c r="S529">
        <v>0</v>
      </c>
      <c r="T529">
        <v>7.4262499999999996</v>
      </c>
      <c r="U529">
        <v>6.0060099999999998</v>
      </c>
      <c r="V529">
        <v>22.819500000000001</v>
      </c>
      <c r="W529">
        <v>1.8311200000000001</v>
      </c>
      <c r="X529">
        <v>0.24024000000000001</v>
      </c>
      <c r="Y529">
        <v>4</v>
      </c>
      <c r="Z529">
        <v>22.412099999999999</v>
      </c>
      <c r="AA529">
        <v>692.79700000000003</v>
      </c>
      <c r="AB529">
        <v>7.0658899999999996</v>
      </c>
    </row>
    <row r="530" spans="1:28" x14ac:dyDescent="0.25">
      <c r="A530">
        <v>529</v>
      </c>
      <c r="B530">
        <v>894240782</v>
      </c>
      <c r="C530" s="7" t="s">
        <v>27</v>
      </c>
      <c r="D530">
        <v>-0.17297100000000001</v>
      </c>
      <c r="E530">
        <v>1.91351</v>
      </c>
      <c r="F530">
        <v>-0.17297100000000001</v>
      </c>
      <c r="G530" s="3">
        <f>firm_data[[#This Row],[production]]-firm_data[[#This Row],[sales]]</f>
        <v>0</v>
      </c>
      <c r="H530">
        <v>0</v>
      </c>
      <c r="I530">
        <v>-0.69452899999999995</v>
      </c>
      <c r="J530">
        <v>2</v>
      </c>
      <c r="K530">
        <v>2</v>
      </c>
      <c r="L530">
        <v>0</v>
      </c>
      <c r="M530">
        <v>5</v>
      </c>
      <c r="N530">
        <v>0</v>
      </c>
      <c r="O530">
        <v>0</v>
      </c>
      <c r="P530">
        <v>0.99990000000000001</v>
      </c>
      <c r="Q530" s="7" t="s">
        <v>28</v>
      </c>
      <c r="R530" s="7" t="s">
        <v>151</v>
      </c>
      <c r="S530">
        <v>0</v>
      </c>
      <c r="T530">
        <v>7.3061299999999996</v>
      </c>
      <c r="U530">
        <v>6.0060099999999998</v>
      </c>
      <c r="V530">
        <v>0</v>
      </c>
      <c r="W530">
        <v>1.8311200000000001</v>
      </c>
      <c r="X530">
        <v>0</v>
      </c>
      <c r="Y530">
        <v>4</v>
      </c>
      <c r="Z530">
        <v>0</v>
      </c>
      <c r="AA530">
        <v>688.03</v>
      </c>
      <c r="AB530">
        <v>7.0658899999999996</v>
      </c>
    </row>
    <row r="531" spans="1:28" x14ac:dyDescent="0.25">
      <c r="A531">
        <v>530</v>
      </c>
      <c r="B531">
        <v>20219139</v>
      </c>
      <c r="C531" s="7" t="s">
        <v>27</v>
      </c>
      <c r="D531">
        <v>-0.17297100000000001</v>
      </c>
      <c r="E531">
        <v>1.91351</v>
      </c>
      <c r="F531">
        <v>-0.17297100000000001</v>
      </c>
      <c r="G531" s="3">
        <f>firm_data[[#This Row],[production]]-firm_data[[#This Row],[sales]]</f>
        <v>0</v>
      </c>
      <c r="H531">
        <v>0</v>
      </c>
      <c r="I531">
        <v>-0.69452899999999995</v>
      </c>
      <c r="J531">
        <v>2</v>
      </c>
      <c r="K531">
        <v>2</v>
      </c>
      <c r="L531">
        <v>0</v>
      </c>
      <c r="M531">
        <v>5</v>
      </c>
      <c r="N531">
        <v>0</v>
      </c>
      <c r="O531">
        <v>0</v>
      </c>
      <c r="P531">
        <v>0.99990000000000001</v>
      </c>
      <c r="Q531" s="7" t="s">
        <v>28</v>
      </c>
      <c r="R531" s="7" t="s">
        <v>151</v>
      </c>
      <c r="S531">
        <v>0</v>
      </c>
      <c r="T531">
        <v>7.1860099999999996</v>
      </c>
      <c r="U531">
        <v>6.0060099999999998</v>
      </c>
      <c r="V531">
        <v>0</v>
      </c>
      <c r="W531">
        <v>1.8311200000000001</v>
      </c>
      <c r="X531">
        <v>0</v>
      </c>
      <c r="Y531">
        <v>4</v>
      </c>
      <c r="Z531">
        <v>0</v>
      </c>
      <c r="AA531">
        <v>690.06500000000005</v>
      </c>
      <c r="AB531">
        <v>7.0658899999999996</v>
      </c>
    </row>
    <row r="532" spans="1:28" x14ac:dyDescent="0.25">
      <c r="A532">
        <v>531</v>
      </c>
      <c r="B532">
        <v>163730078</v>
      </c>
      <c r="C532" s="7" t="s">
        <v>27</v>
      </c>
      <c r="D532">
        <v>-0.17297100000000001</v>
      </c>
      <c r="E532">
        <v>1.91351</v>
      </c>
      <c r="F532">
        <v>-0.17297100000000001</v>
      </c>
      <c r="G532" s="3">
        <f>firm_data[[#This Row],[production]]-firm_data[[#This Row],[sales]]</f>
        <v>0</v>
      </c>
      <c r="H532">
        <v>0</v>
      </c>
      <c r="I532">
        <v>-0.69452899999999995</v>
      </c>
      <c r="J532">
        <v>2</v>
      </c>
      <c r="K532">
        <v>2</v>
      </c>
      <c r="L532">
        <v>0</v>
      </c>
      <c r="M532">
        <v>5</v>
      </c>
      <c r="N532">
        <v>0</v>
      </c>
      <c r="O532">
        <v>0</v>
      </c>
      <c r="P532">
        <v>0.99990000000000001</v>
      </c>
      <c r="Q532" s="7" t="s">
        <v>28</v>
      </c>
      <c r="R532" s="7" t="s">
        <v>151</v>
      </c>
      <c r="S532">
        <v>0</v>
      </c>
      <c r="T532">
        <v>7.0658899999999996</v>
      </c>
      <c r="U532">
        <v>6.0060099999999998</v>
      </c>
      <c r="V532">
        <v>0</v>
      </c>
      <c r="W532">
        <v>1.8311200000000001</v>
      </c>
      <c r="X532">
        <v>0</v>
      </c>
      <c r="Y532">
        <v>4</v>
      </c>
      <c r="Z532">
        <v>0</v>
      </c>
      <c r="AA532">
        <v>684.48400000000004</v>
      </c>
      <c r="AB532">
        <v>7.0658899999999996</v>
      </c>
    </row>
    <row r="533" spans="1:28" x14ac:dyDescent="0.25">
      <c r="A533">
        <v>532</v>
      </c>
      <c r="B533">
        <v>423895455</v>
      </c>
      <c r="C533" s="7" t="s">
        <v>27</v>
      </c>
      <c r="D533">
        <v>-44.900199999999998</v>
      </c>
      <c r="E533">
        <v>1.91351</v>
      </c>
      <c r="F533">
        <v>-44.900199999999998</v>
      </c>
      <c r="G533" s="3">
        <f>firm_data[[#This Row],[production]]-firm_data[[#This Row],[sales]]</f>
        <v>0</v>
      </c>
      <c r="H533">
        <v>0</v>
      </c>
      <c r="I533">
        <v>-0.69452899999999995</v>
      </c>
      <c r="J533">
        <v>2</v>
      </c>
      <c r="K533">
        <v>2</v>
      </c>
      <c r="L533">
        <v>0</v>
      </c>
      <c r="M533">
        <v>5</v>
      </c>
      <c r="N533">
        <v>0</v>
      </c>
      <c r="O533">
        <v>0</v>
      </c>
      <c r="P533">
        <v>0.99990000000000001</v>
      </c>
      <c r="Q533" s="7" t="s">
        <v>28</v>
      </c>
      <c r="R533" s="7" t="s">
        <v>151</v>
      </c>
      <c r="S533">
        <v>0</v>
      </c>
      <c r="T533">
        <v>7.4262499999999996</v>
      </c>
      <c r="U533">
        <v>6.0060099999999998</v>
      </c>
      <c r="V533">
        <v>44.7273</v>
      </c>
      <c r="W533">
        <v>1.8311200000000001</v>
      </c>
      <c r="X533">
        <v>0.48048000000000002</v>
      </c>
      <c r="Y533">
        <v>4</v>
      </c>
      <c r="Z533">
        <v>47.008200000000002</v>
      </c>
      <c r="AA533">
        <v>726.553</v>
      </c>
      <c r="AB533">
        <v>7.0658899999999996</v>
      </c>
    </row>
    <row r="534" spans="1:28" x14ac:dyDescent="0.25">
      <c r="A534">
        <v>533</v>
      </c>
      <c r="B534">
        <v>835631296</v>
      </c>
      <c r="C534" s="7" t="s">
        <v>27</v>
      </c>
      <c r="D534">
        <v>-0.17297100000000001</v>
      </c>
      <c r="E534">
        <v>1.91351</v>
      </c>
      <c r="F534">
        <v>-0.17297100000000001</v>
      </c>
      <c r="G534" s="3">
        <f>firm_data[[#This Row],[production]]-firm_data[[#This Row],[sales]]</f>
        <v>0</v>
      </c>
      <c r="H534">
        <v>0</v>
      </c>
      <c r="I534">
        <v>-0.69452899999999995</v>
      </c>
      <c r="J534">
        <v>2</v>
      </c>
      <c r="K534">
        <v>2</v>
      </c>
      <c r="L534">
        <v>0</v>
      </c>
      <c r="M534">
        <v>5</v>
      </c>
      <c r="N534">
        <v>0</v>
      </c>
      <c r="O534">
        <v>0</v>
      </c>
      <c r="P534">
        <v>0.99990000000000001</v>
      </c>
      <c r="Q534" s="7" t="s">
        <v>28</v>
      </c>
      <c r="R534" s="7" t="s">
        <v>151</v>
      </c>
      <c r="S534">
        <v>0</v>
      </c>
      <c r="T534">
        <v>7.3061299999999996</v>
      </c>
      <c r="U534">
        <v>6.0060099999999998</v>
      </c>
      <c r="V534">
        <v>0</v>
      </c>
      <c r="W534">
        <v>1.8311200000000001</v>
      </c>
      <c r="X534">
        <v>0</v>
      </c>
      <c r="Y534">
        <v>4</v>
      </c>
      <c r="Z534">
        <v>0</v>
      </c>
      <c r="AA534">
        <v>727.94899999999996</v>
      </c>
      <c r="AB534">
        <v>7.0658899999999996</v>
      </c>
    </row>
    <row r="535" spans="1:28" x14ac:dyDescent="0.25">
      <c r="A535">
        <v>534</v>
      </c>
      <c r="B535">
        <v>654858300</v>
      </c>
      <c r="C535" s="7" t="s">
        <v>27</v>
      </c>
      <c r="D535">
        <v>-23.271000000000001</v>
      </c>
      <c r="E535">
        <v>1.91351</v>
      </c>
      <c r="F535">
        <v>-23.271000000000001</v>
      </c>
      <c r="G535" s="3">
        <f>firm_data[[#This Row],[production]]-firm_data[[#This Row],[sales]]</f>
        <v>0</v>
      </c>
      <c r="H535">
        <v>0</v>
      </c>
      <c r="I535">
        <v>-0.69452899999999995</v>
      </c>
      <c r="J535">
        <v>2</v>
      </c>
      <c r="K535">
        <v>2</v>
      </c>
      <c r="L535">
        <v>0</v>
      </c>
      <c r="M535">
        <v>5</v>
      </c>
      <c r="N535">
        <v>0</v>
      </c>
      <c r="O535">
        <v>0</v>
      </c>
      <c r="P535">
        <v>0.99990000000000001</v>
      </c>
      <c r="Q535" s="7" t="s">
        <v>28</v>
      </c>
      <c r="R535" s="7" t="s">
        <v>151</v>
      </c>
      <c r="S535">
        <v>0</v>
      </c>
      <c r="T535">
        <v>7.4262499999999996</v>
      </c>
      <c r="U535">
        <v>6.0060099999999998</v>
      </c>
      <c r="V535">
        <v>23.098099999999999</v>
      </c>
      <c r="W535">
        <v>1.8311200000000001</v>
      </c>
      <c r="X535">
        <v>0.24024000000000001</v>
      </c>
      <c r="Y535">
        <v>4</v>
      </c>
      <c r="Z535">
        <v>24.2546</v>
      </c>
      <c r="AA535">
        <v>749.75099999999998</v>
      </c>
      <c r="AB535">
        <v>7.0658899999999996</v>
      </c>
    </row>
    <row r="536" spans="1:28" x14ac:dyDescent="0.25">
      <c r="A536">
        <v>535</v>
      </c>
      <c r="B536">
        <v>833074052</v>
      </c>
      <c r="C536" s="7" t="s">
        <v>27</v>
      </c>
      <c r="D536">
        <v>-0.17297100000000001</v>
      </c>
      <c r="E536">
        <v>1.91351</v>
      </c>
      <c r="F536">
        <v>-0.17297100000000001</v>
      </c>
      <c r="G536" s="3">
        <f>firm_data[[#This Row],[production]]-firm_data[[#This Row],[sales]]</f>
        <v>0</v>
      </c>
      <c r="H536">
        <v>0</v>
      </c>
      <c r="I536">
        <v>-0.69452899999999995</v>
      </c>
      <c r="J536">
        <v>2</v>
      </c>
      <c r="K536">
        <v>2</v>
      </c>
      <c r="L536">
        <v>0</v>
      </c>
      <c r="M536">
        <v>5</v>
      </c>
      <c r="N536">
        <v>0</v>
      </c>
      <c r="O536">
        <v>0</v>
      </c>
      <c r="P536">
        <v>0.99990000000000001</v>
      </c>
      <c r="Q536" s="7" t="s">
        <v>28</v>
      </c>
      <c r="R536" s="7" t="s">
        <v>151</v>
      </c>
      <c r="S536">
        <v>0</v>
      </c>
      <c r="T536">
        <v>7.3061299999999996</v>
      </c>
      <c r="U536">
        <v>6.0060099999999998</v>
      </c>
      <c r="V536">
        <v>0</v>
      </c>
      <c r="W536">
        <v>1.8311200000000001</v>
      </c>
      <c r="X536">
        <v>0</v>
      </c>
      <c r="Y536">
        <v>4</v>
      </c>
      <c r="Z536">
        <v>0</v>
      </c>
      <c r="AA536">
        <v>747.80399999999997</v>
      </c>
      <c r="AB536">
        <v>7.0658899999999996</v>
      </c>
    </row>
    <row r="537" spans="1:28" x14ac:dyDescent="0.25">
      <c r="A537">
        <v>536</v>
      </c>
      <c r="B537">
        <v>703504162</v>
      </c>
      <c r="C537" s="7" t="s">
        <v>27</v>
      </c>
      <c r="D537">
        <v>-0.17297100000000001</v>
      </c>
      <c r="E537">
        <v>1.91351</v>
      </c>
      <c r="F537">
        <v>-0.17297100000000001</v>
      </c>
      <c r="G537" s="3">
        <f>firm_data[[#This Row],[production]]-firm_data[[#This Row],[sales]]</f>
        <v>0</v>
      </c>
      <c r="H537">
        <v>0</v>
      </c>
      <c r="I537">
        <v>-0.69452899999999995</v>
      </c>
      <c r="J537">
        <v>2</v>
      </c>
      <c r="K537">
        <v>2</v>
      </c>
      <c r="L537">
        <v>0</v>
      </c>
      <c r="M537">
        <v>5</v>
      </c>
      <c r="N537">
        <v>0</v>
      </c>
      <c r="O537">
        <v>0</v>
      </c>
      <c r="P537">
        <v>0.99990000000000001</v>
      </c>
      <c r="Q537" s="7" t="s">
        <v>28</v>
      </c>
      <c r="R537" s="7" t="s">
        <v>151</v>
      </c>
      <c r="S537">
        <v>0</v>
      </c>
      <c r="T537">
        <v>7.1860099999999996</v>
      </c>
      <c r="U537">
        <v>6.0060099999999998</v>
      </c>
      <c r="V537">
        <v>0</v>
      </c>
      <c r="W537">
        <v>1.8311200000000001</v>
      </c>
      <c r="X537">
        <v>0</v>
      </c>
      <c r="Y537">
        <v>4</v>
      </c>
      <c r="Z537">
        <v>0</v>
      </c>
      <c r="AA537">
        <v>736.10500000000002</v>
      </c>
      <c r="AB537">
        <v>7.0658899999999996</v>
      </c>
    </row>
    <row r="538" spans="1:28" x14ac:dyDescent="0.25">
      <c r="A538">
        <v>537</v>
      </c>
      <c r="B538">
        <v>57864621</v>
      </c>
      <c r="C538" s="7" t="s">
        <v>27</v>
      </c>
      <c r="D538">
        <v>-0.17297100000000001</v>
      </c>
      <c r="E538">
        <v>1.91351</v>
      </c>
      <c r="F538">
        <v>-0.17297100000000001</v>
      </c>
      <c r="G538" s="3">
        <f>firm_data[[#This Row],[production]]-firm_data[[#This Row],[sales]]</f>
        <v>0</v>
      </c>
      <c r="H538">
        <v>0</v>
      </c>
      <c r="I538">
        <v>-0.69452899999999995</v>
      </c>
      <c r="J538">
        <v>2</v>
      </c>
      <c r="K538">
        <v>2</v>
      </c>
      <c r="L538">
        <v>0</v>
      </c>
      <c r="M538">
        <v>5</v>
      </c>
      <c r="N538">
        <v>0</v>
      </c>
      <c r="O538">
        <v>0</v>
      </c>
      <c r="P538">
        <v>0.99990000000000001</v>
      </c>
      <c r="Q538" s="7" t="s">
        <v>28</v>
      </c>
      <c r="R538" s="7" t="s">
        <v>151</v>
      </c>
      <c r="S538">
        <v>0</v>
      </c>
      <c r="T538">
        <v>7.0658899999999996</v>
      </c>
      <c r="U538">
        <v>6.0060099999999998</v>
      </c>
      <c r="V538">
        <v>0</v>
      </c>
      <c r="W538">
        <v>1.8311200000000001</v>
      </c>
      <c r="X538">
        <v>0</v>
      </c>
      <c r="Y538">
        <v>4</v>
      </c>
      <c r="Z538">
        <v>0</v>
      </c>
      <c r="AA538">
        <v>723.01800000000003</v>
      </c>
      <c r="AB538">
        <v>7.0658899999999996</v>
      </c>
    </row>
    <row r="539" spans="1:28" x14ac:dyDescent="0.25">
      <c r="A539">
        <v>538</v>
      </c>
      <c r="B539">
        <v>652601678</v>
      </c>
      <c r="C539" s="7" t="s">
        <v>27</v>
      </c>
      <c r="D539">
        <v>-0.17297100000000001</v>
      </c>
      <c r="E539">
        <v>1.91351</v>
      </c>
      <c r="F539">
        <v>-0.17297100000000001</v>
      </c>
      <c r="G539" s="3">
        <f>firm_data[[#This Row],[production]]-firm_data[[#This Row],[sales]]</f>
        <v>0</v>
      </c>
      <c r="H539">
        <v>0</v>
      </c>
      <c r="I539">
        <v>-0.69452899999999995</v>
      </c>
      <c r="J539">
        <v>2</v>
      </c>
      <c r="K539">
        <v>2</v>
      </c>
      <c r="L539">
        <v>0</v>
      </c>
      <c r="M539">
        <v>5</v>
      </c>
      <c r="N539">
        <v>0</v>
      </c>
      <c r="O539">
        <v>0</v>
      </c>
      <c r="P539">
        <v>0.99990000000000001</v>
      </c>
      <c r="Q539" s="7" t="s">
        <v>28</v>
      </c>
      <c r="R539" s="7" t="s">
        <v>151</v>
      </c>
      <c r="S539">
        <v>0</v>
      </c>
      <c r="T539">
        <v>6.9457700000000004</v>
      </c>
      <c r="U539">
        <v>6.0060099999999998</v>
      </c>
      <c r="V539">
        <v>0</v>
      </c>
      <c r="W539">
        <v>1.8311200000000001</v>
      </c>
      <c r="X539">
        <v>0</v>
      </c>
      <c r="Y539">
        <v>4</v>
      </c>
      <c r="Z539">
        <v>0</v>
      </c>
      <c r="AA539">
        <v>712.84</v>
      </c>
      <c r="AB539">
        <v>7.0658899999999996</v>
      </c>
    </row>
    <row r="540" spans="1:28" x14ac:dyDescent="0.25">
      <c r="A540">
        <v>539</v>
      </c>
      <c r="B540">
        <v>374604819</v>
      </c>
      <c r="C540" s="7" t="s">
        <v>27</v>
      </c>
      <c r="D540">
        <v>-60.390900000000002</v>
      </c>
      <c r="E540">
        <v>1.91351</v>
      </c>
      <c r="F540">
        <v>-60.390900000000002</v>
      </c>
      <c r="G540" s="3">
        <f>firm_data[[#This Row],[production]]-firm_data[[#This Row],[sales]]</f>
        <v>0</v>
      </c>
      <c r="H540">
        <v>0</v>
      </c>
      <c r="I540">
        <v>-0.69452899999999995</v>
      </c>
      <c r="J540">
        <v>2</v>
      </c>
      <c r="K540">
        <v>2</v>
      </c>
      <c r="L540">
        <v>0</v>
      </c>
      <c r="M540">
        <v>5</v>
      </c>
      <c r="N540">
        <v>0</v>
      </c>
      <c r="O540">
        <v>0</v>
      </c>
      <c r="P540">
        <v>0.99990000000000001</v>
      </c>
      <c r="Q540" s="7" t="s">
        <v>28</v>
      </c>
      <c r="R540" s="7" t="s">
        <v>151</v>
      </c>
      <c r="S540">
        <v>0</v>
      </c>
      <c r="T540">
        <v>7.4262499999999996</v>
      </c>
      <c r="U540">
        <v>6.0060099999999998</v>
      </c>
      <c r="V540">
        <v>60.2179</v>
      </c>
      <c r="W540">
        <v>1.8311200000000001</v>
      </c>
      <c r="X540">
        <v>0.60060100000000005</v>
      </c>
      <c r="Y540">
        <v>4</v>
      </c>
      <c r="Z540">
        <v>62.471299999999999</v>
      </c>
      <c r="AA540">
        <v>772.43899999999996</v>
      </c>
      <c r="AB540">
        <v>7.0658899999999996</v>
      </c>
    </row>
    <row r="541" spans="1:28" x14ac:dyDescent="0.25">
      <c r="A541">
        <v>540</v>
      </c>
      <c r="B541">
        <v>691232818</v>
      </c>
      <c r="C541" s="7" t="s">
        <v>27</v>
      </c>
      <c r="D541">
        <v>-0.17297100000000001</v>
      </c>
      <c r="E541">
        <v>1.91351</v>
      </c>
      <c r="F541">
        <v>-0.17297100000000001</v>
      </c>
      <c r="G541" s="3">
        <f>firm_data[[#This Row],[production]]-firm_data[[#This Row],[sales]]</f>
        <v>0</v>
      </c>
      <c r="H541">
        <v>0</v>
      </c>
      <c r="I541">
        <v>-0.69452899999999995</v>
      </c>
      <c r="J541">
        <v>2</v>
      </c>
      <c r="K541">
        <v>2</v>
      </c>
      <c r="L541">
        <v>0</v>
      </c>
      <c r="M541">
        <v>5</v>
      </c>
      <c r="N541">
        <v>0</v>
      </c>
      <c r="O541">
        <v>0</v>
      </c>
      <c r="P541">
        <v>0.99990000000000001</v>
      </c>
      <c r="Q541" s="7" t="s">
        <v>28</v>
      </c>
      <c r="R541" s="7" t="s">
        <v>151</v>
      </c>
      <c r="S541">
        <v>0</v>
      </c>
      <c r="T541">
        <v>7.3061299999999996</v>
      </c>
      <c r="U541">
        <v>6.0060099999999998</v>
      </c>
      <c r="V541">
        <v>0</v>
      </c>
      <c r="W541">
        <v>1.8311200000000001</v>
      </c>
      <c r="X541">
        <v>0</v>
      </c>
      <c r="Y541">
        <v>4</v>
      </c>
      <c r="Z541">
        <v>0</v>
      </c>
      <c r="AA541">
        <v>767.47299999999996</v>
      </c>
      <c r="AB541">
        <v>7.0658899999999996</v>
      </c>
    </row>
    <row r="542" spans="1:28" x14ac:dyDescent="0.25">
      <c r="A542">
        <v>541</v>
      </c>
      <c r="B542">
        <v>484947485</v>
      </c>
      <c r="C542" s="7" t="s">
        <v>27</v>
      </c>
      <c r="D542">
        <v>-0.17297100000000001</v>
      </c>
      <c r="E542">
        <v>1.91351</v>
      </c>
      <c r="F542">
        <v>-0.17297100000000001</v>
      </c>
      <c r="G542" s="3">
        <f>firm_data[[#This Row],[production]]-firm_data[[#This Row],[sales]]</f>
        <v>0</v>
      </c>
      <c r="H542">
        <v>0</v>
      </c>
      <c r="I542">
        <v>-0.69452899999999995</v>
      </c>
      <c r="J542">
        <v>2</v>
      </c>
      <c r="K542">
        <v>2</v>
      </c>
      <c r="L542">
        <v>0</v>
      </c>
      <c r="M542">
        <v>5</v>
      </c>
      <c r="N542">
        <v>0</v>
      </c>
      <c r="O542">
        <v>0</v>
      </c>
      <c r="P542">
        <v>0.99990000000000001</v>
      </c>
      <c r="Q542" s="7" t="s">
        <v>28</v>
      </c>
      <c r="R542" s="7" t="s">
        <v>151</v>
      </c>
      <c r="S542">
        <v>0</v>
      </c>
      <c r="T542">
        <v>7.1860099999999996</v>
      </c>
      <c r="U542">
        <v>6.0060099999999998</v>
      </c>
      <c r="V542">
        <v>0</v>
      </c>
      <c r="W542">
        <v>1.8311200000000001</v>
      </c>
      <c r="X542">
        <v>0</v>
      </c>
      <c r="Y542">
        <v>4</v>
      </c>
      <c r="Z542">
        <v>0</v>
      </c>
      <c r="AA542">
        <v>758.96799999999996</v>
      </c>
      <c r="AB542">
        <v>7.0658899999999996</v>
      </c>
    </row>
    <row r="543" spans="1:28" x14ac:dyDescent="0.25">
      <c r="A543">
        <v>542</v>
      </c>
      <c r="B543">
        <v>395702996</v>
      </c>
      <c r="C543" s="7" t="s">
        <v>27</v>
      </c>
      <c r="D543">
        <v>-38.861899999999999</v>
      </c>
      <c r="E543">
        <v>1.91351</v>
      </c>
      <c r="F543">
        <v>-38.861899999999999</v>
      </c>
      <c r="G543" s="3">
        <f>firm_data[[#This Row],[production]]-firm_data[[#This Row],[sales]]</f>
        <v>0</v>
      </c>
      <c r="H543">
        <v>0</v>
      </c>
      <c r="I543">
        <v>-0.69452899999999995</v>
      </c>
      <c r="J543">
        <v>2</v>
      </c>
      <c r="K543">
        <v>2</v>
      </c>
      <c r="L543">
        <v>0</v>
      </c>
      <c r="M543">
        <v>5</v>
      </c>
      <c r="N543">
        <v>0</v>
      </c>
      <c r="O543">
        <v>0</v>
      </c>
      <c r="P543">
        <v>0.99990000000000001</v>
      </c>
      <c r="Q543" s="7" t="s">
        <v>28</v>
      </c>
      <c r="R543" s="7" t="s">
        <v>151</v>
      </c>
      <c r="S543">
        <v>0</v>
      </c>
      <c r="T543">
        <v>7.4262499999999996</v>
      </c>
      <c r="U543">
        <v>6.0060099999999998</v>
      </c>
      <c r="V543">
        <v>38.689</v>
      </c>
      <c r="W543">
        <v>1.8311200000000001</v>
      </c>
      <c r="X543">
        <v>0.36036000000000001</v>
      </c>
      <c r="Y543">
        <v>4</v>
      </c>
      <c r="Z543">
        <v>38.500500000000002</v>
      </c>
      <c r="AA543">
        <v>793.41300000000001</v>
      </c>
      <c r="AB543">
        <v>7.0658899999999996</v>
      </c>
    </row>
    <row r="544" spans="1:28" x14ac:dyDescent="0.25">
      <c r="A544">
        <v>543</v>
      </c>
      <c r="B544">
        <v>625420719</v>
      </c>
      <c r="C544" s="7" t="s">
        <v>27</v>
      </c>
      <c r="D544">
        <v>-0.17297100000000001</v>
      </c>
      <c r="E544">
        <v>1.91351</v>
      </c>
      <c r="F544">
        <v>-0.17297100000000001</v>
      </c>
      <c r="G544" s="3">
        <f>firm_data[[#This Row],[production]]-firm_data[[#This Row],[sales]]</f>
        <v>0</v>
      </c>
      <c r="H544">
        <v>0</v>
      </c>
      <c r="I544">
        <v>-0.69452899999999995</v>
      </c>
      <c r="J544">
        <v>2</v>
      </c>
      <c r="K544">
        <v>2</v>
      </c>
      <c r="L544">
        <v>0</v>
      </c>
      <c r="M544">
        <v>5</v>
      </c>
      <c r="N544">
        <v>0</v>
      </c>
      <c r="O544">
        <v>0</v>
      </c>
      <c r="P544">
        <v>0.99990000000000001</v>
      </c>
      <c r="Q544" s="7" t="s">
        <v>28</v>
      </c>
      <c r="R544" s="7" t="s">
        <v>151</v>
      </c>
      <c r="S544">
        <v>0</v>
      </c>
      <c r="T544">
        <v>7.3061299999999996</v>
      </c>
      <c r="U544">
        <v>6.0060099999999998</v>
      </c>
      <c r="V544">
        <v>0</v>
      </c>
      <c r="W544">
        <v>1.8311200000000001</v>
      </c>
      <c r="X544">
        <v>0</v>
      </c>
      <c r="Y544">
        <v>4</v>
      </c>
      <c r="Z544">
        <v>0</v>
      </c>
      <c r="AA544">
        <v>782.27800000000002</v>
      </c>
      <c r="AB544">
        <v>7.0658899999999996</v>
      </c>
    </row>
    <row r="545" spans="1:28" x14ac:dyDescent="0.25">
      <c r="A545">
        <v>544</v>
      </c>
      <c r="B545">
        <v>706313679</v>
      </c>
      <c r="C545" s="7" t="s">
        <v>27</v>
      </c>
      <c r="D545">
        <v>-0.17297100000000001</v>
      </c>
      <c r="E545">
        <v>1.91351</v>
      </c>
      <c r="F545">
        <v>-0.17297100000000001</v>
      </c>
      <c r="G545" s="3">
        <f>firm_data[[#This Row],[production]]-firm_data[[#This Row],[sales]]</f>
        <v>0</v>
      </c>
      <c r="H545">
        <v>0</v>
      </c>
      <c r="I545">
        <v>-0.69452899999999995</v>
      </c>
      <c r="J545">
        <v>2</v>
      </c>
      <c r="K545">
        <v>2</v>
      </c>
      <c r="L545">
        <v>0</v>
      </c>
      <c r="M545">
        <v>5</v>
      </c>
      <c r="N545">
        <v>0</v>
      </c>
      <c r="O545">
        <v>0</v>
      </c>
      <c r="P545">
        <v>0.99990000000000001</v>
      </c>
      <c r="Q545" s="7" t="s">
        <v>28</v>
      </c>
      <c r="R545" s="7" t="s">
        <v>151</v>
      </c>
      <c r="S545">
        <v>0</v>
      </c>
      <c r="T545">
        <v>7.1860099999999996</v>
      </c>
      <c r="U545">
        <v>6.0060099999999998</v>
      </c>
      <c r="V545">
        <v>0</v>
      </c>
      <c r="W545">
        <v>1.8311200000000001</v>
      </c>
      <c r="X545">
        <v>0</v>
      </c>
      <c r="Y545">
        <v>4</v>
      </c>
      <c r="Z545">
        <v>0</v>
      </c>
      <c r="AA545">
        <v>776.36599999999999</v>
      </c>
      <c r="AB545">
        <v>7.0658899999999996</v>
      </c>
    </row>
    <row r="546" spans="1:28" x14ac:dyDescent="0.25">
      <c r="A546">
        <v>545</v>
      </c>
      <c r="B546">
        <v>450469365</v>
      </c>
      <c r="C546" s="7" t="s">
        <v>27</v>
      </c>
      <c r="D546">
        <v>-0.17297100000000001</v>
      </c>
      <c r="E546">
        <v>1.91351</v>
      </c>
      <c r="F546">
        <v>-0.17297100000000001</v>
      </c>
      <c r="G546" s="3">
        <f>firm_data[[#This Row],[production]]-firm_data[[#This Row],[sales]]</f>
        <v>0</v>
      </c>
      <c r="H546">
        <v>0</v>
      </c>
      <c r="I546">
        <v>-0.69452899999999995</v>
      </c>
      <c r="J546">
        <v>2</v>
      </c>
      <c r="K546">
        <v>2</v>
      </c>
      <c r="L546">
        <v>0</v>
      </c>
      <c r="M546">
        <v>5</v>
      </c>
      <c r="N546">
        <v>0</v>
      </c>
      <c r="O546">
        <v>0</v>
      </c>
      <c r="P546">
        <v>0.99990000000000001</v>
      </c>
      <c r="Q546" s="7" t="s">
        <v>28</v>
      </c>
      <c r="R546" s="7" t="s">
        <v>151</v>
      </c>
      <c r="S546">
        <v>0</v>
      </c>
      <c r="T546">
        <v>7.0658899999999996</v>
      </c>
      <c r="U546">
        <v>6.0060099999999998</v>
      </c>
      <c r="V546">
        <v>0</v>
      </c>
      <c r="W546">
        <v>1.8311200000000001</v>
      </c>
      <c r="X546">
        <v>0</v>
      </c>
      <c r="Y546">
        <v>4</v>
      </c>
      <c r="Z546">
        <v>0</v>
      </c>
      <c r="AA546">
        <v>769.04</v>
      </c>
      <c r="AB546">
        <v>7.0658899999999996</v>
      </c>
    </row>
    <row r="547" spans="1:28" x14ac:dyDescent="0.25">
      <c r="A547">
        <v>546</v>
      </c>
      <c r="B547">
        <v>185310551</v>
      </c>
      <c r="C547" s="7" t="s">
        <v>27</v>
      </c>
      <c r="D547">
        <v>-0.17297100000000001</v>
      </c>
      <c r="E547">
        <v>1.91351</v>
      </c>
      <c r="F547">
        <v>-0.17297100000000001</v>
      </c>
      <c r="G547" s="3">
        <f>firm_data[[#This Row],[production]]-firm_data[[#This Row],[sales]]</f>
        <v>0</v>
      </c>
      <c r="H547">
        <v>0</v>
      </c>
      <c r="I547">
        <v>-0.69452899999999995</v>
      </c>
      <c r="J547">
        <v>2</v>
      </c>
      <c r="K547">
        <v>2</v>
      </c>
      <c r="L547">
        <v>0</v>
      </c>
      <c r="M547">
        <v>5</v>
      </c>
      <c r="N547">
        <v>0</v>
      </c>
      <c r="O547">
        <v>0</v>
      </c>
      <c r="P547">
        <v>0.99990000000000001</v>
      </c>
      <c r="Q547" s="7" t="s">
        <v>28</v>
      </c>
      <c r="R547" s="7" t="s">
        <v>151</v>
      </c>
      <c r="S547">
        <v>0</v>
      </c>
      <c r="T547">
        <v>6.9457700000000004</v>
      </c>
      <c r="U547">
        <v>6.0060099999999998</v>
      </c>
      <c r="V547">
        <v>0</v>
      </c>
      <c r="W547">
        <v>1.8311200000000001</v>
      </c>
      <c r="X547">
        <v>0</v>
      </c>
      <c r="Y547">
        <v>4</v>
      </c>
      <c r="Z547">
        <v>0</v>
      </c>
      <c r="AA547">
        <v>760.23099999999999</v>
      </c>
      <c r="AB547">
        <v>7.0658899999999996</v>
      </c>
    </row>
    <row r="548" spans="1:28" x14ac:dyDescent="0.25">
      <c r="A548">
        <v>547</v>
      </c>
      <c r="B548">
        <v>642266846</v>
      </c>
      <c r="C548" s="7" t="s">
        <v>27</v>
      </c>
      <c r="D548">
        <v>-0.17297100000000001</v>
      </c>
      <c r="E548">
        <v>1.91351</v>
      </c>
      <c r="F548">
        <v>-0.17297100000000001</v>
      </c>
      <c r="G548" s="3">
        <f>firm_data[[#This Row],[production]]-firm_data[[#This Row],[sales]]</f>
        <v>0</v>
      </c>
      <c r="H548">
        <v>0</v>
      </c>
      <c r="I548">
        <v>-0.69452899999999995</v>
      </c>
      <c r="J548">
        <v>2</v>
      </c>
      <c r="K548">
        <v>2</v>
      </c>
      <c r="L548">
        <v>0</v>
      </c>
      <c r="M548">
        <v>5</v>
      </c>
      <c r="N548">
        <v>0</v>
      </c>
      <c r="O548">
        <v>0</v>
      </c>
      <c r="P548">
        <v>0.99990000000000001</v>
      </c>
      <c r="Q548" s="7" t="s">
        <v>28</v>
      </c>
      <c r="R548" s="7" t="s">
        <v>151</v>
      </c>
      <c r="S548">
        <v>0</v>
      </c>
      <c r="T548">
        <v>6.8256500000000004</v>
      </c>
      <c r="U548">
        <v>6.0060099999999998</v>
      </c>
      <c r="V548">
        <v>0</v>
      </c>
      <c r="W548">
        <v>1.8311200000000001</v>
      </c>
      <c r="X548">
        <v>0</v>
      </c>
      <c r="Y548">
        <v>4</v>
      </c>
      <c r="Z548">
        <v>0</v>
      </c>
      <c r="AA548">
        <v>755.39700000000005</v>
      </c>
      <c r="AB548">
        <v>7.0658899999999996</v>
      </c>
    </row>
    <row r="549" spans="1:28" x14ac:dyDescent="0.25">
      <c r="A549">
        <v>548</v>
      </c>
      <c r="B549">
        <v>104149848</v>
      </c>
      <c r="C549" s="7" t="s">
        <v>27</v>
      </c>
      <c r="D549">
        <v>-0.17297100000000001</v>
      </c>
      <c r="E549">
        <v>1.91351</v>
      </c>
      <c r="F549">
        <v>-0.17297100000000001</v>
      </c>
      <c r="G549" s="3">
        <f>firm_data[[#This Row],[production]]-firm_data[[#This Row],[sales]]</f>
        <v>0</v>
      </c>
      <c r="H549">
        <v>0</v>
      </c>
      <c r="I549">
        <v>-0.69452899999999995</v>
      </c>
      <c r="J549">
        <v>2</v>
      </c>
      <c r="K549">
        <v>2</v>
      </c>
      <c r="L549">
        <v>0</v>
      </c>
      <c r="M549">
        <v>5</v>
      </c>
      <c r="N549">
        <v>0</v>
      </c>
      <c r="O549">
        <v>0</v>
      </c>
      <c r="P549">
        <v>0.99990000000000001</v>
      </c>
      <c r="Q549" s="7" t="s">
        <v>28</v>
      </c>
      <c r="R549" s="7" t="s">
        <v>151</v>
      </c>
      <c r="S549">
        <v>0</v>
      </c>
      <c r="T549">
        <v>6.7055300000000004</v>
      </c>
      <c r="U549">
        <v>6.0060099999999998</v>
      </c>
      <c r="V549">
        <v>0</v>
      </c>
      <c r="W549">
        <v>1.8311200000000001</v>
      </c>
      <c r="X549">
        <v>0</v>
      </c>
      <c r="Y549">
        <v>4</v>
      </c>
      <c r="Z549">
        <v>0</v>
      </c>
      <c r="AA549">
        <v>746.73599999999999</v>
      </c>
      <c r="AB549">
        <v>7.0658899999999996</v>
      </c>
    </row>
    <row r="550" spans="1:28" x14ac:dyDescent="0.25">
      <c r="A550">
        <v>549</v>
      </c>
      <c r="B550">
        <v>147134192</v>
      </c>
      <c r="C550" s="7" t="s">
        <v>27</v>
      </c>
      <c r="D550">
        <v>-0.17297100000000001</v>
      </c>
      <c r="E550">
        <v>1.91351</v>
      </c>
      <c r="F550">
        <v>-0.17297100000000001</v>
      </c>
      <c r="G550" s="3">
        <f>firm_data[[#This Row],[production]]-firm_data[[#This Row],[sales]]</f>
        <v>0</v>
      </c>
      <c r="H550">
        <v>0</v>
      </c>
      <c r="I550">
        <v>-0.69452899999999995</v>
      </c>
      <c r="J550">
        <v>2</v>
      </c>
      <c r="K550">
        <v>2</v>
      </c>
      <c r="L550">
        <v>0</v>
      </c>
      <c r="M550">
        <v>5</v>
      </c>
      <c r="N550">
        <v>0</v>
      </c>
      <c r="O550">
        <v>0</v>
      </c>
      <c r="P550">
        <v>0.99990000000000001</v>
      </c>
      <c r="Q550" s="7" t="s">
        <v>28</v>
      </c>
      <c r="R550" s="7" t="s">
        <v>151</v>
      </c>
      <c r="S550">
        <v>0</v>
      </c>
      <c r="T550">
        <v>6.5854100000000004</v>
      </c>
      <c r="U550">
        <v>6.0060099999999998</v>
      </c>
      <c r="V550">
        <v>0</v>
      </c>
      <c r="W550">
        <v>1.8311200000000001</v>
      </c>
      <c r="X550">
        <v>0.84084099999999995</v>
      </c>
      <c r="Y550">
        <v>4</v>
      </c>
      <c r="Z550">
        <v>94.105900000000005</v>
      </c>
      <c r="AA550">
        <v>737.03099999999995</v>
      </c>
      <c r="AB550">
        <v>7.0658899999999996</v>
      </c>
    </row>
    <row r="551" spans="1:28" x14ac:dyDescent="0.25">
      <c r="A551">
        <v>550</v>
      </c>
      <c r="B551">
        <v>840371924</v>
      </c>
      <c r="C551" s="7" t="s">
        <v>27</v>
      </c>
      <c r="D551">
        <v>-0.17297100000000001</v>
      </c>
      <c r="E551">
        <v>1.91351</v>
      </c>
      <c r="F551">
        <v>-0.17297100000000001</v>
      </c>
      <c r="G551" s="3">
        <f>firm_data[[#This Row],[production]]-firm_data[[#This Row],[sales]]</f>
        <v>0</v>
      </c>
      <c r="H551">
        <v>0</v>
      </c>
      <c r="I551">
        <v>-0.69452899999999995</v>
      </c>
      <c r="J551">
        <v>2</v>
      </c>
      <c r="K551">
        <v>2</v>
      </c>
      <c r="L551">
        <v>0</v>
      </c>
      <c r="M551">
        <v>5</v>
      </c>
      <c r="N551">
        <v>0</v>
      </c>
      <c r="O551">
        <v>0</v>
      </c>
      <c r="P551">
        <v>0.99990000000000001</v>
      </c>
      <c r="Q551" s="7" t="s">
        <v>28</v>
      </c>
      <c r="R551" s="7" t="s">
        <v>151</v>
      </c>
      <c r="S551">
        <v>0</v>
      </c>
      <c r="T551">
        <v>6.4652900000000004</v>
      </c>
      <c r="U551">
        <v>6.0060099999999998</v>
      </c>
      <c r="V551">
        <v>0</v>
      </c>
      <c r="W551">
        <v>1.8311200000000001</v>
      </c>
      <c r="X551">
        <v>0</v>
      </c>
      <c r="Y551">
        <v>4</v>
      </c>
      <c r="Z551">
        <v>0</v>
      </c>
      <c r="AA551">
        <v>731.25900000000001</v>
      </c>
      <c r="AB551">
        <v>7.0658899999999996</v>
      </c>
    </row>
    <row r="552" spans="1:28" x14ac:dyDescent="0.25">
      <c r="A552">
        <v>551</v>
      </c>
      <c r="B552">
        <v>997494178</v>
      </c>
      <c r="C552" s="7" t="s">
        <v>27</v>
      </c>
      <c r="D552">
        <v>-0.17297100000000001</v>
      </c>
      <c r="E552">
        <v>1.91351</v>
      </c>
      <c r="F552">
        <v>-0.17297100000000001</v>
      </c>
      <c r="G552" s="3">
        <f>firm_data[[#This Row],[production]]-firm_data[[#This Row],[sales]]</f>
        <v>0</v>
      </c>
      <c r="H552">
        <v>0</v>
      </c>
      <c r="I552">
        <v>-0.69452899999999995</v>
      </c>
      <c r="J552">
        <v>2</v>
      </c>
      <c r="K552">
        <v>2</v>
      </c>
      <c r="L552">
        <v>0</v>
      </c>
      <c r="M552">
        <v>5</v>
      </c>
      <c r="N552">
        <v>0</v>
      </c>
      <c r="O552">
        <v>0</v>
      </c>
      <c r="P552">
        <v>0.99990000000000001</v>
      </c>
      <c r="Q552" s="7" t="s">
        <v>28</v>
      </c>
      <c r="R552" s="7" t="s">
        <v>151</v>
      </c>
      <c r="S552">
        <v>0</v>
      </c>
      <c r="T552">
        <v>6.3451700000000004</v>
      </c>
      <c r="U552">
        <v>6.0060099999999998</v>
      </c>
      <c r="V552">
        <v>0</v>
      </c>
      <c r="W552">
        <v>1.8311200000000001</v>
      </c>
      <c r="X552">
        <v>0</v>
      </c>
      <c r="Y552">
        <v>4</v>
      </c>
      <c r="Z552">
        <v>0</v>
      </c>
      <c r="AA552">
        <v>724.01</v>
      </c>
      <c r="AB552">
        <v>7.0658899999999996</v>
      </c>
    </row>
    <row r="553" spans="1:28" x14ac:dyDescent="0.25">
      <c r="A553">
        <v>552</v>
      </c>
      <c r="B553">
        <v>966987220</v>
      </c>
      <c r="C553" s="7" t="s">
        <v>27</v>
      </c>
      <c r="D553">
        <v>-0.17297100000000001</v>
      </c>
      <c r="E553">
        <v>1.91351</v>
      </c>
      <c r="F553">
        <v>-0.17297100000000001</v>
      </c>
      <c r="G553" s="3">
        <f>firm_data[[#This Row],[production]]-firm_data[[#This Row],[sales]]</f>
        <v>0</v>
      </c>
      <c r="H553">
        <v>0</v>
      </c>
      <c r="I553">
        <v>-0.69452899999999995</v>
      </c>
      <c r="J553">
        <v>2</v>
      </c>
      <c r="K553">
        <v>2</v>
      </c>
      <c r="L553">
        <v>0</v>
      </c>
      <c r="M553">
        <v>5</v>
      </c>
      <c r="N553">
        <v>0</v>
      </c>
      <c r="O553">
        <v>0</v>
      </c>
      <c r="P553">
        <v>0.99990000000000001</v>
      </c>
      <c r="Q553" s="7" t="s">
        <v>28</v>
      </c>
      <c r="R553" s="7" t="s">
        <v>151</v>
      </c>
      <c r="S553">
        <v>0</v>
      </c>
      <c r="T553">
        <v>6.2250500000000004</v>
      </c>
      <c r="U553">
        <v>6.0060099999999998</v>
      </c>
      <c r="V553">
        <v>0</v>
      </c>
      <c r="W553">
        <v>1.8311200000000001</v>
      </c>
      <c r="X553">
        <v>0</v>
      </c>
      <c r="Y553">
        <v>4</v>
      </c>
      <c r="Z553">
        <v>0</v>
      </c>
      <c r="AA553">
        <v>720.93200000000002</v>
      </c>
      <c r="AB553">
        <v>7.0658899999999996</v>
      </c>
    </row>
    <row r="554" spans="1:28" x14ac:dyDescent="0.25">
      <c r="A554">
        <v>553</v>
      </c>
      <c r="B554">
        <v>782146069</v>
      </c>
      <c r="C554" s="7" t="s">
        <v>27</v>
      </c>
      <c r="D554">
        <v>-0.17297100000000001</v>
      </c>
      <c r="E554">
        <v>1.91351</v>
      </c>
      <c r="F554">
        <v>-0.17297100000000001</v>
      </c>
      <c r="G554" s="3">
        <f>firm_data[[#This Row],[production]]-firm_data[[#This Row],[sales]]</f>
        <v>0</v>
      </c>
      <c r="H554">
        <v>0</v>
      </c>
      <c r="I554">
        <v>-0.69452899999999995</v>
      </c>
      <c r="J554">
        <v>2</v>
      </c>
      <c r="K554">
        <v>2</v>
      </c>
      <c r="L554">
        <v>0</v>
      </c>
      <c r="M554">
        <v>5</v>
      </c>
      <c r="N554">
        <v>0</v>
      </c>
      <c r="O554">
        <v>0</v>
      </c>
      <c r="P554">
        <v>0.99990000000000001</v>
      </c>
      <c r="Q554" s="7" t="s">
        <v>28</v>
      </c>
      <c r="R554" s="7" t="s">
        <v>151</v>
      </c>
      <c r="S554">
        <v>0</v>
      </c>
      <c r="T554">
        <v>6.1049300000000004</v>
      </c>
      <c r="U554">
        <v>6.0060099999999998</v>
      </c>
      <c r="V554">
        <v>0</v>
      </c>
      <c r="W554">
        <v>1.8311200000000001</v>
      </c>
      <c r="X554">
        <v>0</v>
      </c>
      <c r="Y554">
        <v>4</v>
      </c>
      <c r="Z554">
        <v>0</v>
      </c>
      <c r="AA554">
        <v>712.04399999999998</v>
      </c>
      <c r="AB554">
        <v>7.0658899999999996</v>
      </c>
    </row>
    <row r="555" spans="1:28" x14ac:dyDescent="0.25">
      <c r="A555">
        <v>554</v>
      </c>
      <c r="B555">
        <v>47520730</v>
      </c>
      <c r="C555" s="7" t="s">
        <v>27</v>
      </c>
      <c r="D555">
        <v>-0.17297100000000001</v>
      </c>
      <c r="E555">
        <v>1.91351</v>
      </c>
      <c r="F555">
        <v>-0.17297100000000001</v>
      </c>
      <c r="G555" s="3">
        <f>firm_data[[#This Row],[production]]-firm_data[[#This Row],[sales]]</f>
        <v>0</v>
      </c>
      <c r="H555">
        <v>0</v>
      </c>
      <c r="I555">
        <v>-0.69452899999999995</v>
      </c>
      <c r="J555">
        <v>2</v>
      </c>
      <c r="K555">
        <v>2</v>
      </c>
      <c r="L555">
        <v>0</v>
      </c>
      <c r="M555">
        <v>5</v>
      </c>
      <c r="N555">
        <v>0</v>
      </c>
      <c r="O555">
        <v>0</v>
      </c>
      <c r="P555">
        <v>0.99990000000000001</v>
      </c>
      <c r="Q555" s="7" t="s">
        <v>28</v>
      </c>
      <c r="R555" s="7" t="s">
        <v>151</v>
      </c>
      <c r="S555">
        <v>0</v>
      </c>
      <c r="T555">
        <v>5.9848100000000004</v>
      </c>
      <c r="U555">
        <v>6.0060099999999998</v>
      </c>
      <c r="V555">
        <v>0</v>
      </c>
      <c r="W555">
        <v>1.8311200000000001</v>
      </c>
      <c r="X555">
        <v>0</v>
      </c>
      <c r="Y555">
        <v>4</v>
      </c>
      <c r="Z555">
        <v>0</v>
      </c>
      <c r="AA555">
        <v>706.24699999999996</v>
      </c>
      <c r="AB555">
        <v>7.0658899999999996</v>
      </c>
    </row>
    <row r="556" spans="1:28" x14ac:dyDescent="0.25">
      <c r="A556">
        <v>555</v>
      </c>
      <c r="B556">
        <v>304009755</v>
      </c>
      <c r="C556" s="7" t="s">
        <v>27</v>
      </c>
      <c r="D556">
        <v>-0.186478</v>
      </c>
      <c r="E556">
        <v>1.91351</v>
      </c>
      <c r="F556">
        <v>-0.186478</v>
      </c>
      <c r="G556" s="3">
        <f>firm_data[[#This Row],[production]]-firm_data[[#This Row],[sales]]</f>
        <v>0</v>
      </c>
      <c r="H556">
        <v>0</v>
      </c>
      <c r="I556">
        <v>-0.69452899999999995</v>
      </c>
      <c r="J556">
        <v>1.9929399999999999</v>
      </c>
      <c r="K556">
        <v>1.9929399999999999</v>
      </c>
      <c r="L556">
        <v>0</v>
      </c>
      <c r="M556">
        <v>5</v>
      </c>
      <c r="N556">
        <v>0</v>
      </c>
      <c r="O556">
        <v>0</v>
      </c>
      <c r="P556">
        <v>0.99990000000000001</v>
      </c>
      <c r="Q556" s="7" t="s">
        <v>28</v>
      </c>
      <c r="R556" s="7" t="s">
        <v>151</v>
      </c>
      <c r="S556">
        <v>0</v>
      </c>
      <c r="T556">
        <v>5.8651099999999996</v>
      </c>
      <c r="U556">
        <v>6.0060099999999998</v>
      </c>
      <c r="V556">
        <v>0</v>
      </c>
      <c r="W556">
        <v>1.8311200000000001</v>
      </c>
      <c r="X556">
        <v>0</v>
      </c>
      <c r="Y556">
        <v>4</v>
      </c>
      <c r="Z556">
        <v>0</v>
      </c>
      <c r="AA556">
        <v>700.35500000000002</v>
      </c>
      <c r="AB556">
        <v>7.0658899999999996</v>
      </c>
    </row>
    <row r="557" spans="1:28" x14ac:dyDescent="0.25">
      <c r="A557">
        <v>556</v>
      </c>
      <c r="B557">
        <v>306670589</v>
      </c>
      <c r="C557" s="7" t="s">
        <v>27</v>
      </c>
      <c r="D557">
        <v>-0.26274799999999998</v>
      </c>
      <c r="E557">
        <v>1.91351</v>
      </c>
      <c r="F557">
        <v>-0.26274799999999998</v>
      </c>
      <c r="G557" s="3">
        <f>firm_data[[#This Row],[production]]-firm_data[[#This Row],[sales]]</f>
        <v>0</v>
      </c>
      <c r="H557">
        <v>0</v>
      </c>
      <c r="I557">
        <v>-0.69452899999999995</v>
      </c>
      <c r="J557">
        <v>1.9530799999999999</v>
      </c>
      <c r="K557">
        <v>1.9530799999999999</v>
      </c>
      <c r="L557">
        <v>0</v>
      </c>
      <c r="M557">
        <v>5</v>
      </c>
      <c r="N557">
        <v>0</v>
      </c>
      <c r="O557">
        <v>0</v>
      </c>
      <c r="P557">
        <v>0.99990000000000001</v>
      </c>
      <c r="Q557" s="7" t="s">
        <v>28</v>
      </c>
      <c r="R557" s="7" t="s">
        <v>151</v>
      </c>
      <c r="S557">
        <v>0</v>
      </c>
      <c r="T557">
        <v>5.7478100000000003</v>
      </c>
      <c r="U557">
        <v>5.9954099999999997</v>
      </c>
      <c r="V557">
        <v>0</v>
      </c>
      <c r="W557">
        <v>1.8311200000000001</v>
      </c>
      <c r="X557">
        <v>0</v>
      </c>
      <c r="Y557">
        <v>4</v>
      </c>
      <c r="Z557">
        <v>0</v>
      </c>
      <c r="AA557">
        <v>691.94</v>
      </c>
      <c r="AB557">
        <v>7.0658899999999996</v>
      </c>
    </row>
    <row r="558" spans="1:28" x14ac:dyDescent="0.25">
      <c r="A558">
        <v>557</v>
      </c>
      <c r="B558">
        <v>17435906</v>
      </c>
      <c r="C558" s="7" t="s">
        <v>27</v>
      </c>
      <c r="D558">
        <v>-0.33749299999999999</v>
      </c>
      <c r="E558">
        <v>1.91351</v>
      </c>
      <c r="F558">
        <v>-0.33749299999999999</v>
      </c>
      <c r="G558" s="3">
        <f>firm_data[[#This Row],[production]]-firm_data[[#This Row],[sales]]</f>
        <v>0</v>
      </c>
      <c r="H558">
        <v>0</v>
      </c>
      <c r="I558">
        <v>-0.69452899999999995</v>
      </c>
      <c r="J558">
        <v>1.9140200000000001</v>
      </c>
      <c r="K558">
        <v>1.9140200000000001</v>
      </c>
      <c r="L558">
        <v>0</v>
      </c>
      <c r="M558">
        <v>5</v>
      </c>
      <c r="N558">
        <v>0</v>
      </c>
      <c r="O558">
        <v>0</v>
      </c>
      <c r="P558">
        <v>0.99990000000000001</v>
      </c>
      <c r="Q558" s="7" t="s">
        <v>28</v>
      </c>
      <c r="R558" s="7" t="s">
        <v>151</v>
      </c>
      <c r="S558">
        <v>0</v>
      </c>
      <c r="T558">
        <v>5.6328500000000004</v>
      </c>
      <c r="U558">
        <v>5.9302599999999996</v>
      </c>
      <c r="V558">
        <v>0</v>
      </c>
      <c r="W558">
        <v>1.8311200000000001</v>
      </c>
      <c r="X558">
        <v>0</v>
      </c>
      <c r="Y558">
        <v>4</v>
      </c>
      <c r="Z558">
        <v>0</v>
      </c>
      <c r="AA558">
        <v>682.31100000000004</v>
      </c>
      <c r="AB558">
        <v>7.0658899999999996</v>
      </c>
    </row>
    <row r="559" spans="1:28" x14ac:dyDescent="0.25">
      <c r="A559">
        <v>558</v>
      </c>
      <c r="B559">
        <v>920793874</v>
      </c>
      <c r="C559" s="7" t="s">
        <v>27</v>
      </c>
      <c r="D559">
        <v>-0.410744</v>
      </c>
      <c r="E559">
        <v>1.91351</v>
      </c>
      <c r="F559">
        <v>-0.410744</v>
      </c>
      <c r="G559" s="3">
        <f>firm_data[[#This Row],[production]]-firm_data[[#This Row],[sales]]</f>
        <v>0</v>
      </c>
      <c r="H559">
        <v>0</v>
      </c>
      <c r="I559">
        <v>-0.69452899999999995</v>
      </c>
      <c r="J559">
        <v>1.87574</v>
      </c>
      <c r="K559">
        <v>1.87574</v>
      </c>
      <c r="L559">
        <v>0</v>
      </c>
      <c r="M559">
        <v>5</v>
      </c>
      <c r="N559">
        <v>0</v>
      </c>
      <c r="O559">
        <v>0</v>
      </c>
      <c r="P559">
        <v>0.99990000000000001</v>
      </c>
      <c r="Q559" s="7" t="s">
        <v>28</v>
      </c>
      <c r="R559" s="7" t="s">
        <v>151</v>
      </c>
      <c r="S559">
        <v>0</v>
      </c>
      <c r="T559">
        <v>5.5202</v>
      </c>
      <c r="U559">
        <v>5.8390399999999998</v>
      </c>
      <c r="V559">
        <v>0</v>
      </c>
      <c r="W559">
        <v>1.8311200000000001</v>
      </c>
      <c r="X559">
        <v>0</v>
      </c>
      <c r="Y559">
        <v>4</v>
      </c>
      <c r="Z559">
        <v>0</v>
      </c>
      <c r="AA559">
        <v>670.99699999999996</v>
      </c>
      <c r="AB559">
        <v>7.0658899999999996</v>
      </c>
    </row>
    <row r="560" spans="1:28" x14ac:dyDescent="0.25">
      <c r="A560">
        <v>559</v>
      </c>
      <c r="B560">
        <v>250454009</v>
      </c>
      <c r="C560" s="7" t="s">
        <v>27</v>
      </c>
      <c r="D560">
        <v>-121.878</v>
      </c>
      <c r="E560">
        <v>1.91351</v>
      </c>
      <c r="F560">
        <v>-121.878</v>
      </c>
      <c r="G560" s="3">
        <f>firm_data[[#This Row],[production]]-firm_data[[#This Row],[sales]]</f>
        <v>0</v>
      </c>
      <c r="H560">
        <v>0</v>
      </c>
      <c r="I560">
        <v>-0.69452899999999995</v>
      </c>
      <c r="J560">
        <v>1.83823</v>
      </c>
      <c r="K560">
        <v>1.83823</v>
      </c>
      <c r="L560">
        <v>0</v>
      </c>
      <c r="M560">
        <v>5</v>
      </c>
      <c r="N560">
        <v>0</v>
      </c>
      <c r="O560">
        <v>0</v>
      </c>
      <c r="P560">
        <v>0.99990000000000001</v>
      </c>
      <c r="Q560" s="7" t="s">
        <v>28</v>
      </c>
      <c r="R560" s="7" t="s">
        <v>151</v>
      </c>
      <c r="S560">
        <v>0</v>
      </c>
      <c r="T560">
        <v>6.3997900000000003</v>
      </c>
      <c r="U560">
        <v>5.7359400000000003</v>
      </c>
      <c r="V560">
        <v>121.396</v>
      </c>
      <c r="W560">
        <v>1.8311200000000001</v>
      </c>
      <c r="X560">
        <v>1.68685</v>
      </c>
      <c r="Y560">
        <v>4</v>
      </c>
      <c r="Z560">
        <v>207.16</v>
      </c>
      <c r="AA560">
        <v>785.95</v>
      </c>
      <c r="AB560">
        <v>6.74817</v>
      </c>
    </row>
    <row r="561" spans="1:28" x14ac:dyDescent="0.25">
      <c r="A561">
        <v>560</v>
      </c>
      <c r="B561">
        <v>689824482</v>
      </c>
      <c r="C561" s="7" t="s">
        <v>27</v>
      </c>
      <c r="D561">
        <v>-0.17297100000000001</v>
      </c>
      <c r="E561">
        <v>1.91351</v>
      </c>
      <c r="F561">
        <v>-0.17297100000000001</v>
      </c>
      <c r="G561" s="3">
        <f>firm_data[[#This Row],[production]]-firm_data[[#This Row],[sales]]</f>
        <v>0</v>
      </c>
      <c r="H561">
        <v>0</v>
      </c>
      <c r="I561">
        <v>-0.69452899999999995</v>
      </c>
      <c r="J561">
        <v>2</v>
      </c>
      <c r="K561">
        <v>2</v>
      </c>
      <c r="L561">
        <v>0</v>
      </c>
      <c r="M561">
        <v>5</v>
      </c>
      <c r="N561">
        <v>0</v>
      </c>
      <c r="O561">
        <v>0</v>
      </c>
      <c r="P561">
        <v>0.99990000000000001</v>
      </c>
      <c r="Q561" s="7" t="s">
        <v>28</v>
      </c>
      <c r="R561" s="7" t="s">
        <v>151</v>
      </c>
      <c r="S561">
        <v>0</v>
      </c>
      <c r="T561">
        <v>6.2796700000000003</v>
      </c>
      <c r="U561">
        <v>5.6280700000000001</v>
      </c>
      <c r="V561">
        <v>0</v>
      </c>
      <c r="W561">
        <v>1.8311200000000001</v>
      </c>
      <c r="X561">
        <v>0</v>
      </c>
      <c r="Y561">
        <v>4</v>
      </c>
      <c r="Z561">
        <v>0</v>
      </c>
      <c r="AA561">
        <v>779.053</v>
      </c>
      <c r="AB561">
        <v>6.74817</v>
      </c>
    </row>
    <row r="562" spans="1:28" x14ac:dyDescent="0.25">
      <c r="A562">
        <v>561</v>
      </c>
      <c r="B562">
        <v>396321386</v>
      </c>
      <c r="C562" s="7" t="s">
        <v>27</v>
      </c>
      <c r="D562">
        <v>-0.17297100000000001</v>
      </c>
      <c r="E562">
        <v>1.91351</v>
      </c>
      <c r="F562">
        <v>-0.17297100000000001</v>
      </c>
      <c r="G562" s="3">
        <f>firm_data[[#This Row],[production]]-firm_data[[#This Row],[sales]]</f>
        <v>0</v>
      </c>
      <c r="H562">
        <v>0</v>
      </c>
      <c r="I562">
        <v>-0.69452899999999995</v>
      </c>
      <c r="J562">
        <v>2</v>
      </c>
      <c r="K562">
        <v>2</v>
      </c>
      <c r="L562">
        <v>0</v>
      </c>
      <c r="M562">
        <v>5</v>
      </c>
      <c r="N562">
        <v>0</v>
      </c>
      <c r="O562">
        <v>0</v>
      </c>
      <c r="P562">
        <v>0.99990000000000001</v>
      </c>
      <c r="Q562" s="7" t="s">
        <v>28</v>
      </c>
      <c r="R562" s="7" t="s">
        <v>151</v>
      </c>
      <c r="S562">
        <v>0</v>
      </c>
      <c r="T562">
        <v>6.1595500000000003</v>
      </c>
      <c r="U562">
        <v>5.8170400000000004</v>
      </c>
      <c r="V562">
        <v>0</v>
      </c>
      <c r="W562">
        <v>1.8311200000000001</v>
      </c>
      <c r="X562">
        <v>0</v>
      </c>
      <c r="Y562">
        <v>4</v>
      </c>
      <c r="Z562">
        <v>0</v>
      </c>
      <c r="AA562">
        <v>775.654</v>
      </c>
      <c r="AB562">
        <v>6.74817</v>
      </c>
    </row>
    <row r="563" spans="1:28" x14ac:dyDescent="0.25">
      <c r="A563">
        <v>562</v>
      </c>
      <c r="B563">
        <v>641156914</v>
      </c>
      <c r="C563" s="7" t="s">
        <v>27</v>
      </c>
      <c r="D563">
        <v>-0.17297100000000001</v>
      </c>
      <c r="E563">
        <v>1.91351</v>
      </c>
      <c r="F563">
        <v>-0.17297100000000001</v>
      </c>
      <c r="G563" s="3">
        <f>firm_data[[#This Row],[production]]-firm_data[[#This Row],[sales]]</f>
        <v>0</v>
      </c>
      <c r="H563">
        <v>0</v>
      </c>
      <c r="I563">
        <v>-0.69452899999999995</v>
      </c>
      <c r="J563">
        <v>2</v>
      </c>
      <c r="K563">
        <v>2</v>
      </c>
      <c r="L563">
        <v>0</v>
      </c>
      <c r="M563">
        <v>5</v>
      </c>
      <c r="N563">
        <v>0</v>
      </c>
      <c r="O563">
        <v>0</v>
      </c>
      <c r="P563">
        <v>0.99990000000000001</v>
      </c>
      <c r="Q563" s="7" t="s">
        <v>28</v>
      </c>
      <c r="R563" s="7" t="s">
        <v>151</v>
      </c>
      <c r="S563">
        <v>0</v>
      </c>
      <c r="T563">
        <v>6.0394300000000003</v>
      </c>
      <c r="U563">
        <v>5.9115200000000003</v>
      </c>
      <c r="V563">
        <v>0</v>
      </c>
      <c r="W563">
        <v>1.8311200000000001</v>
      </c>
      <c r="X563">
        <v>0</v>
      </c>
      <c r="Y563">
        <v>4</v>
      </c>
      <c r="Z563">
        <v>0</v>
      </c>
      <c r="AA563">
        <v>769.71299999999997</v>
      </c>
      <c r="AB563">
        <v>6.74817</v>
      </c>
    </row>
    <row r="564" spans="1:28" x14ac:dyDescent="0.25">
      <c r="A564">
        <v>563</v>
      </c>
      <c r="B564">
        <v>154114664</v>
      </c>
      <c r="C564" s="7" t="s">
        <v>27</v>
      </c>
      <c r="D564">
        <v>-0.17297100000000001</v>
      </c>
      <c r="E564">
        <v>1.91351</v>
      </c>
      <c r="F564">
        <v>-0.17297100000000001</v>
      </c>
      <c r="G564" s="3">
        <f>firm_data[[#This Row],[production]]-firm_data[[#This Row],[sales]]</f>
        <v>0</v>
      </c>
      <c r="H564">
        <v>0</v>
      </c>
      <c r="I564">
        <v>-0.69452899999999995</v>
      </c>
      <c r="J564">
        <v>2</v>
      </c>
      <c r="K564">
        <v>2</v>
      </c>
      <c r="L564">
        <v>0</v>
      </c>
      <c r="M564">
        <v>5</v>
      </c>
      <c r="N564">
        <v>0</v>
      </c>
      <c r="O564">
        <v>0</v>
      </c>
      <c r="P564">
        <v>0.99990000000000001</v>
      </c>
      <c r="Q564" s="7" t="s">
        <v>28</v>
      </c>
      <c r="R564" s="7" t="s">
        <v>151</v>
      </c>
      <c r="S564">
        <v>0</v>
      </c>
      <c r="T564">
        <v>5.9193100000000003</v>
      </c>
      <c r="U564">
        <v>5.9587599999999998</v>
      </c>
      <c r="V564">
        <v>0</v>
      </c>
      <c r="W564">
        <v>1.8311200000000001</v>
      </c>
      <c r="X564">
        <v>0</v>
      </c>
      <c r="Y564">
        <v>4</v>
      </c>
      <c r="Z564">
        <v>0</v>
      </c>
      <c r="AA564">
        <v>755.41499999999996</v>
      </c>
      <c r="AB564">
        <v>6.74817</v>
      </c>
    </row>
    <row r="565" spans="1:28" x14ac:dyDescent="0.25">
      <c r="A565">
        <v>564</v>
      </c>
      <c r="B565">
        <v>139461457</v>
      </c>
      <c r="C565" s="7" t="s">
        <v>27</v>
      </c>
      <c r="D565">
        <v>-133.58500000000001</v>
      </c>
      <c r="E565">
        <v>1.91351</v>
      </c>
      <c r="F565">
        <v>-133.58500000000001</v>
      </c>
      <c r="G565" s="3">
        <f>firm_data[[#This Row],[production]]-firm_data[[#This Row],[sales]]</f>
        <v>0</v>
      </c>
      <c r="H565">
        <v>0</v>
      </c>
      <c r="I565">
        <v>-0.69452899999999995</v>
      </c>
      <c r="J565">
        <v>1.97113</v>
      </c>
      <c r="K565">
        <v>1.97113</v>
      </c>
      <c r="L565">
        <v>0</v>
      </c>
      <c r="M565">
        <v>5</v>
      </c>
      <c r="N565">
        <v>0</v>
      </c>
      <c r="O565">
        <v>0</v>
      </c>
      <c r="P565">
        <v>0.99990000000000001</v>
      </c>
      <c r="Q565" s="7" t="s">
        <v>28</v>
      </c>
      <c r="R565" s="7" t="s">
        <v>151</v>
      </c>
      <c r="S565">
        <v>0</v>
      </c>
      <c r="T565">
        <v>6.8882199999999996</v>
      </c>
      <c r="U565">
        <v>5.9823899999999997</v>
      </c>
      <c r="V565">
        <v>133.357</v>
      </c>
      <c r="W565">
        <v>1.8311200000000001</v>
      </c>
      <c r="X565">
        <v>1.59738</v>
      </c>
      <c r="Y565">
        <v>4</v>
      </c>
      <c r="Z565">
        <v>203.696</v>
      </c>
      <c r="AA565">
        <v>878.37699999999995</v>
      </c>
      <c r="AB565">
        <v>7.0381</v>
      </c>
    </row>
    <row r="566" spans="1:28" x14ac:dyDescent="0.25">
      <c r="A566">
        <v>565</v>
      </c>
      <c r="B566">
        <v>682017030</v>
      </c>
      <c r="C566" s="7" t="s">
        <v>27</v>
      </c>
      <c r="D566">
        <v>-61.526499999999999</v>
      </c>
      <c r="E566">
        <v>1.91351</v>
      </c>
      <c r="F566">
        <v>-61.526499999999999</v>
      </c>
      <c r="G566" s="3">
        <f>firm_data[[#This Row],[production]]-firm_data[[#This Row],[sales]]</f>
        <v>0</v>
      </c>
      <c r="H566">
        <v>0</v>
      </c>
      <c r="I566">
        <v>-0.69452899999999995</v>
      </c>
      <c r="J566">
        <v>2</v>
      </c>
      <c r="K566">
        <v>2</v>
      </c>
      <c r="L566">
        <v>0</v>
      </c>
      <c r="M566">
        <v>5</v>
      </c>
      <c r="N566">
        <v>0</v>
      </c>
      <c r="O566">
        <v>0</v>
      </c>
      <c r="P566">
        <v>0.99990000000000001</v>
      </c>
      <c r="Q566" s="7" t="s">
        <v>28</v>
      </c>
      <c r="R566" s="7" t="s">
        <v>151</v>
      </c>
      <c r="S566">
        <v>0</v>
      </c>
      <c r="T566">
        <v>7.2680999999999996</v>
      </c>
      <c r="U566">
        <v>5.95085</v>
      </c>
      <c r="V566">
        <v>61.353499999999997</v>
      </c>
      <c r="W566">
        <v>1.8311200000000001</v>
      </c>
      <c r="X566">
        <v>0.58884999999999998</v>
      </c>
      <c r="Y566">
        <v>4</v>
      </c>
      <c r="Z566">
        <v>74.941199999999995</v>
      </c>
      <c r="AA566">
        <v>924.99</v>
      </c>
      <c r="AB566">
        <v>7.0010000000000003</v>
      </c>
    </row>
    <row r="567" spans="1:28" x14ac:dyDescent="0.25">
      <c r="A567">
        <v>566</v>
      </c>
      <c r="B567">
        <v>413719600</v>
      </c>
      <c r="C567" s="7" t="s">
        <v>27</v>
      </c>
      <c r="D567">
        <v>-32.2331</v>
      </c>
      <c r="E567">
        <v>1.91351</v>
      </c>
      <c r="F567">
        <v>-32.2331</v>
      </c>
      <c r="G567" s="3">
        <f>firm_data[[#This Row],[production]]-firm_data[[#This Row],[sales]]</f>
        <v>0</v>
      </c>
      <c r="H567">
        <v>0</v>
      </c>
      <c r="I567">
        <v>-0.69452899999999995</v>
      </c>
      <c r="J567">
        <v>2</v>
      </c>
      <c r="K567">
        <v>2</v>
      </c>
      <c r="L567">
        <v>0</v>
      </c>
      <c r="M567">
        <v>5</v>
      </c>
      <c r="N567">
        <v>0</v>
      </c>
      <c r="O567">
        <v>0</v>
      </c>
      <c r="P567">
        <v>0.99990000000000001</v>
      </c>
      <c r="Q567" s="7" t="s">
        <v>28</v>
      </c>
      <c r="R567" s="7" t="s">
        <v>151</v>
      </c>
      <c r="S567">
        <v>0</v>
      </c>
      <c r="T567">
        <v>7.3916000000000004</v>
      </c>
      <c r="U567">
        <v>5.9784300000000004</v>
      </c>
      <c r="V567">
        <v>32.060200000000002</v>
      </c>
      <c r="W567">
        <v>1.8311200000000001</v>
      </c>
      <c r="X567">
        <v>0.24362200000000001</v>
      </c>
      <c r="Y567">
        <v>4</v>
      </c>
      <c r="Z567">
        <v>31.125599999999999</v>
      </c>
      <c r="AA567">
        <v>944.36500000000001</v>
      </c>
      <c r="AB567">
        <v>7.0334399999999997</v>
      </c>
    </row>
    <row r="568" spans="1:28" x14ac:dyDescent="0.25">
      <c r="A568">
        <v>567</v>
      </c>
      <c r="B568">
        <v>427793256</v>
      </c>
      <c r="C568" s="7" t="s">
        <v>27</v>
      </c>
      <c r="D568">
        <v>-16.538</v>
      </c>
      <c r="E568">
        <v>1.91351</v>
      </c>
      <c r="F568">
        <v>-16.538</v>
      </c>
      <c r="G568" s="3">
        <f>firm_data[[#This Row],[production]]-firm_data[[#This Row],[sales]]</f>
        <v>0</v>
      </c>
      <c r="H568">
        <v>0</v>
      </c>
      <c r="I568">
        <v>-0.69452899999999995</v>
      </c>
      <c r="J568">
        <v>2</v>
      </c>
      <c r="K568">
        <v>2</v>
      </c>
      <c r="L568">
        <v>0</v>
      </c>
      <c r="M568">
        <v>5</v>
      </c>
      <c r="N568">
        <v>0</v>
      </c>
      <c r="O568">
        <v>0</v>
      </c>
      <c r="P568">
        <v>0.99990000000000001</v>
      </c>
      <c r="Q568" s="7" t="s">
        <v>28</v>
      </c>
      <c r="R568" s="7" t="s">
        <v>151</v>
      </c>
      <c r="S568">
        <v>0</v>
      </c>
      <c r="T568">
        <v>7.4089200000000002</v>
      </c>
      <c r="U568">
        <v>5.9922199999999997</v>
      </c>
      <c r="V568">
        <v>16.364999999999998</v>
      </c>
      <c r="W568">
        <v>1.8311200000000001</v>
      </c>
      <c r="X568">
        <v>0.13744600000000001</v>
      </c>
      <c r="Y568">
        <v>4</v>
      </c>
      <c r="Z568">
        <v>17.7881</v>
      </c>
      <c r="AA568">
        <v>958.85500000000002</v>
      </c>
      <c r="AB568">
        <v>7.0496699999999999</v>
      </c>
    </row>
    <row r="569" spans="1:28" x14ac:dyDescent="0.25">
      <c r="A569">
        <v>568</v>
      </c>
      <c r="B569">
        <v>850796978</v>
      </c>
      <c r="C569" s="7" t="s">
        <v>27</v>
      </c>
      <c r="D569">
        <v>-0.17297100000000001</v>
      </c>
      <c r="E569">
        <v>1.91351</v>
      </c>
      <c r="F569">
        <v>-0.17297100000000001</v>
      </c>
      <c r="G569" s="3">
        <f>firm_data[[#This Row],[production]]-firm_data[[#This Row],[sales]]</f>
        <v>0</v>
      </c>
      <c r="H569">
        <v>0</v>
      </c>
      <c r="I569">
        <v>-0.69452899999999995</v>
      </c>
      <c r="J569">
        <v>2</v>
      </c>
      <c r="K569">
        <v>2</v>
      </c>
      <c r="L569">
        <v>0</v>
      </c>
      <c r="M569">
        <v>5</v>
      </c>
      <c r="N569">
        <v>0</v>
      </c>
      <c r="O569">
        <v>0</v>
      </c>
      <c r="P569">
        <v>0.99990000000000001</v>
      </c>
      <c r="Q569" s="7" t="s">
        <v>28</v>
      </c>
      <c r="R569" s="7" t="s">
        <v>151</v>
      </c>
      <c r="S569">
        <v>0</v>
      </c>
      <c r="T569">
        <v>7.2888000000000002</v>
      </c>
      <c r="U569">
        <v>5.9991099999999999</v>
      </c>
      <c r="V569">
        <v>0</v>
      </c>
      <c r="W569">
        <v>1.8311200000000001</v>
      </c>
      <c r="X569">
        <v>0</v>
      </c>
      <c r="Y569">
        <v>4</v>
      </c>
      <c r="Z569">
        <v>0</v>
      </c>
      <c r="AA569">
        <v>950.20699999999999</v>
      </c>
      <c r="AB569">
        <v>7.0496699999999999</v>
      </c>
    </row>
    <row r="570" spans="1:28" x14ac:dyDescent="0.25">
      <c r="A570">
        <v>569</v>
      </c>
      <c r="B570">
        <v>795318923</v>
      </c>
      <c r="C570" s="7" t="s">
        <v>27</v>
      </c>
      <c r="D570">
        <v>-0.17297100000000001</v>
      </c>
      <c r="E570">
        <v>1.91351</v>
      </c>
      <c r="F570">
        <v>-0.17297100000000001</v>
      </c>
      <c r="G570" s="3">
        <f>firm_data[[#This Row],[production]]-firm_data[[#This Row],[sales]]</f>
        <v>0</v>
      </c>
      <c r="H570">
        <v>0</v>
      </c>
      <c r="I570">
        <v>-0.69452899999999995</v>
      </c>
      <c r="J570">
        <v>2</v>
      </c>
      <c r="K570">
        <v>2</v>
      </c>
      <c r="L570">
        <v>0</v>
      </c>
      <c r="M570">
        <v>5</v>
      </c>
      <c r="N570">
        <v>0</v>
      </c>
      <c r="O570">
        <v>0</v>
      </c>
      <c r="P570">
        <v>0.99990000000000001</v>
      </c>
      <c r="Q570" s="7" t="s">
        <v>28</v>
      </c>
      <c r="R570" s="7" t="s">
        <v>151</v>
      </c>
      <c r="S570">
        <v>0</v>
      </c>
      <c r="T570">
        <v>7.1686800000000002</v>
      </c>
      <c r="U570">
        <v>6.0025599999999999</v>
      </c>
      <c r="V570">
        <v>0</v>
      </c>
      <c r="W570">
        <v>1.8311200000000001</v>
      </c>
      <c r="X570">
        <v>0</v>
      </c>
      <c r="Y570">
        <v>4</v>
      </c>
      <c r="Z570">
        <v>0</v>
      </c>
      <c r="AA570">
        <v>938.90099999999995</v>
      </c>
      <c r="AB570">
        <v>7.0496699999999999</v>
      </c>
    </row>
    <row r="571" spans="1:28" x14ac:dyDescent="0.25">
      <c r="A571">
        <v>570</v>
      </c>
      <c r="B571">
        <v>741589086</v>
      </c>
      <c r="C571" s="7" t="s">
        <v>27</v>
      </c>
      <c r="D571">
        <v>-0.17297100000000001</v>
      </c>
      <c r="E571">
        <v>1.91351</v>
      </c>
      <c r="F571">
        <v>-0.17297100000000001</v>
      </c>
      <c r="G571" s="3">
        <f>firm_data[[#This Row],[production]]-firm_data[[#This Row],[sales]]</f>
        <v>0</v>
      </c>
      <c r="H571">
        <v>0</v>
      </c>
      <c r="I571">
        <v>-0.69452899999999995</v>
      </c>
      <c r="J571">
        <v>2</v>
      </c>
      <c r="K571">
        <v>2</v>
      </c>
      <c r="L571">
        <v>0</v>
      </c>
      <c r="M571">
        <v>5</v>
      </c>
      <c r="N571">
        <v>0</v>
      </c>
      <c r="O571">
        <v>0</v>
      </c>
      <c r="P571">
        <v>0.99990000000000001</v>
      </c>
      <c r="Q571" s="7" t="s">
        <v>28</v>
      </c>
      <c r="R571" s="7" t="s">
        <v>151</v>
      </c>
      <c r="S571">
        <v>0</v>
      </c>
      <c r="T571">
        <v>7.0485600000000002</v>
      </c>
      <c r="U571">
        <v>6.0042799999999996</v>
      </c>
      <c r="V571">
        <v>0</v>
      </c>
      <c r="W571">
        <v>1.8311200000000001</v>
      </c>
      <c r="X571">
        <v>0</v>
      </c>
      <c r="Y571">
        <v>4</v>
      </c>
      <c r="Z571">
        <v>0</v>
      </c>
      <c r="AA571">
        <v>935.25800000000004</v>
      </c>
      <c r="AB571">
        <v>7.0496699999999999</v>
      </c>
    </row>
    <row r="572" spans="1:28" x14ac:dyDescent="0.25">
      <c r="A572">
        <v>571</v>
      </c>
      <c r="B572">
        <v>53622919</v>
      </c>
      <c r="C572" s="7" t="s">
        <v>27</v>
      </c>
      <c r="D572">
        <v>-0.17297100000000001</v>
      </c>
      <c r="E572">
        <v>1.91351</v>
      </c>
      <c r="F572">
        <v>-0.17297100000000001</v>
      </c>
      <c r="G572" s="3">
        <f>firm_data[[#This Row],[production]]-firm_data[[#This Row],[sales]]</f>
        <v>0</v>
      </c>
      <c r="H572">
        <v>0</v>
      </c>
      <c r="I572">
        <v>-0.69452899999999995</v>
      </c>
      <c r="J572">
        <v>2</v>
      </c>
      <c r="K572">
        <v>2</v>
      </c>
      <c r="L572">
        <v>0</v>
      </c>
      <c r="M572">
        <v>5</v>
      </c>
      <c r="N572">
        <v>0</v>
      </c>
      <c r="O572">
        <v>0</v>
      </c>
      <c r="P572">
        <v>0.99990000000000001</v>
      </c>
      <c r="Q572" s="7" t="s">
        <v>28</v>
      </c>
      <c r="R572" s="7" t="s">
        <v>151</v>
      </c>
      <c r="S572">
        <v>0</v>
      </c>
      <c r="T572">
        <v>6.9284400000000002</v>
      </c>
      <c r="U572">
        <v>6.0051399999999999</v>
      </c>
      <c r="V572">
        <v>0</v>
      </c>
      <c r="W572">
        <v>1.8311200000000001</v>
      </c>
      <c r="X572">
        <v>0</v>
      </c>
      <c r="Y572">
        <v>4</v>
      </c>
      <c r="Z572">
        <v>0</v>
      </c>
      <c r="AA572">
        <v>931.32799999999997</v>
      </c>
      <c r="AB572">
        <v>7.0496699999999999</v>
      </c>
    </row>
    <row r="573" spans="1:28" x14ac:dyDescent="0.25">
      <c r="A573">
        <v>572</v>
      </c>
      <c r="B573">
        <v>40947491</v>
      </c>
      <c r="C573" s="7" t="s">
        <v>27</v>
      </c>
      <c r="D573">
        <v>-0.17297100000000001</v>
      </c>
      <c r="E573">
        <v>1.91351</v>
      </c>
      <c r="F573">
        <v>-0.17297100000000001</v>
      </c>
      <c r="G573" s="3">
        <f>firm_data[[#This Row],[production]]-firm_data[[#This Row],[sales]]</f>
        <v>0</v>
      </c>
      <c r="H573">
        <v>0</v>
      </c>
      <c r="I573">
        <v>-0.69452899999999995</v>
      </c>
      <c r="J573">
        <v>2</v>
      </c>
      <c r="K573">
        <v>2</v>
      </c>
      <c r="L573">
        <v>0</v>
      </c>
      <c r="M573">
        <v>5</v>
      </c>
      <c r="N573">
        <v>0</v>
      </c>
      <c r="O573">
        <v>0</v>
      </c>
      <c r="P573">
        <v>0.99990000000000001</v>
      </c>
      <c r="Q573" s="7" t="s">
        <v>28</v>
      </c>
      <c r="R573" s="7" t="s">
        <v>151</v>
      </c>
      <c r="S573">
        <v>0</v>
      </c>
      <c r="T573">
        <v>6.8083200000000001</v>
      </c>
      <c r="U573">
        <v>6.0055800000000001</v>
      </c>
      <c r="V573">
        <v>0</v>
      </c>
      <c r="W573">
        <v>1.8311200000000001</v>
      </c>
      <c r="X573">
        <v>0</v>
      </c>
      <c r="Y573">
        <v>4</v>
      </c>
      <c r="Z573">
        <v>0</v>
      </c>
      <c r="AA573">
        <v>926.70100000000002</v>
      </c>
      <c r="AB573">
        <v>7.0496699999999999</v>
      </c>
    </row>
    <row r="574" spans="1:28" x14ac:dyDescent="0.25">
      <c r="A574">
        <v>573</v>
      </c>
      <c r="B574">
        <v>649284530</v>
      </c>
      <c r="C574" s="7" t="s">
        <v>27</v>
      </c>
      <c r="D574">
        <v>-94.714799999999997</v>
      </c>
      <c r="E574">
        <v>1.91351</v>
      </c>
      <c r="F574">
        <v>-94.714799999999997</v>
      </c>
      <c r="G574" s="3">
        <f>firm_data[[#This Row],[production]]-firm_data[[#This Row],[sales]]</f>
        <v>0</v>
      </c>
      <c r="H574">
        <v>0</v>
      </c>
      <c r="I574">
        <v>-0.69452899999999995</v>
      </c>
      <c r="J574">
        <v>2</v>
      </c>
      <c r="K574">
        <v>2</v>
      </c>
      <c r="L574">
        <v>0</v>
      </c>
      <c r="M574">
        <v>5</v>
      </c>
      <c r="N574">
        <v>0</v>
      </c>
      <c r="O574">
        <v>0</v>
      </c>
      <c r="P574">
        <v>0.99990000000000001</v>
      </c>
      <c r="Q574" s="7" t="s">
        <v>28</v>
      </c>
      <c r="R574" s="7" t="s">
        <v>151</v>
      </c>
      <c r="S574">
        <v>0</v>
      </c>
      <c r="T574">
        <v>7.42598</v>
      </c>
      <c r="U574">
        <v>6.0057900000000002</v>
      </c>
      <c r="V574">
        <v>94.541799999999995</v>
      </c>
      <c r="W574">
        <v>1.8311200000000001</v>
      </c>
      <c r="X574">
        <v>0.73777599999999999</v>
      </c>
      <c r="Y574">
        <v>4</v>
      </c>
      <c r="Z574">
        <v>101.53100000000001</v>
      </c>
      <c r="AA574">
        <v>1021.95</v>
      </c>
      <c r="AB574">
        <v>7.0656400000000001</v>
      </c>
    </row>
    <row r="575" spans="1:28" x14ac:dyDescent="0.25">
      <c r="A575">
        <v>574</v>
      </c>
      <c r="B575">
        <v>400874929</v>
      </c>
      <c r="C575" s="7" t="s">
        <v>27</v>
      </c>
      <c r="D575">
        <v>-0.17297100000000001</v>
      </c>
      <c r="E575">
        <v>1.91351</v>
      </c>
      <c r="F575">
        <v>-0.17297100000000001</v>
      </c>
      <c r="G575" s="3">
        <f>firm_data[[#This Row],[production]]-firm_data[[#This Row],[sales]]</f>
        <v>0</v>
      </c>
      <c r="H575">
        <v>0</v>
      </c>
      <c r="I575">
        <v>-0.69452899999999995</v>
      </c>
      <c r="J575">
        <v>2</v>
      </c>
      <c r="K575">
        <v>2</v>
      </c>
      <c r="L575">
        <v>0</v>
      </c>
      <c r="M575">
        <v>5</v>
      </c>
      <c r="N575">
        <v>0</v>
      </c>
      <c r="O575">
        <v>0</v>
      </c>
      <c r="P575">
        <v>0.99990000000000001</v>
      </c>
      <c r="Q575" s="7" t="s">
        <v>28</v>
      </c>
      <c r="R575" s="7" t="s">
        <v>151</v>
      </c>
      <c r="S575">
        <v>0</v>
      </c>
      <c r="T575">
        <v>7.30586</v>
      </c>
      <c r="U575">
        <v>6.0058999999999996</v>
      </c>
      <c r="V575">
        <v>0</v>
      </c>
      <c r="W575">
        <v>1.8311200000000001</v>
      </c>
      <c r="X575">
        <v>0</v>
      </c>
      <c r="Y575">
        <v>4</v>
      </c>
      <c r="Z575">
        <v>0</v>
      </c>
      <c r="AA575">
        <v>1013.85</v>
      </c>
      <c r="AB575">
        <v>7.0656400000000001</v>
      </c>
    </row>
    <row r="576" spans="1:28" x14ac:dyDescent="0.25">
      <c r="A576">
        <v>575</v>
      </c>
      <c r="B576">
        <v>794368455</v>
      </c>
      <c r="C576" s="7" t="s">
        <v>27</v>
      </c>
      <c r="D576">
        <v>-33.083300000000001</v>
      </c>
      <c r="E576">
        <v>1.91351</v>
      </c>
      <c r="F576">
        <v>-33.083300000000001</v>
      </c>
      <c r="G576" s="3">
        <f>firm_data[[#This Row],[production]]-firm_data[[#This Row],[sales]]</f>
        <v>0</v>
      </c>
      <c r="H576">
        <v>0</v>
      </c>
      <c r="I576">
        <v>-0.69452899999999995</v>
      </c>
      <c r="J576">
        <v>2</v>
      </c>
      <c r="K576">
        <v>2</v>
      </c>
      <c r="L576">
        <v>0</v>
      </c>
      <c r="M576">
        <v>5</v>
      </c>
      <c r="N576">
        <v>0</v>
      </c>
      <c r="O576">
        <v>0</v>
      </c>
      <c r="P576">
        <v>0.99990000000000001</v>
      </c>
      <c r="Q576" s="7" t="s">
        <v>28</v>
      </c>
      <c r="R576" s="7" t="s">
        <v>151</v>
      </c>
      <c r="S576">
        <v>0</v>
      </c>
      <c r="T576">
        <v>7.4261799999999996</v>
      </c>
      <c r="U576">
        <v>6.0059500000000003</v>
      </c>
      <c r="V576">
        <v>32.910299999999999</v>
      </c>
      <c r="W576">
        <v>1.8311200000000001</v>
      </c>
      <c r="X576">
        <v>0.24044299999999999</v>
      </c>
      <c r="Y576">
        <v>4</v>
      </c>
      <c r="Z576">
        <v>33.835700000000003</v>
      </c>
      <c r="AA576">
        <v>1045.03</v>
      </c>
      <c r="AB576">
        <v>7.0658300000000001</v>
      </c>
    </row>
    <row r="577" spans="1:28" x14ac:dyDescent="0.25">
      <c r="A577">
        <v>576</v>
      </c>
      <c r="B577">
        <v>74650589</v>
      </c>
      <c r="C577" s="7" t="s">
        <v>27</v>
      </c>
      <c r="D577">
        <v>-16.6755</v>
      </c>
      <c r="E577">
        <v>1.91351</v>
      </c>
      <c r="F577">
        <v>-16.6755</v>
      </c>
      <c r="G577" s="3">
        <f>firm_data[[#This Row],[production]]-firm_data[[#This Row],[sales]]</f>
        <v>0</v>
      </c>
      <c r="H577">
        <v>0</v>
      </c>
      <c r="I577">
        <v>-0.69452899999999995</v>
      </c>
      <c r="J577">
        <v>2</v>
      </c>
      <c r="K577">
        <v>2</v>
      </c>
      <c r="L577">
        <v>0</v>
      </c>
      <c r="M577">
        <v>5</v>
      </c>
      <c r="N577">
        <v>0</v>
      </c>
      <c r="O577">
        <v>0</v>
      </c>
      <c r="P577">
        <v>0.99990000000000001</v>
      </c>
      <c r="Q577" s="7" t="s">
        <v>28</v>
      </c>
      <c r="R577" s="7" t="s">
        <v>151</v>
      </c>
      <c r="S577">
        <v>0</v>
      </c>
      <c r="T577">
        <v>7.4262199999999998</v>
      </c>
      <c r="U577">
        <v>6.0059800000000001</v>
      </c>
      <c r="V577">
        <v>16.502500000000001</v>
      </c>
      <c r="W577">
        <v>1.8311200000000001</v>
      </c>
      <c r="X577">
        <v>0.120154</v>
      </c>
      <c r="Y577">
        <v>4</v>
      </c>
      <c r="Z577">
        <v>16.9465</v>
      </c>
      <c r="AA577">
        <v>1047.3900000000001</v>
      </c>
      <c r="AB577">
        <v>7.0658599999999998</v>
      </c>
    </row>
    <row r="578" spans="1:28" x14ac:dyDescent="0.25">
      <c r="A578">
        <v>577</v>
      </c>
      <c r="B578">
        <v>167736248</v>
      </c>
      <c r="C578" s="7" t="s">
        <v>27</v>
      </c>
      <c r="D578">
        <v>-17.752500000000001</v>
      </c>
      <c r="E578">
        <v>1.91351</v>
      </c>
      <c r="F578">
        <v>-17.752500000000001</v>
      </c>
      <c r="G578" s="3">
        <f>firm_data[[#This Row],[production]]-firm_data[[#This Row],[sales]]</f>
        <v>0</v>
      </c>
      <c r="H578">
        <v>0</v>
      </c>
      <c r="I578">
        <v>-0.69452899999999995</v>
      </c>
      <c r="J578">
        <v>2</v>
      </c>
      <c r="K578">
        <v>2</v>
      </c>
      <c r="L578">
        <v>0</v>
      </c>
      <c r="M578">
        <v>5</v>
      </c>
      <c r="N578">
        <v>0</v>
      </c>
      <c r="O578">
        <v>0</v>
      </c>
      <c r="P578">
        <v>0.99990000000000001</v>
      </c>
      <c r="Q578" s="7" t="s">
        <v>28</v>
      </c>
      <c r="R578" s="7" t="s">
        <v>151</v>
      </c>
      <c r="S578">
        <v>0</v>
      </c>
      <c r="T578">
        <v>7.4262300000000003</v>
      </c>
      <c r="U578">
        <v>6.0059899999999997</v>
      </c>
      <c r="V578">
        <v>17.579499999999999</v>
      </c>
      <c r="W578">
        <v>1.8311200000000001</v>
      </c>
      <c r="X578">
        <v>0.12013699999999999</v>
      </c>
      <c r="Y578">
        <v>4</v>
      </c>
      <c r="Z578">
        <v>17.112100000000002</v>
      </c>
      <c r="AA578">
        <v>1057.78</v>
      </c>
      <c r="AB578">
        <v>7.0658700000000003</v>
      </c>
    </row>
    <row r="579" spans="1:28" x14ac:dyDescent="0.25">
      <c r="A579">
        <v>578</v>
      </c>
      <c r="B579">
        <v>466144085</v>
      </c>
      <c r="C579" s="7" t="s">
        <v>27</v>
      </c>
      <c r="D579">
        <v>-17.735199999999999</v>
      </c>
      <c r="E579">
        <v>1.91351</v>
      </c>
      <c r="F579">
        <v>-17.735199999999999</v>
      </c>
      <c r="G579" s="3">
        <f>firm_data[[#This Row],[production]]-firm_data[[#This Row],[sales]]</f>
        <v>0</v>
      </c>
      <c r="H579">
        <v>0</v>
      </c>
      <c r="I579">
        <v>-0.69452899999999995</v>
      </c>
      <c r="J579">
        <v>2</v>
      </c>
      <c r="K579">
        <v>2</v>
      </c>
      <c r="L579">
        <v>0</v>
      </c>
      <c r="M579">
        <v>5</v>
      </c>
      <c r="N579">
        <v>0</v>
      </c>
      <c r="O579">
        <v>0</v>
      </c>
      <c r="P579">
        <v>0.99990000000000001</v>
      </c>
      <c r="Q579" s="7" t="s">
        <v>28</v>
      </c>
      <c r="R579" s="7" t="s">
        <v>151</v>
      </c>
      <c r="S579">
        <v>0</v>
      </c>
      <c r="T579">
        <v>7.42624</v>
      </c>
      <c r="U579">
        <v>6.0060000000000002</v>
      </c>
      <c r="V579">
        <v>17.562200000000001</v>
      </c>
      <c r="W579">
        <v>1.8311200000000001</v>
      </c>
      <c r="X579">
        <v>0.120129</v>
      </c>
      <c r="Y579">
        <v>4</v>
      </c>
      <c r="Z579">
        <v>17.339300000000001</v>
      </c>
      <c r="AA579">
        <v>1071.9000000000001</v>
      </c>
      <c r="AB579">
        <v>7.0658799999999999</v>
      </c>
    </row>
    <row r="580" spans="1:28" x14ac:dyDescent="0.25">
      <c r="A580">
        <v>579</v>
      </c>
      <c r="B580">
        <v>163100630</v>
      </c>
      <c r="C580" s="7" t="s">
        <v>27</v>
      </c>
      <c r="D580">
        <v>-0.17297100000000001</v>
      </c>
      <c r="E580">
        <v>1.91351</v>
      </c>
      <c r="F580">
        <v>-0.17297100000000001</v>
      </c>
      <c r="G580" s="3">
        <f>firm_data[[#This Row],[production]]-firm_data[[#This Row],[sales]]</f>
        <v>0</v>
      </c>
      <c r="H580">
        <v>0</v>
      </c>
      <c r="I580">
        <v>-0.69452899999999995</v>
      </c>
      <c r="J580">
        <v>2</v>
      </c>
      <c r="K580">
        <v>2</v>
      </c>
      <c r="L580">
        <v>0</v>
      </c>
      <c r="M580">
        <v>5</v>
      </c>
      <c r="N580">
        <v>0</v>
      </c>
      <c r="O580">
        <v>0</v>
      </c>
      <c r="P580">
        <v>0.99990000000000001</v>
      </c>
      <c r="Q580" s="7" t="s">
        <v>28</v>
      </c>
      <c r="R580" s="7" t="s">
        <v>151</v>
      </c>
      <c r="S580">
        <v>0</v>
      </c>
      <c r="T580">
        <v>7.3061199999999999</v>
      </c>
      <c r="U580">
        <v>6.0060000000000002</v>
      </c>
      <c r="V580">
        <v>0</v>
      </c>
      <c r="W580">
        <v>1.8311200000000001</v>
      </c>
      <c r="X580">
        <v>0</v>
      </c>
      <c r="Y580">
        <v>4</v>
      </c>
      <c r="Z580">
        <v>0</v>
      </c>
      <c r="AA580">
        <v>1063.97</v>
      </c>
      <c r="AB580">
        <v>7.0658799999999999</v>
      </c>
    </row>
    <row r="581" spans="1:28" x14ac:dyDescent="0.25">
      <c r="A581">
        <v>580</v>
      </c>
      <c r="B581">
        <v>50386655</v>
      </c>
      <c r="C581" s="7" t="s">
        <v>27</v>
      </c>
      <c r="D581">
        <v>-0.17297100000000001</v>
      </c>
      <c r="E581">
        <v>1.91351</v>
      </c>
      <c r="F581">
        <v>-0.17297100000000001</v>
      </c>
      <c r="G581" s="3">
        <f>firm_data[[#This Row],[production]]-firm_data[[#This Row],[sales]]</f>
        <v>0</v>
      </c>
      <c r="H581">
        <v>0</v>
      </c>
      <c r="I581">
        <v>-0.69452899999999995</v>
      </c>
      <c r="J581">
        <v>2</v>
      </c>
      <c r="K581">
        <v>2</v>
      </c>
      <c r="L581">
        <v>0</v>
      </c>
      <c r="M581">
        <v>5</v>
      </c>
      <c r="N581">
        <v>0</v>
      </c>
      <c r="O581">
        <v>0</v>
      </c>
      <c r="P581">
        <v>0.99990000000000001</v>
      </c>
      <c r="Q581" s="7" t="s">
        <v>28</v>
      </c>
      <c r="R581" s="7" t="s">
        <v>151</v>
      </c>
      <c r="S581">
        <v>0</v>
      </c>
      <c r="T581">
        <v>7.1859999999999999</v>
      </c>
      <c r="U581">
        <v>6.0060000000000002</v>
      </c>
      <c r="V581">
        <v>0</v>
      </c>
      <c r="W581">
        <v>1.8311200000000001</v>
      </c>
      <c r="X581">
        <v>0</v>
      </c>
      <c r="Y581">
        <v>4</v>
      </c>
      <c r="Z581">
        <v>0</v>
      </c>
      <c r="AA581">
        <v>1052.68</v>
      </c>
      <c r="AB581">
        <v>7.0658799999999999</v>
      </c>
    </row>
    <row r="582" spans="1:28" x14ac:dyDescent="0.25">
      <c r="A582">
        <v>581</v>
      </c>
      <c r="B582">
        <v>292758604</v>
      </c>
      <c r="C582" s="7" t="s">
        <v>27</v>
      </c>
      <c r="D582">
        <v>-53.841200000000001</v>
      </c>
      <c r="E582">
        <v>1.91351</v>
      </c>
      <c r="F582">
        <v>-53.841200000000001</v>
      </c>
      <c r="G582" s="3">
        <f>firm_data[[#This Row],[production]]-firm_data[[#This Row],[sales]]</f>
        <v>0</v>
      </c>
      <c r="H582">
        <v>0</v>
      </c>
      <c r="I582">
        <v>-0.69452899999999995</v>
      </c>
      <c r="J582">
        <v>2</v>
      </c>
      <c r="K582">
        <v>2</v>
      </c>
      <c r="L582">
        <v>0</v>
      </c>
      <c r="M582">
        <v>5</v>
      </c>
      <c r="N582">
        <v>0</v>
      </c>
      <c r="O582">
        <v>0</v>
      </c>
      <c r="P582">
        <v>0.99990000000000001</v>
      </c>
      <c r="Q582" s="7" t="s">
        <v>28</v>
      </c>
      <c r="R582" s="7" t="s">
        <v>151</v>
      </c>
      <c r="S582">
        <v>0</v>
      </c>
      <c r="T582">
        <v>7.4262499999999996</v>
      </c>
      <c r="U582">
        <v>6.0060099999999998</v>
      </c>
      <c r="V582">
        <v>53.668199999999999</v>
      </c>
      <c r="W582">
        <v>1.8311200000000001</v>
      </c>
      <c r="X582">
        <v>0.36036800000000002</v>
      </c>
      <c r="Y582">
        <v>4</v>
      </c>
      <c r="Z582">
        <v>53.520699999999998</v>
      </c>
      <c r="AA582">
        <v>1102.92</v>
      </c>
      <c r="AB582">
        <v>7.0658899999999996</v>
      </c>
    </row>
    <row r="583" spans="1:28" x14ac:dyDescent="0.25">
      <c r="A583">
        <v>582</v>
      </c>
      <c r="B583">
        <v>744934638</v>
      </c>
      <c r="C583" s="7" t="s">
        <v>27</v>
      </c>
      <c r="D583">
        <v>-0.17297100000000001</v>
      </c>
      <c r="E583">
        <v>1.91351</v>
      </c>
      <c r="F583">
        <v>-0.17297100000000001</v>
      </c>
      <c r="G583" s="3">
        <f>firm_data[[#This Row],[production]]-firm_data[[#This Row],[sales]]</f>
        <v>0</v>
      </c>
      <c r="H583">
        <v>0</v>
      </c>
      <c r="I583">
        <v>-0.69452899999999995</v>
      </c>
      <c r="J583">
        <v>2</v>
      </c>
      <c r="K583">
        <v>2</v>
      </c>
      <c r="L583">
        <v>0</v>
      </c>
      <c r="M583">
        <v>5</v>
      </c>
      <c r="N583">
        <v>0</v>
      </c>
      <c r="O583">
        <v>0</v>
      </c>
      <c r="P583">
        <v>0.99990000000000001</v>
      </c>
      <c r="Q583" s="7" t="s">
        <v>28</v>
      </c>
      <c r="R583" s="7" t="s">
        <v>151</v>
      </c>
      <c r="S583">
        <v>0</v>
      </c>
      <c r="T583">
        <v>7.3061299999999996</v>
      </c>
      <c r="U583">
        <v>6.0060099999999998</v>
      </c>
      <c r="V583">
        <v>0</v>
      </c>
      <c r="W583">
        <v>1.8311200000000001</v>
      </c>
      <c r="X583">
        <v>0</v>
      </c>
      <c r="Y583">
        <v>4</v>
      </c>
      <c r="Z583">
        <v>0</v>
      </c>
      <c r="AA583">
        <v>1089.5899999999999</v>
      </c>
      <c r="AB583">
        <v>7.0658899999999996</v>
      </c>
    </row>
    <row r="584" spans="1:28" x14ac:dyDescent="0.25">
      <c r="A584">
        <v>583</v>
      </c>
      <c r="B584">
        <v>107829282</v>
      </c>
      <c r="C584" s="7" t="s">
        <v>27</v>
      </c>
      <c r="D584">
        <v>-0.17297100000000001</v>
      </c>
      <c r="E584">
        <v>1.91351</v>
      </c>
      <c r="F584">
        <v>-0.17297100000000001</v>
      </c>
      <c r="G584" s="3">
        <f>firm_data[[#This Row],[production]]-firm_data[[#This Row],[sales]]</f>
        <v>0</v>
      </c>
      <c r="H584">
        <v>0</v>
      </c>
      <c r="I584">
        <v>-0.69452899999999995</v>
      </c>
      <c r="J584">
        <v>2</v>
      </c>
      <c r="K584">
        <v>2</v>
      </c>
      <c r="L584">
        <v>0</v>
      </c>
      <c r="M584">
        <v>5</v>
      </c>
      <c r="N584">
        <v>0</v>
      </c>
      <c r="O584">
        <v>0</v>
      </c>
      <c r="P584">
        <v>0.99990000000000001</v>
      </c>
      <c r="Q584" s="7" t="s">
        <v>28</v>
      </c>
      <c r="R584" s="7" t="s">
        <v>151</v>
      </c>
      <c r="S584">
        <v>0</v>
      </c>
      <c r="T584">
        <v>7.1860099999999996</v>
      </c>
      <c r="U584">
        <v>6.0060099999999998</v>
      </c>
      <c r="V584">
        <v>0</v>
      </c>
      <c r="W584">
        <v>1.8311200000000001</v>
      </c>
      <c r="X584">
        <v>0</v>
      </c>
      <c r="Y584">
        <v>4</v>
      </c>
      <c r="Z584">
        <v>0</v>
      </c>
      <c r="AA584">
        <v>1080.58</v>
      </c>
      <c r="AB584">
        <v>7.0658899999999996</v>
      </c>
    </row>
    <row r="585" spans="1:28" x14ac:dyDescent="0.25">
      <c r="A585">
        <v>584</v>
      </c>
      <c r="B585">
        <v>186276170</v>
      </c>
      <c r="C585" s="7" t="s">
        <v>27</v>
      </c>
      <c r="D585">
        <v>-0.17297100000000001</v>
      </c>
      <c r="E585">
        <v>1.91351</v>
      </c>
      <c r="F585">
        <v>-0.17297100000000001</v>
      </c>
      <c r="G585" s="3">
        <f>firm_data[[#This Row],[production]]-firm_data[[#This Row],[sales]]</f>
        <v>0</v>
      </c>
      <c r="H585">
        <v>0</v>
      </c>
      <c r="I585">
        <v>-0.69452899999999995</v>
      </c>
      <c r="J585">
        <v>2</v>
      </c>
      <c r="K585">
        <v>2</v>
      </c>
      <c r="L585">
        <v>0</v>
      </c>
      <c r="M585">
        <v>5</v>
      </c>
      <c r="N585">
        <v>0</v>
      </c>
      <c r="O585">
        <v>0</v>
      </c>
      <c r="P585">
        <v>0.99990000000000001</v>
      </c>
      <c r="Q585" s="7" t="s">
        <v>28</v>
      </c>
      <c r="R585" s="7" t="s">
        <v>151</v>
      </c>
      <c r="S585">
        <v>0</v>
      </c>
      <c r="T585">
        <v>7.0658899999999996</v>
      </c>
      <c r="U585">
        <v>6.0060099999999998</v>
      </c>
      <c r="V585">
        <v>0</v>
      </c>
      <c r="W585">
        <v>1.8311200000000001</v>
      </c>
      <c r="X585">
        <v>0</v>
      </c>
      <c r="Y585">
        <v>4</v>
      </c>
      <c r="Z585">
        <v>0</v>
      </c>
      <c r="AA585">
        <v>1070.4000000000001</v>
      </c>
      <c r="AB585">
        <v>7.0658899999999996</v>
      </c>
    </row>
    <row r="586" spans="1:28" x14ac:dyDescent="0.25">
      <c r="A586">
        <v>585</v>
      </c>
      <c r="B586">
        <v>115593516</v>
      </c>
      <c r="C586" s="7" t="s">
        <v>27</v>
      </c>
      <c r="D586">
        <v>-0.17297100000000001</v>
      </c>
      <c r="E586">
        <v>1.91351</v>
      </c>
      <c r="F586">
        <v>-0.17297100000000001</v>
      </c>
      <c r="G586" s="3">
        <f>firm_data[[#This Row],[production]]-firm_data[[#This Row],[sales]]</f>
        <v>0</v>
      </c>
      <c r="H586">
        <v>0</v>
      </c>
      <c r="I586">
        <v>-0.69452899999999995</v>
      </c>
      <c r="J586">
        <v>2</v>
      </c>
      <c r="K586">
        <v>2</v>
      </c>
      <c r="L586">
        <v>0</v>
      </c>
      <c r="M586">
        <v>5</v>
      </c>
      <c r="N586">
        <v>0</v>
      </c>
      <c r="O586">
        <v>0</v>
      </c>
      <c r="P586">
        <v>0.99990000000000001</v>
      </c>
      <c r="Q586" s="7" t="s">
        <v>28</v>
      </c>
      <c r="R586" s="7" t="s">
        <v>151</v>
      </c>
      <c r="S586">
        <v>0</v>
      </c>
      <c r="T586">
        <v>6.9457700000000004</v>
      </c>
      <c r="U586">
        <v>6.0060099999999998</v>
      </c>
      <c r="V586">
        <v>0</v>
      </c>
      <c r="W586">
        <v>1.8311200000000001</v>
      </c>
      <c r="X586">
        <v>0</v>
      </c>
      <c r="Y586">
        <v>4</v>
      </c>
      <c r="Z586">
        <v>0</v>
      </c>
      <c r="AA586">
        <v>1065.49</v>
      </c>
      <c r="AB586">
        <v>7.0658899999999996</v>
      </c>
    </row>
    <row r="587" spans="1:28" x14ac:dyDescent="0.25">
      <c r="A587">
        <v>586</v>
      </c>
      <c r="B587">
        <v>193699344</v>
      </c>
      <c r="C587" s="7" t="s">
        <v>27</v>
      </c>
      <c r="D587">
        <v>-0.17297100000000001</v>
      </c>
      <c r="E587">
        <v>1.91351</v>
      </c>
      <c r="F587">
        <v>-0.17297100000000001</v>
      </c>
      <c r="G587" s="3">
        <f>firm_data[[#This Row],[production]]-firm_data[[#This Row],[sales]]</f>
        <v>0</v>
      </c>
      <c r="H587">
        <v>0</v>
      </c>
      <c r="I587">
        <v>-0.69452899999999995</v>
      </c>
      <c r="J587">
        <v>2</v>
      </c>
      <c r="K587">
        <v>2</v>
      </c>
      <c r="L587">
        <v>0</v>
      </c>
      <c r="M587">
        <v>5</v>
      </c>
      <c r="N587">
        <v>0</v>
      </c>
      <c r="O587">
        <v>0</v>
      </c>
      <c r="P587">
        <v>0.99990000000000001</v>
      </c>
      <c r="Q587" s="7" t="s">
        <v>28</v>
      </c>
      <c r="R587" s="7" t="s">
        <v>151</v>
      </c>
      <c r="S587">
        <v>0</v>
      </c>
      <c r="T587">
        <v>6.8256500000000004</v>
      </c>
      <c r="U587">
        <v>6.0060099999999998</v>
      </c>
      <c r="V587">
        <v>0</v>
      </c>
      <c r="W587">
        <v>1.8311200000000001</v>
      </c>
      <c r="X587">
        <v>0</v>
      </c>
      <c r="Y587">
        <v>4</v>
      </c>
      <c r="Z587">
        <v>0</v>
      </c>
      <c r="AA587">
        <v>1053.83</v>
      </c>
      <c r="AB587">
        <v>7.0658899999999996</v>
      </c>
    </row>
    <row r="588" spans="1:28" x14ac:dyDescent="0.25">
      <c r="A588">
        <v>587</v>
      </c>
      <c r="B588">
        <v>446024289</v>
      </c>
      <c r="C588" s="7" t="s">
        <v>27</v>
      </c>
      <c r="D588">
        <v>-0.17297100000000001</v>
      </c>
      <c r="E588">
        <v>1.91351</v>
      </c>
      <c r="F588">
        <v>-0.17297100000000001</v>
      </c>
      <c r="G588" s="3">
        <f>firm_data[[#This Row],[production]]-firm_data[[#This Row],[sales]]</f>
        <v>0</v>
      </c>
      <c r="H588">
        <v>0</v>
      </c>
      <c r="I588">
        <v>-0.69452899999999995</v>
      </c>
      <c r="J588">
        <v>2</v>
      </c>
      <c r="K588">
        <v>2</v>
      </c>
      <c r="L588">
        <v>0</v>
      </c>
      <c r="M588">
        <v>5</v>
      </c>
      <c r="N588">
        <v>0</v>
      </c>
      <c r="O588">
        <v>0</v>
      </c>
      <c r="P588">
        <v>0.99990000000000001</v>
      </c>
      <c r="Q588" s="7" t="s">
        <v>28</v>
      </c>
      <c r="R588" s="7" t="s">
        <v>151</v>
      </c>
      <c r="S588">
        <v>0</v>
      </c>
      <c r="T588">
        <v>6.7055300000000004</v>
      </c>
      <c r="U588">
        <v>6.0060099999999998</v>
      </c>
      <c r="V588">
        <v>0</v>
      </c>
      <c r="W588">
        <v>1.8311200000000001</v>
      </c>
      <c r="X588">
        <v>0</v>
      </c>
      <c r="Y588">
        <v>4</v>
      </c>
      <c r="Z588">
        <v>0</v>
      </c>
      <c r="AA588">
        <v>1043.03</v>
      </c>
      <c r="AB588">
        <v>7.0658899999999996</v>
      </c>
    </row>
    <row r="589" spans="1:28" x14ac:dyDescent="0.25">
      <c r="A589">
        <v>588</v>
      </c>
      <c r="B589">
        <v>694452899</v>
      </c>
      <c r="C589" s="7" t="s">
        <v>27</v>
      </c>
      <c r="D589">
        <v>-0.17297100000000001</v>
      </c>
      <c r="E589">
        <v>1.91351</v>
      </c>
      <c r="F589">
        <v>-0.17297100000000001</v>
      </c>
      <c r="G589" s="3">
        <f>firm_data[[#This Row],[production]]-firm_data[[#This Row],[sales]]</f>
        <v>0</v>
      </c>
      <c r="H589">
        <v>0</v>
      </c>
      <c r="I589">
        <v>-0.69452899999999995</v>
      </c>
      <c r="J589">
        <v>2</v>
      </c>
      <c r="K589">
        <v>2</v>
      </c>
      <c r="L589">
        <v>0</v>
      </c>
      <c r="M589">
        <v>5</v>
      </c>
      <c r="N589">
        <v>0</v>
      </c>
      <c r="O589">
        <v>0</v>
      </c>
      <c r="P589">
        <v>0.99990000000000001</v>
      </c>
      <c r="Q589" s="7" t="s">
        <v>28</v>
      </c>
      <c r="R589" s="7" t="s">
        <v>151</v>
      </c>
      <c r="S589">
        <v>0</v>
      </c>
      <c r="T589">
        <v>6.5854100000000004</v>
      </c>
      <c r="U589">
        <v>6.0060099999999998</v>
      </c>
      <c r="V589">
        <v>0</v>
      </c>
      <c r="W589">
        <v>1.8311200000000001</v>
      </c>
      <c r="X589">
        <v>0</v>
      </c>
      <c r="Y589">
        <v>4</v>
      </c>
      <c r="Z589">
        <v>0</v>
      </c>
      <c r="AA589">
        <v>1034.73</v>
      </c>
      <c r="AB589">
        <v>7.0658899999999996</v>
      </c>
    </row>
    <row r="590" spans="1:28" x14ac:dyDescent="0.25">
      <c r="A590">
        <v>589</v>
      </c>
      <c r="B590">
        <v>500954632</v>
      </c>
      <c r="C590" s="7" t="s">
        <v>27</v>
      </c>
      <c r="D590">
        <v>-0.17297100000000001</v>
      </c>
      <c r="E590">
        <v>1.91351</v>
      </c>
      <c r="F590">
        <v>-0.17297100000000001</v>
      </c>
      <c r="G590" s="3">
        <f>firm_data[[#This Row],[production]]-firm_data[[#This Row],[sales]]</f>
        <v>0</v>
      </c>
      <c r="H590">
        <v>0</v>
      </c>
      <c r="I590">
        <v>-0.69452899999999995</v>
      </c>
      <c r="J590">
        <v>2</v>
      </c>
      <c r="K590">
        <v>2</v>
      </c>
      <c r="L590">
        <v>0</v>
      </c>
      <c r="M590">
        <v>5</v>
      </c>
      <c r="N590">
        <v>0</v>
      </c>
      <c r="O590">
        <v>0</v>
      </c>
      <c r="P590">
        <v>0.99990000000000001</v>
      </c>
      <c r="Q590" s="7" t="s">
        <v>28</v>
      </c>
      <c r="R590" s="7" t="s">
        <v>151</v>
      </c>
      <c r="S590">
        <v>0</v>
      </c>
      <c r="T590">
        <v>6.4652900000000004</v>
      </c>
      <c r="U590">
        <v>6.0060099999999998</v>
      </c>
      <c r="V590">
        <v>0</v>
      </c>
      <c r="W590">
        <v>1.8311200000000001</v>
      </c>
      <c r="X590">
        <v>0</v>
      </c>
      <c r="Y590">
        <v>4</v>
      </c>
      <c r="Z590">
        <v>0</v>
      </c>
      <c r="AA590">
        <v>1013.46</v>
      </c>
      <c r="AB590">
        <v>7.0658899999999996</v>
      </c>
    </row>
    <row r="591" spans="1:28" x14ac:dyDescent="0.25">
      <c r="A591">
        <v>590</v>
      </c>
      <c r="B591">
        <v>911195647</v>
      </c>
      <c r="C591" s="7" t="s">
        <v>27</v>
      </c>
      <c r="D591">
        <v>-0.17297100000000001</v>
      </c>
      <c r="E591">
        <v>1.91351</v>
      </c>
      <c r="F591">
        <v>-0.17297100000000001</v>
      </c>
      <c r="G591" s="3">
        <f>firm_data[[#This Row],[production]]-firm_data[[#This Row],[sales]]</f>
        <v>0</v>
      </c>
      <c r="H591">
        <v>0</v>
      </c>
      <c r="I591">
        <v>-0.69452899999999995</v>
      </c>
      <c r="J591">
        <v>2</v>
      </c>
      <c r="K591">
        <v>2</v>
      </c>
      <c r="L591">
        <v>0</v>
      </c>
      <c r="M591">
        <v>5</v>
      </c>
      <c r="N591">
        <v>0</v>
      </c>
      <c r="O591">
        <v>0</v>
      </c>
      <c r="P591">
        <v>0.99990000000000001</v>
      </c>
      <c r="Q591" s="7" t="s">
        <v>28</v>
      </c>
      <c r="R591" s="7" t="s">
        <v>151</v>
      </c>
      <c r="S591">
        <v>0</v>
      </c>
      <c r="T591">
        <v>6.3451700000000004</v>
      </c>
      <c r="U591">
        <v>6.0060099999999998</v>
      </c>
      <c r="V591">
        <v>0</v>
      </c>
      <c r="W591">
        <v>1.8311200000000001</v>
      </c>
      <c r="X591">
        <v>0</v>
      </c>
      <c r="Y591">
        <v>4</v>
      </c>
      <c r="Z591">
        <v>0</v>
      </c>
      <c r="AA591">
        <v>995.90899999999999</v>
      </c>
      <c r="AB591">
        <v>7.0658899999999996</v>
      </c>
    </row>
    <row r="592" spans="1:28" x14ac:dyDescent="0.25">
      <c r="A592">
        <v>591</v>
      </c>
      <c r="B592">
        <v>914136103</v>
      </c>
      <c r="C592" s="7" t="s">
        <v>27</v>
      </c>
      <c r="D592">
        <v>-0.17297100000000001</v>
      </c>
      <c r="E592">
        <v>1.91351</v>
      </c>
      <c r="F592">
        <v>-0.17297100000000001</v>
      </c>
      <c r="G592" s="3">
        <f>firm_data[[#This Row],[production]]-firm_data[[#This Row],[sales]]</f>
        <v>0</v>
      </c>
      <c r="H592">
        <v>0</v>
      </c>
      <c r="I592">
        <v>-0.69452899999999995</v>
      </c>
      <c r="J592">
        <v>2</v>
      </c>
      <c r="K592">
        <v>2</v>
      </c>
      <c r="L592">
        <v>0</v>
      </c>
      <c r="M592">
        <v>5</v>
      </c>
      <c r="N592">
        <v>0</v>
      </c>
      <c r="O592">
        <v>0</v>
      </c>
      <c r="P592">
        <v>0.99990000000000001</v>
      </c>
      <c r="Q592" s="7" t="s">
        <v>28</v>
      </c>
      <c r="R592" s="7" t="s">
        <v>151</v>
      </c>
      <c r="S592">
        <v>0</v>
      </c>
      <c r="T592">
        <v>6.2250500000000004</v>
      </c>
      <c r="U592">
        <v>6.0060099999999998</v>
      </c>
      <c r="V592">
        <v>0</v>
      </c>
      <c r="W592">
        <v>1.8311200000000001</v>
      </c>
      <c r="X592">
        <v>0</v>
      </c>
      <c r="Y592">
        <v>4</v>
      </c>
      <c r="Z592">
        <v>0</v>
      </c>
      <c r="AA592">
        <v>987.02700000000004</v>
      </c>
      <c r="AB592">
        <v>7.0658899999999996</v>
      </c>
    </row>
    <row r="593" spans="1:28" x14ac:dyDescent="0.25">
      <c r="A593">
        <v>592</v>
      </c>
      <c r="B593">
        <v>234375272</v>
      </c>
      <c r="C593" s="7" t="s">
        <v>27</v>
      </c>
      <c r="D593">
        <v>-0.17297100000000001</v>
      </c>
      <c r="E593">
        <v>1.91351</v>
      </c>
      <c r="F593">
        <v>-0.17297100000000001</v>
      </c>
      <c r="G593" s="3">
        <f>firm_data[[#This Row],[production]]-firm_data[[#This Row],[sales]]</f>
        <v>0</v>
      </c>
      <c r="H593">
        <v>0</v>
      </c>
      <c r="I593">
        <v>-0.69452899999999995</v>
      </c>
      <c r="J593">
        <v>2</v>
      </c>
      <c r="K593">
        <v>2</v>
      </c>
      <c r="L593">
        <v>0</v>
      </c>
      <c r="M593">
        <v>5</v>
      </c>
      <c r="N593">
        <v>0</v>
      </c>
      <c r="O593">
        <v>0</v>
      </c>
      <c r="P593">
        <v>0.99990000000000001</v>
      </c>
      <c r="Q593" s="7" t="s">
        <v>28</v>
      </c>
      <c r="R593" s="7" t="s">
        <v>151</v>
      </c>
      <c r="S593">
        <v>0</v>
      </c>
      <c r="T593">
        <v>6.1049300000000004</v>
      </c>
      <c r="U593">
        <v>6.0060099999999998</v>
      </c>
      <c r="V593">
        <v>0</v>
      </c>
      <c r="W593">
        <v>1.8311200000000001</v>
      </c>
      <c r="X593">
        <v>0</v>
      </c>
      <c r="Y593">
        <v>4</v>
      </c>
      <c r="Z593">
        <v>0</v>
      </c>
      <c r="AA593">
        <v>979.75300000000004</v>
      </c>
      <c r="AB593">
        <v>7.0658899999999996</v>
      </c>
    </row>
    <row r="594" spans="1:28" x14ac:dyDescent="0.25">
      <c r="A594">
        <v>593</v>
      </c>
      <c r="B594">
        <v>215198456</v>
      </c>
      <c r="C594" s="7" t="s">
        <v>27</v>
      </c>
      <c r="D594">
        <v>-159.27799999999999</v>
      </c>
      <c r="E594">
        <v>1.91351</v>
      </c>
      <c r="F594">
        <v>-159.27799999999999</v>
      </c>
      <c r="G594" s="3">
        <f>firm_data[[#This Row],[production]]-firm_data[[#This Row],[sales]]</f>
        <v>0</v>
      </c>
      <c r="H594">
        <v>0</v>
      </c>
      <c r="I594">
        <v>-0.69452899999999995</v>
      </c>
      <c r="J594">
        <v>2</v>
      </c>
      <c r="K594">
        <v>2</v>
      </c>
      <c r="L594">
        <v>0</v>
      </c>
      <c r="M594">
        <v>5</v>
      </c>
      <c r="N594">
        <v>0</v>
      </c>
      <c r="O594">
        <v>0</v>
      </c>
      <c r="P594">
        <v>0.99990000000000001</v>
      </c>
      <c r="Q594" s="7" t="s">
        <v>28</v>
      </c>
      <c r="R594" s="7" t="s">
        <v>151</v>
      </c>
      <c r="S594">
        <v>0</v>
      </c>
      <c r="T594">
        <v>6.9748099999999997</v>
      </c>
      <c r="U594">
        <v>6.0060099999999998</v>
      </c>
      <c r="V594">
        <v>159.10499999999999</v>
      </c>
      <c r="W594">
        <v>1.8311200000000001</v>
      </c>
      <c r="X594">
        <v>1.4414400000000001</v>
      </c>
      <c r="Y594">
        <v>4</v>
      </c>
      <c r="Z594">
        <v>233.905</v>
      </c>
      <c r="AA594">
        <v>1131.81</v>
      </c>
      <c r="AB594">
        <v>7.0658899999999996</v>
      </c>
    </row>
    <row r="595" spans="1:28" x14ac:dyDescent="0.25">
      <c r="A595">
        <v>594</v>
      </c>
      <c r="B595">
        <v>64295982</v>
      </c>
      <c r="C595" s="7" t="s">
        <v>27</v>
      </c>
      <c r="D595">
        <v>-0.17297100000000001</v>
      </c>
      <c r="E595">
        <v>1.91351</v>
      </c>
      <c r="F595">
        <v>-0.17297100000000001</v>
      </c>
      <c r="G595" s="3">
        <f>firm_data[[#This Row],[production]]-firm_data[[#This Row],[sales]]</f>
        <v>0</v>
      </c>
      <c r="H595">
        <v>0</v>
      </c>
      <c r="I595">
        <v>-0.69452899999999995</v>
      </c>
      <c r="J595">
        <v>2</v>
      </c>
      <c r="K595">
        <v>2</v>
      </c>
      <c r="L595">
        <v>0</v>
      </c>
      <c r="M595">
        <v>5</v>
      </c>
      <c r="N595">
        <v>0</v>
      </c>
      <c r="O595">
        <v>0</v>
      </c>
      <c r="P595">
        <v>0.99990000000000001</v>
      </c>
      <c r="Q595" s="7" t="s">
        <v>28</v>
      </c>
      <c r="R595" s="7" t="s">
        <v>151</v>
      </c>
      <c r="S595">
        <v>0</v>
      </c>
      <c r="T595">
        <v>6.8546899999999997</v>
      </c>
      <c r="U595">
        <v>6.0060099999999998</v>
      </c>
      <c r="V595">
        <v>0</v>
      </c>
      <c r="W595">
        <v>1.8311200000000001</v>
      </c>
      <c r="X595">
        <v>0</v>
      </c>
      <c r="Y595">
        <v>4</v>
      </c>
      <c r="Z595">
        <v>0</v>
      </c>
      <c r="AA595">
        <v>1122.97</v>
      </c>
      <c r="AB595">
        <v>7.0658899999999996</v>
      </c>
    </row>
    <row r="596" spans="1:28" x14ac:dyDescent="0.25">
      <c r="A596">
        <v>595</v>
      </c>
      <c r="B596">
        <v>199707554</v>
      </c>
      <c r="C596" s="7" t="s">
        <v>27</v>
      </c>
      <c r="D596">
        <v>-0.17297100000000001</v>
      </c>
      <c r="E596">
        <v>1.91351</v>
      </c>
      <c r="F596">
        <v>-0.17297100000000001</v>
      </c>
      <c r="G596" s="3">
        <f>firm_data[[#This Row],[production]]-firm_data[[#This Row],[sales]]</f>
        <v>0</v>
      </c>
      <c r="H596">
        <v>0</v>
      </c>
      <c r="I596">
        <v>-0.69452899999999995</v>
      </c>
      <c r="J596">
        <v>2</v>
      </c>
      <c r="K596">
        <v>2</v>
      </c>
      <c r="L596">
        <v>0</v>
      </c>
      <c r="M596">
        <v>5</v>
      </c>
      <c r="N596">
        <v>0</v>
      </c>
      <c r="O596">
        <v>0</v>
      </c>
      <c r="P596">
        <v>0.99990000000000001</v>
      </c>
      <c r="Q596" s="7" t="s">
        <v>28</v>
      </c>
      <c r="R596" s="7" t="s">
        <v>151</v>
      </c>
      <c r="S596">
        <v>0</v>
      </c>
      <c r="T596">
        <v>6.7345699999999997</v>
      </c>
      <c r="U596">
        <v>6.0060099999999998</v>
      </c>
      <c r="V596">
        <v>0</v>
      </c>
      <c r="W596">
        <v>1.8311200000000001</v>
      </c>
      <c r="X596">
        <v>0</v>
      </c>
      <c r="Y596">
        <v>4</v>
      </c>
      <c r="Z596">
        <v>0</v>
      </c>
      <c r="AA596">
        <v>1116.01</v>
      </c>
      <c r="AB596">
        <v>7.0658899999999996</v>
      </c>
    </row>
    <row r="597" spans="1:28" x14ac:dyDescent="0.25">
      <c r="A597">
        <v>596</v>
      </c>
      <c r="B597">
        <v>723323844</v>
      </c>
      <c r="C597" s="7" t="s">
        <v>27</v>
      </c>
      <c r="D597">
        <v>-0.17297100000000001</v>
      </c>
      <c r="E597">
        <v>1.91351</v>
      </c>
      <c r="F597">
        <v>-0.17297100000000001</v>
      </c>
      <c r="G597" s="3">
        <f>firm_data[[#This Row],[production]]-firm_data[[#This Row],[sales]]</f>
        <v>0</v>
      </c>
      <c r="H597">
        <v>0</v>
      </c>
      <c r="I597">
        <v>-0.69452899999999995</v>
      </c>
      <c r="J597">
        <v>2</v>
      </c>
      <c r="K597">
        <v>2</v>
      </c>
      <c r="L597">
        <v>0</v>
      </c>
      <c r="M597">
        <v>5</v>
      </c>
      <c r="N597">
        <v>0</v>
      </c>
      <c r="O597">
        <v>0</v>
      </c>
      <c r="P597">
        <v>0.99990000000000001</v>
      </c>
      <c r="Q597" s="7" t="s">
        <v>28</v>
      </c>
      <c r="R597" s="7" t="s">
        <v>151</v>
      </c>
      <c r="S597">
        <v>0</v>
      </c>
      <c r="T597">
        <v>6.6144499999999997</v>
      </c>
      <c r="U597">
        <v>6.0060099999999998</v>
      </c>
      <c r="V597">
        <v>0</v>
      </c>
      <c r="W597">
        <v>1.8311200000000001</v>
      </c>
      <c r="X597">
        <v>0</v>
      </c>
      <c r="Y597">
        <v>4</v>
      </c>
      <c r="Z597">
        <v>0</v>
      </c>
      <c r="AA597">
        <v>1111.95</v>
      </c>
      <c r="AB597">
        <v>7.0658899999999996</v>
      </c>
    </row>
    <row r="598" spans="1:28" x14ac:dyDescent="0.25">
      <c r="A598">
        <v>597</v>
      </c>
      <c r="B598">
        <v>567701316</v>
      </c>
      <c r="C598" s="7" t="s">
        <v>27</v>
      </c>
      <c r="D598">
        <v>-0.17297100000000001</v>
      </c>
      <c r="E598">
        <v>1.91351</v>
      </c>
      <c r="F598">
        <v>-0.17297100000000001</v>
      </c>
      <c r="G598" s="3">
        <f>firm_data[[#This Row],[production]]-firm_data[[#This Row],[sales]]</f>
        <v>0</v>
      </c>
      <c r="H598">
        <v>0</v>
      </c>
      <c r="I598">
        <v>-0.69452899999999995</v>
      </c>
      <c r="J598">
        <v>2</v>
      </c>
      <c r="K598">
        <v>2</v>
      </c>
      <c r="L598">
        <v>0</v>
      </c>
      <c r="M598">
        <v>5</v>
      </c>
      <c r="N598">
        <v>0</v>
      </c>
      <c r="O598">
        <v>0</v>
      </c>
      <c r="P598">
        <v>0.99990000000000001</v>
      </c>
      <c r="Q598" s="7" t="s">
        <v>28</v>
      </c>
      <c r="R598" s="7" t="s">
        <v>151</v>
      </c>
      <c r="S598">
        <v>0</v>
      </c>
      <c r="T598">
        <v>6.4943299999999997</v>
      </c>
      <c r="U598">
        <v>6.0060099999999998</v>
      </c>
      <c r="V598">
        <v>0</v>
      </c>
      <c r="W598">
        <v>1.8311200000000001</v>
      </c>
      <c r="X598">
        <v>0</v>
      </c>
      <c r="Y598">
        <v>4</v>
      </c>
      <c r="Z598">
        <v>0</v>
      </c>
      <c r="AA598">
        <v>1106.08</v>
      </c>
      <c r="AB598">
        <v>7.0658899999999996</v>
      </c>
    </row>
    <row r="599" spans="1:28" x14ac:dyDescent="0.25">
      <c r="A599">
        <v>598</v>
      </c>
      <c r="B599">
        <v>542740875</v>
      </c>
      <c r="C599" s="7" t="s">
        <v>27</v>
      </c>
      <c r="D599">
        <v>-0.17297100000000001</v>
      </c>
      <c r="E599">
        <v>1.91351</v>
      </c>
      <c r="F599">
        <v>-0.17297100000000001</v>
      </c>
      <c r="G599" s="3">
        <f>firm_data[[#This Row],[production]]-firm_data[[#This Row],[sales]]</f>
        <v>0</v>
      </c>
      <c r="H599">
        <v>0</v>
      </c>
      <c r="I599">
        <v>-0.69452899999999995</v>
      </c>
      <c r="J599">
        <v>2</v>
      </c>
      <c r="K599">
        <v>2</v>
      </c>
      <c r="L599">
        <v>0</v>
      </c>
      <c r="M599">
        <v>5</v>
      </c>
      <c r="N599">
        <v>0</v>
      </c>
      <c r="O599">
        <v>0</v>
      </c>
      <c r="P599">
        <v>0.99990000000000001</v>
      </c>
      <c r="Q599" s="7" t="s">
        <v>28</v>
      </c>
      <c r="R599" s="7" t="s">
        <v>151</v>
      </c>
      <c r="S599">
        <v>0</v>
      </c>
      <c r="T599">
        <v>6.3742099999999997</v>
      </c>
      <c r="U599">
        <v>6.0060099999999998</v>
      </c>
      <c r="V599">
        <v>0</v>
      </c>
      <c r="W599">
        <v>1.8311200000000001</v>
      </c>
      <c r="X599">
        <v>0</v>
      </c>
      <c r="Y599">
        <v>4</v>
      </c>
      <c r="Z599">
        <v>0</v>
      </c>
      <c r="AA599">
        <v>1078.46</v>
      </c>
      <c r="AB599">
        <v>7.0658899999999996</v>
      </c>
    </row>
    <row r="600" spans="1:28" x14ac:dyDescent="0.25">
      <c r="A600">
        <v>599</v>
      </c>
      <c r="B600">
        <v>416745890</v>
      </c>
      <c r="C600" s="7" t="s">
        <v>27</v>
      </c>
      <c r="D600">
        <v>-0.17297100000000001</v>
      </c>
      <c r="E600">
        <v>1.91351</v>
      </c>
      <c r="F600">
        <v>-0.17297100000000001</v>
      </c>
      <c r="G600" s="3">
        <f>firm_data[[#This Row],[production]]-firm_data[[#This Row],[sales]]</f>
        <v>0</v>
      </c>
      <c r="H600">
        <v>0</v>
      </c>
      <c r="I600">
        <v>-0.69452899999999995</v>
      </c>
      <c r="J600">
        <v>2</v>
      </c>
      <c r="K600">
        <v>2</v>
      </c>
      <c r="L600">
        <v>0</v>
      </c>
      <c r="M600">
        <v>5</v>
      </c>
      <c r="N600">
        <v>0</v>
      </c>
      <c r="O600">
        <v>0</v>
      </c>
      <c r="P600">
        <v>0.99990000000000001</v>
      </c>
      <c r="Q600" s="7" t="s">
        <v>28</v>
      </c>
      <c r="R600" s="7" t="s">
        <v>151</v>
      </c>
      <c r="S600">
        <v>0</v>
      </c>
      <c r="T600">
        <v>6.2540899999999997</v>
      </c>
      <c r="U600">
        <v>6.0060099999999998</v>
      </c>
      <c r="V600">
        <v>0</v>
      </c>
      <c r="W600">
        <v>1.8311200000000001</v>
      </c>
      <c r="X600">
        <v>0</v>
      </c>
      <c r="Y600">
        <v>4</v>
      </c>
      <c r="Z600">
        <v>0</v>
      </c>
      <c r="AA600">
        <v>1060.3399999999999</v>
      </c>
      <c r="AB600">
        <v>7.0658899999999996</v>
      </c>
    </row>
    <row r="601" spans="1:28" x14ac:dyDescent="0.25">
      <c r="A601">
        <v>600</v>
      </c>
      <c r="B601">
        <v>657282236</v>
      </c>
      <c r="C601" s="7" t="s">
        <v>27</v>
      </c>
      <c r="D601">
        <v>-0.17297100000000001</v>
      </c>
      <c r="E601">
        <v>1.91351</v>
      </c>
      <c r="F601">
        <v>-0.17297100000000001</v>
      </c>
      <c r="G601" s="3">
        <f>firm_data[[#This Row],[production]]-firm_data[[#This Row],[sales]]</f>
        <v>0</v>
      </c>
      <c r="H601">
        <v>0</v>
      </c>
      <c r="I601">
        <v>-0.69452899999999995</v>
      </c>
      <c r="J601">
        <v>2</v>
      </c>
      <c r="K601">
        <v>2</v>
      </c>
      <c r="L601">
        <v>0</v>
      </c>
      <c r="M601">
        <v>5</v>
      </c>
      <c r="N601">
        <v>0</v>
      </c>
      <c r="O601">
        <v>0</v>
      </c>
      <c r="P601">
        <v>0.99990000000000001</v>
      </c>
      <c r="Q601" s="7" t="s">
        <v>28</v>
      </c>
      <c r="R601" s="7" t="s">
        <v>151</v>
      </c>
      <c r="S601">
        <v>0</v>
      </c>
      <c r="T601">
        <v>6.1339699999999997</v>
      </c>
      <c r="U601">
        <v>6.0060099999999998</v>
      </c>
      <c r="V601">
        <v>0</v>
      </c>
      <c r="W601">
        <v>1.8311200000000001</v>
      </c>
      <c r="X601">
        <v>0</v>
      </c>
      <c r="Y601">
        <v>4</v>
      </c>
      <c r="Z601">
        <v>0</v>
      </c>
      <c r="AA601">
        <v>1040.48</v>
      </c>
      <c r="AB601">
        <v>7.0658899999999996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6"/>
  <sheetViews>
    <sheetView workbookViewId="0">
      <selection activeCell="D8" sqref="D8"/>
    </sheetView>
  </sheetViews>
  <sheetFormatPr defaultRowHeight="15" x14ac:dyDescent="0.25"/>
  <cols>
    <col min="6" max="6" width="14.42578125" bestFit="1" customWidth="1"/>
    <col min="7" max="7" width="14" bestFit="1" customWidth="1"/>
  </cols>
  <sheetData>
    <row r="1" spans="1:6" x14ac:dyDescent="0.25">
      <c r="A1" t="s">
        <v>63</v>
      </c>
      <c r="B1">
        <v>1.3866700000000001</v>
      </c>
      <c r="C1">
        <v>11.78</v>
      </c>
      <c r="D1">
        <v>10.773</v>
      </c>
      <c r="E1">
        <v>0.65</v>
      </c>
      <c r="F1">
        <v>-1.08</v>
      </c>
    </row>
    <row r="2" spans="1:6" x14ac:dyDescent="0.25">
      <c r="A2" t="s">
        <v>64</v>
      </c>
      <c r="B2">
        <v>-5.80898</v>
      </c>
      <c r="C2">
        <v>-2.6339999999999999</v>
      </c>
      <c r="D2">
        <v>-2.4300000000000002</v>
      </c>
      <c r="E2">
        <v>-1.2</v>
      </c>
      <c r="F2">
        <v>-1.08</v>
      </c>
    </row>
    <row r="3" spans="1:6" x14ac:dyDescent="0.25">
      <c r="B3">
        <v>1.3866700000000001</v>
      </c>
      <c r="C3">
        <v>-5.80898</v>
      </c>
    </row>
    <row r="6" spans="1:6" x14ac:dyDescent="0.25">
      <c r="A6" t="s">
        <v>66</v>
      </c>
      <c r="B6" t="s">
        <v>65</v>
      </c>
      <c r="C6" t="s">
        <v>67</v>
      </c>
    </row>
    <row r="7" spans="1:6" x14ac:dyDescent="0.25">
      <c r="A7">
        <v>0.01</v>
      </c>
      <c r="B7">
        <f>$B$1*A7+$B$2</f>
        <v>-5.7951132999999997</v>
      </c>
      <c r="C7">
        <f>1/(1+EXP(-B7))</f>
        <v>3.0331576693277532E-3</v>
      </c>
    </row>
    <row r="8" spans="1:6" x14ac:dyDescent="0.25">
      <c r="A8">
        <v>0.02</v>
      </c>
      <c r="B8">
        <f t="shared" ref="B8:B71" si="0">$B$1*A8+$B$2</f>
        <v>-5.7812466000000002</v>
      </c>
      <c r="C8">
        <f t="shared" ref="C8:C71" si="1">1/(1+EXP(-B8))</f>
        <v>3.0753802741664759E-3</v>
      </c>
    </row>
    <row r="9" spans="1:6" x14ac:dyDescent="0.25">
      <c r="A9">
        <v>0.03</v>
      </c>
      <c r="B9">
        <f t="shared" si="0"/>
        <v>-5.7673798999999999</v>
      </c>
      <c r="C9">
        <f t="shared" si="1"/>
        <v>3.1181887939805168E-3</v>
      </c>
    </row>
    <row r="10" spans="1:6" x14ac:dyDescent="0.25">
      <c r="A10">
        <v>0.04</v>
      </c>
      <c r="B10">
        <f t="shared" si="0"/>
        <v>-5.7535132000000004</v>
      </c>
      <c r="C10">
        <f t="shared" si="1"/>
        <v>3.1615913078691786E-3</v>
      </c>
    </row>
    <row r="11" spans="1:6" x14ac:dyDescent="0.25">
      <c r="A11">
        <v>0.05</v>
      </c>
      <c r="B11">
        <f t="shared" si="0"/>
        <v>-5.7396465000000001</v>
      </c>
      <c r="C11">
        <f t="shared" si="1"/>
        <v>3.2055960048889853E-3</v>
      </c>
    </row>
    <row r="12" spans="1:6" x14ac:dyDescent="0.25">
      <c r="A12">
        <v>0.06</v>
      </c>
      <c r="B12">
        <f t="shared" si="0"/>
        <v>-5.7257797999999998</v>
      </c>
      <c r="C12">
        <f t="shared" si="1"/>
        <v>3.250211185509647E-3</v>
      </c>
    </row>
    <row r="13" spans="1:6" x14ac:dyDescent="0.25">
      <c r="A13">
        <v>7.0000000000000007E-2</v>
      </c>
      <c r="B13">
        <f t="shared" si="0"/>
        <v>-5.7119131000000003</v>
      </c>
      <c r="C13">
        <f t="shared" si="1"/>
        <v>3.2954452630881829E-3</v>
      </c>
    </row>
    <row r="14" spans="1:6" x14ac:dyDescent="0.25">
      <c r="A14">
        <v>0.08</v>
      </c>
      <c r="B14">
        <f t="shared" si="0"/>
        <v>-5.6980464</v>
      </c>
      <c r="C14">
        <f t="shared" si="1"/>
        <v>3.3413067653613694E-3</v>
      </c>
    </row>
    <row r="15" spans="1:6" x14ac:dyDescent="0.25">
      <c r="A15">
        <v>0.09</v>
      </c>
      <c r="B15">
        <f t="shared" si="0"/>
        <v>-5.6841796999999996</v>
      </c>
      <c r="C15">
        <f t="shared" si="1"/>
        <v>3.3878043359566908E-3</v>
      </c>
    </row>
    <row r="16" spans="1:6" x14ac:dyDescent="0.25">
      <c r="A16">
        <v>0.1</v>
      </c>
      <c r="B16">
        <f t="shared" si="0"/>
        <v>-5.6703130000000002</v>
      </c>
      <c r="C16">
        <f t="shared" si="1"/>
        <v>3.4349467359220281E-3</v>
      </c>
    </row>
    <row r="17" spans="1:3" x14ac:dyDescent="0.25">
      <c r="A17">
        <v>0.11</v>
      </c>
      <c r="B17">
        <f t="shared" si="0"/>
        <v>-5.6564462999999998</v>
      </c>
      <c r="C17">
        <f t="shared" si="1"/>
        <v>3.4827428452742573E-3</v>
      </c>
    </row>
    <row r="18" spans="1:3" x14ac:dyDescent="0.25">
      <c r="A18">
        <v>0.12</v>
      </c>
      <c r="B18">
        <f t="shared" si="0"/>
        <v>-5.6425796000000004</v>
      </c>
      <c r="C18">
        <f t="shared" si="1"/>
        <v>3.5312016645669365E-3</v>
      </c>
    </row>
    <row r="19" spans="1:3" x14ac:dyDescent="0.25">
      <c r="A19">
        <v>0.13</v>
      </c>
      <c r="B19">
        <f t="shared" si="0"/>
        <v>-5.6287129</v>
      </c>
      <c r="C19">
        <f t="shared" si="1"/>
        <v>3.5803323164773373E-3</v>
      </c>
    </row>
    <row r="20" spans="1:3" x14ac:dyDescent="0.25">
      <c r="A20">
        <v>0.14000000000000001</v>
      </c>
      <c r="B20">
        <f t="shared" si="0"/>
        <v>-5.6148461999999997</v>
      </c>
      <c r="C20">
        <f t="shared" si="1"/>
        <v>3.6301440474129382E-3</v>
      </c>
    </row>
    <row r="21" spans="1:3" x14ac:dyDescent="0.25">
      <c r="A21">
        <v>0.15</v>
      </c>
      <c r="B21">
        <f t="shared" si="0"/>
        <v>-5.6009795000000002</v>
      </c>
      <c r="C21">
        <f t="shared" si="1"/>
        <v>3.6806462291376651E-3</v>
      </c>
    </row>
    <row r="22" spans="1:3" x14ac:dyDescent="0.25">
      <c r="A22">
        <v>0.16</v>
      </c>
      <c r="B22">
        <f t="shared" si="0"/>
        <v>-5.5871127999999999</v>
      </c>
      <c r="C22">
        <f t="shared" si="1"/>
        <v>3.7318483604180225E-3</v>
      </c>
    </row>
    <row r="23" spans="1:3" x14ac:dyDescent="0.25">
      <c r="A23">
        <v>0.17</v>
      </c>
      <c r="B23">
        <f t="shared" si="0"/>
        <v>-5.5732461000000004</v>
      </c>
      <c r="C23">
        <f t="shared" si="1"/>
        <v>3.7837600686893135E-3</v>
      </c>
    </row>
    <row r="24" spans="1:3" x14ac:dyDescent="0.25">
      <c r="A24">
        <v>0.18</v>
      </c>
      <c r="B24">
        <f t="shared" si="0"/>
        <v>-5.5593794000000001</v>
      </c>
      <c r="C24">
        <f t="shared" si="1"/>
        <v>3.8363911117422177E-3</v>
      </c>
    </row>
    <row r="25" spans="1:3" x14ac:dyDescent="0.25">
      <c r="A25">
        <v>0.19</v>
      </c>
      <c r="B25">
        <f t="shared" si="0"/>
        <v>-5.5455126999999997</v>
      </c>
      <c r="C25">
        <f t="shared" si="1"/>
        <v>3.8897513794298273E-3</v>
      </c>
    </row>
    <row r="26" spans="1:3" x14ac:dyDescent="0.25">
      <c r="A26">
        <v>0.2</v>
      </c>
      <c r="B26">
        <f t="shared" si="0"/>
        <v>-5.5316460000000003</v>
      </c>
      <c r="C26">
        <f t="shared" si="1"/>
        <v>3.9438508953954406E-3</v>
      </c>
    </row>
    <row r="27" spans="1:3" x14ac:dyDescent="0.25">
      <c r="A27">
        <v>0.21</v>
      </c>
      <c r="B27">
        <f t="shared" si="0"/>
        <v>-5.5177792999999999</v>
      </c>
      <c r="C27">
        <f t="shared" si="1"/>
        <v>3.9986998188212709E-3</v>
      </c>
    </row>
    <row r="28" spans="1:3" x14ac:dyDescent="0.25">
      <c r="A28">
        <v>0.22</v>
      </c>
      <c r="B28">
        <f t="shared" si="0"/>
        <v>-5.5039125999999996</v>
      </c>
      <c r="C28">
        <f t="shared" si="1"/>
        <v>4.0543084461982532E-3</v>
      </c>
    </row>
    <row r="29" spans="1:3" x14ac:dyDescent="0.25">
      <c r="A29">
        <v>0.23</v>
      </c>
      <c r="B29">
        <f t="shared" si="0"/>
        <v>-5.4900459000000001</v>
      </c>
      <c r="C29">
        <f t="shared" si="1"/>
        <v>4.1106872131172175E-3</v>
      </c>
    </row>
    <row r="30" spans="1:3" x14ac:dyDescent="0.25">
      <c r="A30">
        <v>0.24</v>
      </c>
      <c r="B30">
        <f t="shared" si="0"/>
        <v>-5.4761791999999998</v>
      </c>
      <c r="C30">
        <f t="shared" si="1"/>
        <v>4.1678466960815902E-3</v>
      </c>
    </row>
    <row r="31" spans="1:3" x14ac:dyDescent="0.25">
      <c r="A31">
        <v>0.25</v>
      </c>
      <c r="B31">
        <f t="shared" si="0"/>
        <v>-5.4623125000000003</v>
      </c>
      <c r="C31">
        <f t="shared" si="1"/>
        <v>4.2257976143418099E-3</v>
      </c>
    </row>
    <row r="32" spans="1:3" x14ac:dyDescent="0.25">
      <c r="A32">
        <v>0.26</v>
      </c>
      <c r="B32">
        <f t="shared" si="0"/>
        <v>-5.4484458</v>
      </c>
      <c r="C32">
        <f t="shared" si="1"/>
        <v>4.284550831751748E-3</v>
      </c>
    </row>
    <row r="33" spans="1:3" x14ac:dyDescent="0.25">
      <c r="A33">
        <v>0.27</v>
      </c>
      <c r="B33">
        <f t="shared" si="0"/>
        <v>-5.4345790999999997</v>
      </c>
      <c r="C33">
        <f t="shared" si="1"/>
        <v>4.3441173586472193E-3</v>
      </c>
    </row>
    <row r="34" spans="1:3" x14ac:dyDescent="0.25">
      <c r="A34">
        <v>0.28000000000000003</v>
      </c>
      <c r="B34">
        <f t="shared" si="0"/>
        <v>-5.4207124000000002</v>
      </c>
      <c r="C34">
        <f t="shared" si="1"/>
        <v>4.4045083537469091E-3</v>
      </c>
    </row>
    <row r="35" spans="1:3" x14ac:dyDescent="0.25">
      <c r="A35">
        <v>0.28999999999999998</v>
      </c>
      <c r="B35">
        <f t="shared" si="0"/>
        <v>-5.4068456999999999</v>
      </c>
      <c r="C35">
        <f t="shared" si="1"/>
        <v>4.4657351260758609E-3</v>
      </c>
    </row>
    <row r="36" spans="1:3" x14ac:dyDescent="0.25">
      <c r="A36">
        <v>0.3</v>
      </c>
      <c r="B36">
        <f t="shared" si="0"/>
        <v>-5.3929790000000004</v>
      </c>
      <c r="C36">
        <f t="shared" si="1"/>
        <v>4.5278091369117032E-3</v>
      </c>
    </row>
    <row r="37" spans="1:3" x14ac:dyDescent="0.25">
      <c r="A37">
        <v>0.31</v>
      </c>
      <c r="B37">
        <f t="shared" si="0"/>
        <v>-5.3791123000000001</v>
      </c>
      <c r="C37">
        <f t="shared" si="1"/>
        <v>4.5907420017539235E-3</v>
      </c>
    </row>
    <row r="38" spans="1:3" x14ac:dyDescent="0.25">
      <c r="A38">
        <v>0.32</v>
      </c>
      <c r="B38">
        <f t="shared" si="0"/>
        <v>-5.3652455999999997</v>
      </c>
      <c r="C38">
        <f t="shared" si="1"/>
        <v>4.6545454923162715E-3</v>
      </c>
    </row>
    <row r="39" spans="1:3" x14ac:dyDescent="0.25">
      <c r="A39">
        <v>0.33</v>
      </c>
      <c r="B39">
        <f t="shared" si="0"/>
        <v>-5.3513789000000003</v>
      </c>
      <c r="C39">
        <f t="shared" si="1"/>
        <v>4.719231538542608E-3</v>
      </c>
    </row>
    <row r="40" spans="1:3" x14ac:dyDescent="0.25">
      <c r="A40">
        <v>0.34</v>
      </c>
      <c r="B40">
        <f t="shared" si="0"/>
        <v>-5.3375121999999999</v>
      </c>
      <c r="C40">
        <f t="shared" si="1"/>
        <v>4.7848122306463478E-3</v>
      </c>
    </row>
    <row r="41" spans="1:3" x14ac:dyDescent="0.25">
      <c r="A41">
        <v>0.35</v>
      </c>
      <c r="B41">
        <f t="shared" si="0"/>
        <v>-5.3236454999999996</v>
      </c>
      <c r="C41">
        <f t="shared" si="1"/>
        <v>4.8512998211736906E-3</v>
      </c>
    </row>
    <row r="42" spans="1:3" x14ac:dyDescent="0.25">
      <c r="A42">
        <v>0.36</v>
      </c>
      <c r="B42">
        <f t="shared" si="0"/>
        <v>-5.3097788000000001</v>
      </c>
      <c r="C42">
        <f t="shared" si="1"/>
        <v>4.9187067270908989E-3</v>
      </c>
    </row>
    <row r="43" spans="1:3" x14ac:dyDescent="0.25">
      <c r="A43">
        <v>0.37</v>
      </c>
      <c r="B43">
        <f t="shared" si="0"/>
        <v>-5.2959120999999998</v>
      </c>
      <c r="C43">
        <f t="shared" si="1"/>
        <v>4.9870455318958068E-3</v>
      </c>
    </row>
    <row r="44" spans="1:3" x14ac:dyDescent="0.25">
      <c r="A44">
        <v>0.38</v>
      </c>
      <c r="B44">
        <f t="shared" si="0"/>
        <v>-5.2820454000000003</v>
      </c>
      <c r="C44">
        <f t="shared" si="1"/>
        <v>5.0563289877537084E-3</v>
      </c>
    </row>
    <row r="45" spans="1:3" x14ac:dyDescent="0.25">
      <c r="A45">
        <v>0.39</v>
      </c>
      <c r="B45">
        <f t="shared" si="0"/>
        <v>-5.2681787</v>
      </c>
      <c r="C45">
        <f t="shared" si="1"/>
        <v>5.1265700176579519E-3</v>
      </c>
    </row>
    <row r="46" spans="1:3" x14ac:dyDescent="0.25">
      <c r="A46">
        <v>0.4</v>
      </c>
      <c r="B46">
        <f t="shared" si="0"/>
        <v>-5.2543119999999996</v>
      </c>
      <c r="C46">
        <f t="shared" si="1"/>
        <v>5.1977817176152965E-3</v>
      </c>
    </row>
    <row r="47" spans="1:3" x14ac:dyDescent="0.25">
      <c r="A47">
        <v>0.41</v>
      </c>
      <c r="B47">
        <f t="shared" si="0"/>
        <v>-5.2404453000000002</v>
      </c>
      <c r="C47">
        <f t="shared" si="1"/>
        <v>5.269977358856366E-3</v>
      </c>
    </row>
    <row r="48" spans="1:3" x14ac:dyDescent="0.25">
      <c r="A48">
        <v>0.42</v>
      </c>
      <c r="B48">
        <f t="shared" si="0"/>
        <v>-5.2265785999999999</v>
      </c>
      <c r="C48">
        <f t="shared" si="1"/>
        <v>5.3431703900713315E-3</v>
      </c>
    </row>
    <row r="49" spans="1:3" x14ac:dyDescent="0.25">
      <c r="A49">
        <v>0.43</v>
      </c>
      <c r="B49">
        <f t="shared" si="0"/>
        <v>-5.2127119000000004</v>
      </c>
      <c r="C49">
        <f t="shared" si="1"/>
        <v>5.4173744396710018E-3</v>
      </c>
    </row>
    <row r="50" spans="1:3" x14ac:dyDescent="0.25">
      <c r="A50">
        <v>0.44</v>
      </c>
      <c r="B50">
        <f t="shared" si="0"/>
        <v>-5.1988452000000001</v>
      </c>
      <c r="C50">
        <f t="shared" si="1"/>
        <v>5.4926033180736173E-3</v>
      </c>
    </row>
    <row r="51" spans="1:3" x14ac:dyDescent="0.25">
      <c r="A51">
        <v>0.45</v>
      </c>
      <c r="B51">
        <f t="shared" si="0"/>
        <v>-5.1849784999999997</v>
      </c>
      <c r="C51">
        <f t="shared" si="1"/>
        <v>5.5688710200174161E-3</v>
      </c>
    </row>
    <row r="52" spans="1:3" x14ac:dyDescent="0.25">
      <c r="A52">
        <v>0.46</v>
      </c>
      <c r="B52">
        <f t="shared" si="0"/>
        <v>-5.1711118000000003</v>
      </c>
      <c r="C52">
        <f t="shared" si="1"/>
        <v>5.6461917268992926E-3</v>
      </c>
    </row>
    <row r="53" spans="1:3" x14ac:dyDescent="0.25">
      <c r="A53">
        <v>0.47</v>
      </c>
      <c r="B53">
        <f t="shared" si="0"/>
        <v>-5.1572450999999999</v>
      </c>
      <c r="C53">
        <f t="shared" si="1"/>
        <v>5.724579809139675E-3</v>
      </c>
    </row>
    <row r="54" spans="1:3" x14ac:dyDescent="0.25">
      <c r="A54">
        <v>0.48</v>
      </c>
      <c r="B54">
        <f t="shared" si="0"/>
        <v>-5.1433783999999996</v>
      </c>
      <c r="C54">
        <f t="shared" si="1"/>
        <v>5.8040498285737967E-3</v>
      </c>
    </row>
    <row r="55" spans="1:3" x14ac:dyDescent="0.25">
      <c r="A55">
        <v>0.49</v>
      </c>
      <c r="B55">
        <f t="shared" si="0"/>
        <v>-5.1295117000000001</v>
      </c>
      <c r="C55">
        <f t="shared" si="1"/>
        <v>5.8846165408696213E-3</v>
      </c>
    </row>
    <row r="56" spans="1:3" x14ac:dyDescent="0.25">
      <c r="A56">
        <v>0.5</v>
      </c>
      <c r="B56">
        <f t="shared" si="0"/>
        <v>-5.1156449999999998</v>
      </c>
      <c r="C56">
        <f t="shared" si="1"/>
        <v>5.9662948979725813E-3</v>
      </c>
    </row>
    <row r="57" spans="1:3" x14ac:dyDescent="0.25">
      <c r="A57">
        <v>0.51</v>
      </c>
      <c r="B57">
        <f t="shared" si="0"/>
        <v>-5.1017783000000003</v>
      </c>
      <c r="C57">
        <f t="shared" si="1"/>
        <v>6.0491000505772611E-3</v>
      </c>
    </row>
    <row r="58" spans="1:3" x14ac:dyDescent="0.25">
      <c r="A58">
        <v>0.52</v>
      </c>
      <c r="B58">
        <f t="shared" si="0"/>
        <v>-5.0879116</v>
      </c>
      <c r="C58">
        <f t="shared" si="1"/>
        <v>6.1330473506263257E-3</v>
      </c>
    </row>
    <row r="59" spans="1:3" x14ac:dyDescent="0.25">
      <c r="A59">
        <v>0.53</v>
      </c>
      <c r="B59">
        <f t="shared" si="0"/>
        <v>-5.0740448999999996</v>
      </c>
      <c r="C59">
        <f t="shared" si="1"/>
        <v>6.2181523538367544E-3</v>
      </c>
    </row>
    <row r="60" spans="1:3" x14ac:dyDescent="0.25">
      <c r="A60">
        <v>0.54</v>
      </c>
      <c r="B60">
        <f t="shared" si="0"/>
        <v>-5.0601782000000002</v>
      </c>
      <c r="C60">
        <f t="shared" si="1"/>
        <v>6.3044308222536547E-3</v>
      </c>
    </row>
    <row r="61" spans="1:3" x14ac:dyDescent="0.25">
      <c r="A61">
        <v>0.55000000000000004</v>
      </c>
      <c r="B61">
        <f t="shared" si="0"/>
        <v>-5.0463114999999998</v>
      </c>
      <c r="C61">
        <f t="shared" si="1"/>
        <v>6.3918987268317988E-3</v>
      </c>
    </row>
    <row r="62" spans="1:3" x14ac:dyDescent="0.25">
      <c r="A62">
        <v>0.56000000000000005</v>
      </c>
      <c r="B62">
        <f t="shared" si="0"/>
        <v>-5.0324448000000004</v>
      </c>
      <c r="C62">
        <f t="shared" si="1"/>
        <v>6.4805722500450155E-3</v>
      </c>
    </row>
    <row r="63" spans="1:3" x14ac:dyDescent="0.25">
      <c r="A63">
        <v>0.56999999999999995</v>
      </c>
      <c r="B63">
        <f t="shared" si="0"/>
        <v>-5.0185781</v>
      </c>
      <c r="C63">
        <f t="shared" si="1"/>
        <v>6.5704677885237142E-3</v>
      </c>
    </row>
    <row r="64" spans="1:3" x14ac:dyDescent="0.25">
      <c r="A64">
        <v>0.57999999999999996</v>
      </c>
      <c r="B64">
        <f t="shared" si="0"/>
        <v>-5.0047113999999997</v>
      </c>
      <c r="C64">
        <f t="shared" si="1"/>
        <v>6.6616019557205735E-3</v>
      </c>
    </row>
    <row r="65" spans="1:3" x14ac:dyDescent="0.25">
      <c r="A65">
        <v>0.59</v>
      </c>
      <c r="B65">
        <f t="shared" si="0"/>
        <v>-4.9908447000000002</v>
      </c>
      <c r="C65">
        <f t="shared" si="1"/>
        <v>6.7539915846046806E-3</v>
      </c>
    </row>
    <row r="66" spans="1:3" x14ac:dyDescent="0.25">
      <c r="A66">
        <v>0.6</v>
      </c>
      <c r="B66">
        <f t="shared" si="0"/>
        <v>-4.9769779999999999</v>
      </c>
      <c r="C66">
        <f t="shared" si="1"/>
        <v>6.8476537303842353E-3</v>
      </c>
    </row>
    <row r="67" spans="1:3" x14ac:dyDescent="0.25">
      <c r="A67">
        <v>0.61</v>
      </c>
      <c r="B67">
        <f t="shared" si="0"/>
        <v>-4.9631112999999996</v>
      </c>
      <c r="C67">
        <f t="shared" si="1"/>
        <v>6.9426056732579235E-3</v>
      </c>
    </row>
    <row r="68" spans="1:3" x14ac:dyDescent="0.25">
      <c r="A68">
        <v>0.62</v>
      </c>
      <c r="B68">
        <f t="shared" si="0"/>
        <v>-4.9492446000000001</v>
      </c>
      <c r="C68">
        <f t="shared" si="1"/>
        <v>7.0388649211952084E-3</v>
      </c>
    </row>
    <row r="69" spans="1:3" x14ac:dyDescent="0.25">
      <c r="A69">
        <v>0.63</v>
      </c>
      <c r="B69">
        <f t="shared" si="0"/>
        <v>-4.9353778999999998</v>
      </c>
      <c r="C69">
        <f t="shared" si="1"/>
        <v>7.1364492127456523E-3</v>
      </c>
    </row>
    <row r="70" spans="1:3" x14ac:dyDescent="0.25">
      <c r="A70">
        <v>0.64</v>
      </c>
      <c r="B70">
        <f t="shared" si="0"/>
        <v>-4.9215112000000003</v>
      </c>
      <c r="C70">
        <f t="shared" si="1"/>
        <v>7.2353765198773425E-3</v>
      </c>
    </row>
    <row r="71" spans="1:3" x14ac:dyDescent="0.25">
      <c r="A71">
        <v>0.65</v>
      </c>
      <c r="B71">
        <f t="shared" si="0"/>
        <v>-4.9076445</v>
      </c>
      <c r="C71">
        <f t="shared" si="1"/>
        <v>7.3356650508447085E-3</v>
      </c>
    </row>
    <row r="72" spans="1:3" x14ac:dyDescent="0.25">
      <c r="A72">
        <v>0.66</v>
      </c>
      <c r="B72">
        <f t="shared" ref="B72:B106" si="2">$B$1*A72+$B$2</f>
        <v>-4.8937777999999996</v>
      </c>
      <c r="C72">
        <f t="shared" ref="C72:C106" si="3">1/(1+EXP(-B72))</f>
        <v>7.4373332530857034E-3</v>
      </c>
    </row>
    <row r="73" spans="1:3" x14ac:dyDescent="0.25">
      <c r="A73">
        <v>0.67</v>
      </c>
      <c r="B73">
        <f t="shared" si="2"/>
        <v>-4.8799111000000002</v>
      </c>
      <c r="C73">
        <f t="shared" si="3"/>
        <v>7.5403998161485972E-3</v>
      </c>
    </row>
    <row r="74" spans="1:3" x14ac:dyDescent="0.25">
      <c r="A74">
        <v>0.68</v>
      </c>
      <c r="B74">
        <f t="shared" si="2"/>
        <v>-4.8660443999999998</v>
      </c>
      <c r="C74">
        <f t="shared" si="3"/>
        <v>7.6448836746484889E-3</v>
      </c>
    </row>
    <row r="75" spans="1:3" x14ac:dyDescent="0.25">
      <c r="A75">
        <v>0.69</v>
      </c>
      <c r="B75">
        <f t="shared" si="2"/>
        <v>-4.8521777000000004</v>
      </c>
      <c r="C75">
        <f t="shared" si="3"/>
        <v>7.7508040112535485E-3</v>
      </c>
    </row>
    <row r="76" spans="1:3" x14ac:dyDescent="0.25">
      <c r="A76">
        <v>0.7</v>
      </c>
      <c r="B76">
        <f t="shared" si="2"/>
        <v>-4.838311</v>
      </c>
      <c r="C76">
        <f t="shared" si="3"/>
        <v>7.8581802597013049E-3</v>
      </c>
    </row>
    <row r="77" spans="1:3" x14ac:dyDescent="0.25">
      <c r="A77">
        <v>0.71</v>
      </c>
      <c r="B77">
        <f t="shared" si="2"/>
        <v>-4.8244442999999997</v>
      </c>
      <c r="C77">
        <f t="shared" si="3"/>
        <v>7.9670321078448535E-3</v>
      </c>
    </row>
    <row r="78" spans="1:3" x14ac:dyDescent="0.25">
      <c r="A78">
        <v>0.72</v>
      </c>
      <c r="B78">
        <f t="shared" si="2"/>
        <v>-4.8105776000000002</v>
      </c>
      <c r="C78">
        <f t="shared" si="3"/>
        <v>8.0773795007292662E-3</v>
      </c>
    </row>
    <row r="79" spans="1:3" x14ac:dyDescent="0.25">
      <c r="A79">
        <v>0.73</v>
      </c>
      <c r="B79">
        <f t="shared" si="2"/>
        <v>-4.7967108999999999</v>
      </c>
      <c r="C79">
        <f t="shared" si="3"/>
        <v>8.1892426436982434E-3</v>
      </c>
    </row>
    <row r="80" spans="1:3" x14ac:dyDescent="0.25">
      <c r="A80">
        <v>0.74</v>
      </c>
      <c r="B80">
        <f t="shared" si="2"/>
        <v>-4.7828441999999995</v>
      </c>
      <c r="C80">
        <f t="shared" si="3"/>
        <v>8.3026420055310052E-3</v>
      </c>
    </row>
    <row r="81" spans="1:3" x14ac:dyDescent="0.25">
      <c r="A81">
        <v>0.75</v>
      </c>
      <c r="B81">
        <f t="shared" si="2"/>
        <v>-4.7689775000000001</v>
      </c>
      <c r="C81">
        <f t="shared" si="3"/>
        <v>8.4175983216096418E-3</v>
      </c>
    </row>
    <row r="82" spans="1:3" x14ac:dyDescent="0.25">
      <c r="A82">
        <v>0.76</v>
      </c>
      <c r="B82">
        <f t="shared" si="2"/>
        <v>-4.7551107999999997</v>
      </c>
      <c r="C82">
        <f t="shared" si="3"/>
        <v>8.5341325971169391E-3</v>
      </c>
    </row>
    <row r="83" spans="1:3" x14ac:dyDescent="0.25">
      <c r="A83">
        <v>0.77</v>
      </c>
      <c r="B83">
        <f t="shared" si="2"/>
        <v>-4.7412440999999994</v>
      </c>
      <c r="C83">
        <f t="shared" si="3"/>
        <v>8.6522661102646607E-3</v>
      </c>
    </row>
    <row r="84" spans="1:3" x14ac:dyDescent="0.25">
      <c r="A84">
        <v>0.78</v>
      </c>
      <c r="B84">
        <f t="shared" si="2"/>
        <v>-4.7273774</v>
      </c>
      <c r="C84">
        <f t="shared" si="3"/>
        <v>8.7720204155524745E-3</v>
      </c>
    </row>
    <row r="85" spans="1:3" x14ac:dyDescent="0.25">
      <c r="A85">
        <v>0.79</v>
      </c>
      <c r="B85">
        <f t="shared" si="2"/>
        <v>-4.7135106999999996</v>
      </c>
      <c r="C85">
        <f t="shared" si="3"/>
        <v>8.8934173470575327E-3</v>
      </c>
    </row>
    <row r="86" spans="1:3" x14ac:dyDescent="0.25">
      <c r="A86">
        <v>0.8</v>
      </c>
      <c r="B86">
        <f t="shared" si="2"/>
        <v>-4.6996440000000002</v>
      </c>
      <c r="C86">
        <f t="shared" si="3"/>
        <v>9.0164790217546267E-3</v>
      </c>
    </row>
    <row r="87" spans="1:3" x14ac:dyDescent="0.25">
      <c r="A87">
        <v>0.81</v>
      </c>
      <c r="B87">
        <f t="shared" si="2"/>
        <v>-4.6857772999999998</v>
      </c>
      <c r="C87">
        <f t="shared" si="3"/>
        <v>9.1412278428671633E-3</v>
      </c>
    </row>
    <row r="88" spans="1:3" x14ac:dyDescent="0.25">
      <c r="A88">
        <v>0.82</v>
      </c>
      <c r="B88">
        <f t="shared" si="2"/>
        <v>-4.6719106000000004</v>
      </c>
      <c r="C88">
        <f t="shared" si="3"/>
        <v>9.2676865032487316E-3</v>
      </c>
    </row>
    <row r="89" spans="1:3" x14ac:dyDescent="0.25">
      <c r="A89">
        <v>0.83</v>
      </c>
      <c r="B89">
        <f t="shared" si="2"/>
        <v>-4.6580439</v>
      </c>
      <c r="C89">
        <f t="shared" si="3"/>
        <v>9.3958779887955354E-3</v>
      </c>
    </row>
    <row r="90" spans="1:3" x14ac:dyDescent="0.25">
      <c r="A90">
        <v>0.84</v>
      </c>
      <c r="B90">
        <f t="shared" si="2"/>
        <v>-4.6441771999999997</v>
      </c>
      <c r="C90">
        <f t="shared" si="3"/>
        <v>9.5258255818894133E-3</v>
      </c>
    </row>
    <row r="91" spans="1:3" x14ac:dyDescent="0.25">
      <c r="A91">
        <v>0.85</v>
      </c>
      <c r="B91">
        <f t="shared" si="2"/>
        <v>-4.6303105000000002</v>
      </c>
      <c r="C91">
        <f t="shared" si="3"/>
        <v>9.6575528648716619E-3</v>
      </c>
    </row>
    <row r="92" spans="1:3" x14ac:dyDescent="0.25">
      <c r="A92">
        <v>0.86</v>
      </c>
      <c r="B92">
        <f t="shared" si="2"/>
        <v>-4.6164437999999999</v>
      </c>
      <c r="C92">
        <f t="shared" si="3"/>
        <v>9.7910837235475594E-3</v>
      </c>
    </row>
    <row r="93" spans="1:3" x14ac:dyDescent="0.25">
      <c r="A93">
        <v>0.87</v>
      </c>
      <c r="B93">
        <f t="shared" si="2"/>
        <v>-4.6025770999999995</v>
      </c>
      <c r="C93">
        <f t="shared" si="3"/>
        <v>9.9264423507214525E-3</v>
      </c>
    </row>
    <row r="94" spans="1:3" x14ac:dyDescent="0.25">
      <c r="A94">
        <v>0.88</v>
      </c>
      <c r="B94">
        <f t="shared" si="2"/>
        <v>-4.5887104000000001</v>
      </c>
      <c r="C94">
        <f t="shared" si="3"/>
        <v>1.0063653249762548E-2</v>
      </c>
    </row>
    <row r="95" spans="1:3" x14ac:dyDescent="0.25">
      <c r="A95">
        <v>0.89</v>
      </c>
      <c r="B95">
        <f t="shared" si="2"/>
        <v>-4.5748436999999997</v>
      </c>
      <c r="C95">
        <f t="shared" si="3"/>
        <v>1.0202741238201238E-2</v>
      </c>
    </row>
    <row r="96" spans="1:3" x14ac:dyDescent="0.25">
      <c r="A96">
        <v>0.9</v>
      </c>
      <c r="B96">
        <f t="shared" si="2"/>
        <v>-4.5609769999999994</v>
      </c>
      <c r="C96">
        <f t="shared" si="3"/>
        <v>1.034373145135584E-2</v>
      </c>
    </row>
    <row r="97" spans="1:3" x14ac:dyDescent="0.25">
      <c r="A97">
        <v>0.91</v>
      </c>
      <c r="B97">
        <f t="shared" si="2"/>
        <v>-4.5471102999999999</v>
      </c>
      <c r="C97">
        <f t="shared" si="3"/>
        <v>1.0486649345989793E-2</v>
      </c>
    </row>
    <row r="98" spans="1:3" x14ac:dyDescent="0.25">
      <c r="A98">
        <v>0.92</v>
      </c>
      <c r="B98">
        <f t="shared" si="2"/>
        <v>-4.5332435999999996</v>
      </c>
      <c r="C98">
        <f t="shared" si="3"/>
        <v>1.0631520703999179E-2</v>
      </c>
    </row>
    <row r="99" spans="1:3" x14ac:dyDescent="0.25">
      <c r="A99">
        <v>0.93</v>
      </c>
      <c r="B99">
        <f t="shared" si="2"/>
        <v>-4.5193769000000001</v>
      </c>
      <c r="C99">
        <f t="shared" si="3"/>
        <v>1.0778371636130287E-2</v>
      </c>
    </row>
    <row r="100" spans="1:3" x14ac:dyDescent="0.25">
      <c r="A100">
        <v>0.94</v>
      </c>
      <c r="B100">
        <f t="shared" si="2"/>
        <v>-4.5055101999999998</v>
      </c>
      <c r="C100">
        <f t="shared" si="3"/>
        <v>1.0927228585727427E-2</v>
      </c>
    </row>
    <row r="101" spans="1:3" x14ac:dyDescent="0.25">
      <c r="A101">
        <v>0.95</v>
      </c>
      <c r="B101">
        <f t="shared" si="2"/>
        <v>-4.4916435000000003</v>
      </c>
      <c r="C101">
        <f t="shared" si="3"/>
        <v>1.1078118332510455E-2</v>
      </c>
    </row>
    <row r="102" spans="1:3" x14ac:dyDescent="0.25">
      <c r="A102">
        <v>0.96</v>
      </c>
      <c r="B102">
        <f t="shared" si="2"/>
        <v>-4.4777768</v>
      </c>
      <c r="C102">
        <f t="shared" si="3"/>
        <v>1.1231067996382226E-2</v>
      </c>
    </row>
    <row r="103" spans="1:3" x14ac:dyDescent="0.25">
      <c r="A103">
        <v>0.97</v>
      </c>
      <c r="B103">
        <f t="shared" si="2"/>
        <v>-4.4639100999999997</v>
      </c>
      <c r="C103">
        <f t="shared" si="3"/>
        <v>1.1386105041265485E-2</v>
      </c>
    </row>
    <row r="104" spans="1:3" x14ac:dyDescent="0.25">
      <c r="A104">
        <v>0.98</v>
      </c>
      <c r="B104">
        <f t="shared" si="2"/>
        <v>-4.4500434000000002</v>
      </c>
      <c r="C104">
        <f t="shared" si="3"/>
        <v>1.1543257278969224E-2</v>
      </c>
    </row>
    <row r="105" spans="1:3" x14ac:dyDescent="0.25">
      <c r="A105">
        <v>0.99</v>
      </c>
      <c r="B105">
        <f t="shared" si="2"/>
        <v>-4.4361766999999999</v>
      </c>
      <c r="C105">
        <f t="shared" si="3"/>
        <v>1.1702552873084219E-2</v>
      </c>
    </row>
    <row r="106" spans="1:3" x14ac:dyDescent="0.25">
      <c r="A106">
        <v>1</v>
      </c>
      <c r="B106">
        <f t="shared" si="2"/>
        <v>-4.4223099999999995</v>
      </c>
      <c r="C106">
        <f t="shared" si="3"/>
        <v>1.1864020342907443E-2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834DEA-5D79-46F7-BB47-49468A0A10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FIRM</vt:lpstr>
      <vt:lpstr>WORKER</vt:lpstr>
      <vt:lpstr>CAPITALIST</vt:lpstr>
      <vt:lpstr>MONEY</vt:lpstr>
      <vt:lpstr>k_firm_data</vt:lpstr>
      <vt:lpstr>bank_data</vt:lpstr>
      <vt:lpstr>liquidity_data</vt:lpstr>
      <vt:lpstr>worker_data</vt:lpstr>
      <vt:lpstr>capitalist_data</vt:lpstr>
      <vt:lpstr>firm_data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Mohhov</dc:creator>
  <cp:lastModifiedBy>Igor Mohhov</cp:lastModifiedBy>
  <dcterms:created xsi:type="dcterms:W3CDTF">2015-06-05T18:17:20Z</dcterms:created>
  <dcterms:modified xsi:type="dcterms:W3CDTF">2026-03-16T17:49:19Z</dcterms:modified>
</cp:coreProperties>
</file>